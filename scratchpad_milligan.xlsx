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8615"/>
  <workbookPr/>
  <mc:AlternateContent xmlns:mc="http://schemas.openxmlformats.org/markup-compatibility/2006">
    <mc:Choice Requires="x15">
      <x15ac:absPath xmlns:x15ac="http://schemas.microsoft.com/office/spreadsheetml/2010/11/ac" url="/Users/apple/Desktop/"/>
    </mc:Choice>
  </mc:AlternateContent>
  <bookViews>
    <workbookView xWindow="0" yWindow="500" windowWidth="28800" windowHeight="17500" tabRatio="500"/>
  </bookViews>
  <sheets>
    <sheet name="INPUTS" sheetId="1" r:id="rId1"/>
    <sheet name="PROFORMA" sheetId="2" r:id="rId2"/>
    <sheet name="WATERFALL" sheetId="3" r:id="rId3"/>
    <sheet name="SENIOR LOAN" sheetId="4" r:id="rId4"/>
    <sheet name="REFI LOAN" sheetId="5" r:id="rId5"/>
    <sheet name="Lists" sheetId="6" state="hidden" r:id="rId6"/>
  </sheets>
  <calcPr calcId="15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 uri="GoogleSheetsCustomDataVersion2">
      <go:sheetsCustomData xmlns:go="http://customooxmlschemas.google.com/" r:id="rId10" roundtripDataChecksum="s0SDcy8lMNXfctfjpIHqsmkePM8IT4T/gg5Qr/UB6jw="/>
    </ext>
  </extLst>
</workbook>
</file>

<file path=xl/calcChain.xml><?xml version="1.0" encoding="utf-8"?>
<calcChain xmlns="http://schemas.openxmlformats.org/spreadsheetml/2006/main">
  <c r="C8" i="5" l="1"/>
  <c r="C9" i="5"/>
  <c r="F9" i="2"/>
  <c r="G9" i="2"/>
  <c r="H9" i="2"/>
  <c r="I9" i="2"/>
  <c r="G21" i="1"/>
  <c r="G22" i="1"/>
  <c r="G23" i="1"/>
  <c r="G24" i="1"/>
  <c r="G25" i="1"/>
  <c r="G26" i="1"/>
  <c r="G27" i="1"/>
  <c r="G28" i="1"/>
  <c r="G29" i="1"/>
  <c r="G30" i="1"/>
  <c r="G31" i="1"/>
  <c r="G32" i="1"/>
  <c r="G33" i="1"/>
  <c r="G34" i="1"/>
  <c r="G35" i="1"/>
  <c r="G13" i="2"/>
  <c r="H13" i="2"/>
  <c r="H17" i="2"/>
  <c r="H18" i="2"/>
  <c r="G20" i="2"/>
  <c r="H20" i="2"/>
  <c r="J21" i="1"/>
  <c r="L21" i="1"/>
  <c r="G38" i="1"/>
  <c r="G39" i="1"/>
  <c r="G41" i="1"/>
  <c r="L30" i="1"/>
  <c r="A35" i="1"/>
  <c r="L31" i="1"/>
  <c r="L32" i="1"/>
  <c r="G42" i="1"/>
  <c r="F21" i="2"/>
  <c r="G21" i="2"/>
  <c r="H21" i="2"/>
  <c r="H23" i="2"/>
  <c r="H41" i="2"/>
  <c r="H40" i="2"/>
  <c r="R17" i="1"/>
  <c r="R19" i="1"/>
  <c r="C7" i="5"/>
  <c r="C14" i="5"/>
  <c r="D22" i="5"/>
  <c r="E22" i="5"/>
  <c r="B22" i="5"/>
  <c r="F22" i="5"/>
  <c r="G22" i="5"/>
  <c r="D23" i="5"/>
  <c r="E23" i="5"/>
  <c r="B23" i="5"/>
  <c r="F23" i="5"/>
  <c r="G23" i="5"/>
  <c r="D24" i="5"/>
  <c r="E24" i="5"/>
  <c r="B24" i="5"/>
  <c r="F24" i="5"/>
  <c r="G24" i="5"/>
  <c r="D25" i="5"/>
  <c r="E25" i="5"/>
  <c r="B25" i="5"/>
  <c r="F25" i="5"/>
  <c r="G25" i="5"/>
  <c r="D26" i="5"/>
  <c r="E26" i="5"/>
  <c r="B26" i="5"/>
  <c r="F26" i="5"/>
  <c r="G26" i="5"/>
  <c r="D27" i="5"/>
  <c r="E27" i="5"/>
  <c r="B27" i="5"/>
  <c r="F27" i="5"/>
  <c r="G27" i="5"/>
  <c r="D28" i="5"/>
  <c r="E28" i="5"/>
  <c r="B28" i="5"/>
  <c r="F28" i="5"/>
  <c r="G28" i="5"/>
  <c r="D29" i="5"/>
  <c r="E29" i="5"/>
  <c r="B29" i="5"/>
  <c r="F29" i="5"/>
  <c r="G29" i="5"/>
  <c r="D30" i="5"/>
  <c r="E30" i="5"/>
  <c r="B30" i="5"/>
  <c r="F30" i="5"/>
  <c r="G30" i="5"/>
  <c r="D31" i="5"/>
  <c r="E31" i="5"/>
  <c r="B31" i="5"/>
  <c r="F31" i="5"/>
  <c r="G31" i="5"/>
  <c r="D32" i="5"/>
  <c r="E32" i="5"/>
  <c r="B32" i="5"/>
  <c r="F32" i="5"/>
  <c r="G32" i="5"/>
  <c r="D33" i="5"/>
  <c r="E33" i="5"/>
  <c r="B33" i="5"/>
  <c r="F33" i="5"/>
  <c r="G33" i="5"/>
  <c r="D34" i="5"/>
  <c r="E34" i="5"/>
  <c r="B34" i="5"/>
  <c r="F34" i="5"/>
  <c r="G34" i="5"/>
  <c r="D35" i="5"/>
  <c r="E35" i="5"/>
  <c r="B35" i="5"/>
  <c r="F35" i="5"/>
  <c r="G35" i="5"/>
  <c r="D36" i="5"/>
  <c r="E36" i="5"/>
  <c r="B36" i="5"/>
  <c r="F36" i="5"/>
  <c r="G36" i="5"/>
  <c r="D37" i="5"/>
  <c r="E37" i="5"/>
  <c r="B37" i="5"/>
  <c r="F37" i="5"/>
  <c r="G37" i="5"/>
  <c r="D38" i="5"/>
  <c r="E38" i="5"/>
  <c r="B38" i="5"/>
  <c r="F38" i="5"/>
  <c r="G38" i="5"/>
  <c r="D39" i="5"/>
  <c r="E39" i="5"/>
  <c r="B39" i="5"/>
  <c r="F39" i="5"/>
  <c r="G39" i="5"/>
  <c r="D40" i="5"/>
  <c r="E40" i="5"/>
  <c r="B40" i="5"/>
  <c r="F40" i="5"/>
  <c r="G40" i="5"/>
  <c r="D41" i="5"/>
  <c r="E41" i="5"/>
  <c r="B41" i="5"/>
  <c r="F41" i="5"/>
  <c r="G41" i="5"/>
  <c r="D42" i="5"/>
  <c r="E42" i="5"/>
  <c r="B42" i="5"/>
  <c r="F42" i="5"/>
  <c r="G42" i="5"/>
  <c r="D43" i="5"/>
  <c r="E43" i="5"/>
  <c r="B43" i="5"/>
  <c r="F43" i="5"/>
  <c r="G43" i="5"/>
  <c r="D44" i="5"/>
  <c r="E44" i="5"/>
  <c r="B44" i="5"/>
  <c r="F44" i="5"/>
  <c r="G44" i="5"/>
  <c r="D45" i="5"/>
  <c r="E45" i="5"/>
  <c r="B45" i="5"/>
  <c r="F45" i="5"/>
  <c r="G45" i="5"/>
  <c r="D46" i="5"/>
  <c r="E46" i="5"/>
  <c r="B46" i="5"/>
  <c r="F46" i="5"/>
  <c r="G46" i="5"/>
  <c r="D47" i="5"/>
  <c r="E47" i="5"/>
  <c r="B47" i="5"/>
  <c r="F47" i="5"/>
  <c r="G47" i="5"/>
  <c r="D48" i="5"/>
  <c r="E48" i="5"/>
  <c r="B48" i="5"/>
  <c r="F48" i="5"/>
  <c r="G48" i="5"/>
  <c r="D49" i="5"/>
  <c r="E49" i="5"/>
  <c r="B49" i="5"/>
  <c r="F49" i="5"/>
  <c r="G49" i="5"/>
  <c r="D50" i="5"/>
  <c r="E50" i="5"/>
  <c r="B50" i="5"/>
  <c r="F50" i="5"/>
  <c r="G50" i="5"/>
  <c r="D51" i="5"/>
  <c r="E51" i="5"/>
  <c r="B51" i="5"/>
  <c r="F51" i="5"/>
  <c r="G51" i="5"/>
  <c r="D52" i="5"/>
  <c r="E52" i="5"/>
  <c r="B52" i="5"/>
  <c r="F52" i="5"/>
  <c r="G52" i="5"/>
  <c r="D53" i="5"/>
  <c r="E53" i="5"/>
  <c r="B53" i="5"/>
  <c r="F53" i="5"/>
  <c r="G53" i="5"/>
  <c r="D54" i="5"/>
  <c r="E54" i="5"/>
  <c r="B54" i="5"/>
  <c r="F54" i="5"/>
  <c r="G54" i="5"/>
  <c r="D55" i="5"/>
  <c r="E55" i="5"/>
  <c r="B55" i="5"/>
  <c r="F55" i="5"/>
  <c r="G55" i="5"/>
  <c r="D56" i="5"/>
  <c r="E56" i="5"/>
  <c r="B56" i="5"/>
  <c r="F56" i="5"/>
  <c r="G56" i="5"/>
  <c r="D57" i="5"/>
  <c r="E57" i="5"/>
  <c r="B57" i="5"/>
  <c r="F57" i="5"/>
  <c r="G57" i="5"/>
  <c r="D58" i="5"/>
  <c r="E58" i="5"/>
  <c r="B58" i="5"/>
  <c r="F58" i="5"/>
  <c r="G58" i="5"/>
  <c r="D59" i="5"/>
  <c r="E59" i="5"/>
  <c r="B59" i="5"/>
  <c r="F59" i="5"/>
  <c r="G59" i="5"/>
  <c r="D60" i="5"/>
  <c r="E60" i="5"/>
  <c r="B60" i="5"/>
  <c r="F60" i="5"/>
  <c r="G60" i="5"/>
  <c r="D61" i="5"/>
  <c r="E61" i="5"/>
  <c r="B61" i="5"/>
  <c r="F61" i="5"/>
  <c r="G61" i="5"/>
  <c r="D62" i="5"/>
  <c r="E62" i="5"/>
  <c r="B62" i="5"/>
  <c r="F62" i="5"/>
  <c r="G62" i="5"/>
  <c r="D63" i="5"/>
  <c r="E63" i="5"/>
  <c r="B63" i="5"/>
  <c r="F63" i="5"/>
  <c r="G63" i="5"/>
  <c r="D64" i="5"/>
  <c r="E64" i="5"/>
  <c r="B64" i="5"/>
  <c r="F64" i="5"/>
  <c r="G64" i="5"/>
  <c r="D65" i="5"/>
  <c r="E65" i="5"/>
  <c r="B65" i="5"/>
  <c r="F65" i="5"/>
  <c r="G65" i="5"/>
  <c r="D66" i="5"/>
  <c r="E66" i="5"/>
  <c r="B66" i="5"/>
  <c r="F66" i="5"/>
  <c r="G66" i="5"/>
  <c r="D67" i="5"/>
  <c r="E67" i="5"/>
  <c r="B67" i="5"/>
  <c r="F67" i="5"/>
  <c r="G67" i="5"/>
  <c r="D68" i="5"/>
  <c r="E68" i="5"/>
  <c r="B68" i="5"/>
  <c r="F68" i="5"/>
  <c r="G68" i="5"/>
  <c r="D69" i="5"/>
  <c r="E69" i="5"/>
  <c r="B69" i="5"/>
  <c r="F69" i="5"/>
  <c r="G69" i="5"/>
  <c r="D70" i="5"/>
  <c r="E70" i="5"/>
  <c r="B70" i="5"/>
  <c r="F70" i="5"/>
  <c r="G70" i="5"/>
  <c r="D71" i="5"/>
  <c r="E71" i="5"/>
  <c r="B71" i="5"/>
  <c r="F71" i="5"/>
  <c r="G71" i="5"/>
  <c r="D72" i="5"/>
  <c r="E72" i="5"/>
  <c r="B72" i="5"/>
  <c r="F72" i="5"/>
  <c r="G72" i="5"/>
  <c r="D73" i="5"/>
  <c r="E73" i="5"/>
  <c r="B73" i="5"/>
  <c r="F73" i="5"/>
  <c r="G73" i="5"/>
  <c r="D74" i="5"/>
  <c r="E74" i="5"/>
  <c r="B74" i="5"/>
  <c r="F74" i="5"/>
  <c r="G74" i="5"/>
  <c r="D75" i="5"/>
  <c r="E75" i="5"/>
  <c r="B75" i="5"/>
  <c r="F75" i="5"/>
  <c r="G75" i="5"/>
  <c r="D76" i="5"/>
  <c r="E76" i="5"/>
  <c r="B76" i="5"/>
  <c r="F76" i="5"/>
  <c r="G76" i="5"/>
  <c r="D77" i="5"/>
  <c r="E77" i="5"/>
  <c r="B77" i="5"/>
  <c r="F77" i="5"/>
  <c r="G77" i="5"/>
  <c r="D78" i="5"/>
  <c r="E78" i="5"/>
  <c r="B78" i="5"/>
  <c r="F78" i="5"/>
  <c r="G78" i="5"/>
  <c r="D79" i="5"/>
  <c r="E79" i="5"/>
  <c r="B79" i="5"/>
  <c r="F79" i="5"/>
  <c r="G79" i="5"/>
  <c r="D80" i="5"/>
  <c r="E80" i="5"/>
  <c r="B80" i="5"/>
  <c r="F80" i="5"/>
  <c r="G80" i="5"/>
  <c r="D81" i="5"/>
  <c r="E81" i="5"/>
  <c r="B81" i="5"/>
  <c r="F81" i="5"/>
  <c r="G81" i="5"/>
  <c r="D82" i="5"/>
  <c r="E82" i="5"/>
  <c r="B82" i="5"/>
  <c r="F82" i="5"/>
  <c r="G82" i="5"/>
  <c r="D83" i="5"/>
  <c r="E83" i="5"/>
  <c r="B83" i="5"/>
  <c r="F83" i="5"/>
  <c r="G83" i="5"/>
  <c r="D84" i="5"/>
  <c r="E84" i="5"/>
  <c r="B84" i="5"/>
  <c r="F84" i="5"/>
  <c r="G84" i="5"/>
  <c r="D85" i="5"/>
  <c r="E85" i="5"/>
  <c r="B85" i="5"/>
  <c r="F85" i="5"/>
  <c r="G85" i="5"/>
  <c r="D86" i="5"/>
  <c r="E86" i="5"/>
  <c r="B86" i="5"/>
  <c r="F86" i="5"/>
  <c r="G86" i="5"/>
  <c r="D87" i="5"/>
  <c r="E87" i="5"/>
  <c r="B87" i="5"/>
  <c r="F87" i="5"/>
  <c r="G87" i="5"/>
  <c r="D88" i="5"/>
  <c r="E88" i="5"/>
  <c r="B88" i="5"/>
  <c r="F88" i="5"/>
  <c r="G88" i="5"/>
  <c r="D89" i="5"/>
  <c r="E89" i="5"/>
  <c r="B89" i="5"/>
  <c r="F89" i="5"/>
  <c r="G89" i="5"/>
  <c r="D90" i="5"/>
  <c r="E90" i="5"/>
  <c r="B90" i="5"/>
  <c r="F90" i="5"/>
  <c r="G90" i="5"/>
  <c r="D91" i="5"/>
  <c r="E91" i="5"/>
  <c r="B91" i="5"/>
  <c r="F91" i="5"/>
  <c r="G91" i="5"/>
  <c r="D92" i="5"/>
  <c r="E92" i="5"/>
  <c r="B92" i="5"/>
  <c r="F92" i="5"/>
  <c r="G92" i="5"/>
  <c r="D93" i="5"/>
  <c r="E93" i="5"/>
  <c r="B93" i="5"/>
  <c r="F93" i="5"/>
  <c r="G93" i="5"/>
  <c r="D94" i="5"/>
  <c r="E94" i="5"/>
  <c r="B94" i="5"/>
  <c r="F94" i="5"/>
  <c r="G94" i="5"/>
  <c r="D95" i="5"/>
  <c r="E95" i="5"/>
  <c r="B95" i="5"/>
  <c r="F95" i="5"/>
  <c r="G95" i="5"/>
  <c r="D96" i="5"/>
  <c r="E96" i="5"/>
  <c r="B96" i="5"/>
  <c r="F96" i="5"/>
  <c r="G96" i="5"/>
  <c r="D97" i="5"/>
  <c r="E97" i="5"/>
  <c r="B97" i="5"/>
  <c r="F97" i="5"/>
  <c r="G97" i="5"/>
  <c r="D98" i="5"/>
  <c r="E98" i="5"/>
  <c r="B98" i="5"/>
  <c r="F98" i="5"/>
  <c r="G98" i="5"/>
  <c r="D99" i="5"/>
  <c r="E99" i="5"/>
  <c r="B99" i="5"/>
  <c r="F99" i="5"/>
  <c r="G99" i="5"/>
  <c r="D100" i="5"/>
  <c r="E100" i="5"/>
  <c r="B100" i="5"/>
  <c r="F100" i="5"/>
  <c r="G100" i="5"/>
  <c r="D101" i="5"/>
  <c r="E101" i="5"/>
  <c r="B101" i="5"/>
  <c r="F101" i="5"/>
  <c r="G101" i="5"/>
  <c r="D102" i="5"/>
  <c r="E102" i="5"/>
  <c r="B102" i="5"/>
  <c r="F102" i="5"/>
  <c r="G102" i="5"/>
  <c r="D103" i="5"/>
  <c r="E103" i="5"/>
  <c r="B103" i="5"/>
  <c r="F103" i="5"/>
  <c r="G103" i="5"/>
  <c r="D104" i="5"/>
  <c r="E104" i="5"/>
  <c r="B104" i="5"/>
  <c r="F104" i="5"/>
  <c r="G104" i="5"/>
  <c r="D105" i="5"/>
  <c r="E105" i="5"/>
  <c r="B105" i="5"/>
  <c r="F105" i="5"/>
  <c r="G105" i="5"/>
  <c r="D106" i="5"/>
  <c r="E106" i="5"/>
  <c r="B106" i="5"/>
  <c r="F106" i="5"/>
  <c r="G106" i="5"/>
  <c r="D107" i="5"/>
  <c r="E107" i="5"/>
  <c r="B107" i="5"/>
  <c r="F107" i="5"/>
  <c r="G107" i="5"/>
  <c r="D108" i="5"/>
  <c r="E108" i="5"/>
  <c r="B108" i="5"/>
  <c r="F108" i="5"/>
  <c r="G108" i="5"/>
  <c r="D109" i="5"/>
  <c r="E109" i="5"/>
  <c r="B109" i="5"/>
  <c r="F109" i="5"/>
  <c r="G109" i="5"/>
  <c r="D110" i="5"/>
  <c r="E110" i="5"/>
  <c r="B110" i="5"/>
  <c r="F110" i="5"/>
  <c r="G110" i="5"/>
  <c r="D111" i="5"/>
  <c r="E111" i="5"/>
  <c r="B111" i="5"/>
  <c r="F111" i="5"/>
  <c r="G111" i="5"/>
  <c r="D112" i="5"/>
  <c r="E112" i="5"/>
  <c r="B112" i="5"/>
  <c r="F112" i="5"/>
  <c r="G112" i="5"/>
  <c r="D113" i="5"/>
  <c r="E113" i="5"/>
  <c r="B113" i="5"/>
  <c r="F113" i="5"/>
  <c r="G113" i="5"/>
  <c r="D114" i="5"/>
  <c r="E114" i="5"/>
  <c r="B114" i="5"/>
  <c r="F114" i="5"/>
  <c r="G114" i="5"/>
  <c r="D115" i="5"/>
  <c r="E115" i="5"/>
  <c r="B115" i="5"/>
  <c r="F115" i="5"/>
  <c r="G115" i="5"/>
  <c r="D116" i="5"/>
  <c r="E116" i="5"/>
  <c r="B116" i="5"/>
  <c r="F116" i="5"/>
  <c r="G116" i="5"/>
  <c r="D117" i="5"/>
  <c r="E117" i="5"/>
  <c r="B117" i="5"/>
  <c r="F117" i="5"/>
  <c r="G117" i="5"/>
  <c r="D118" i="5"/>
  <c r="E118" i="5"/>
  <c r="B118" i="5"/>
  <c r="F118" i="5"/>
  <c r="G118" i="5"/>
  <c r="D119" i="5"/>
  <c r="E119" i="5"/>
  <c r="B119" i="5"/>
  <c r="F119" i="5"/>
  <c r="G119" i="5"/>
  <c r="D120" i="5"/>
  <c r="E120" i="5"/>
  <c r="B120" i="5"/>
  <c r="F120" i="5"/>
  <c r="G120" i="5"/>
  <c r="D121" i="5"/>
  <c r="E121" i="5"/>
  <c r="B121" i="5"/>
  <c r="F121" i="5"/>
  <c r="G121" i="5"/>
  <c r="D122" i="5"/>
  <c r="E122" i="5"/>
  <c r="B122" i="5"/>
  <c r="F122" i="5"/>
  <c r="G122" i="5"/>
  <c r="D123" i="5"/>
  <c r="E123" i="5"/>
  <c r="B123" i="5"/>
  <c r="F123" i="5"/>
  <c r="G123" i="5"/>
  <c r="D124" i="5"/>
  <c r="E124" i="5"/>
  <c r="B124" i="5"/>
  <c r="F124" i="5"/>
  <c r="G124" i="5"/>
  <c r="D125" i="5"/>
  <c r="E125" i="5"/>
  <c r="B125" i="5"/>
  <c r="F125" i="5"/>
  <c r="G125" i="5"/>
  <c r="D126" i="5"/>
  <c r="E126" i="5"/>
  <c r="B126" i="5"/>
  <c r="F126" i="5"/>
  <c r="G126" i="5"/>
  <c r="D127" i="5"/>
  <c r="E127" i="5"/>
  <c r="B127" i="5"/>
  <c r="F127" i="5"/>
  <c r="G127" i="5"/>
  <c r="D128" i="5"/>
  <c r="E128" i="5"/>
  <c r="B128" i="5"/>
  <c r="F128" i="5"/>
  <c r="G128" i="5"/>
  <c r="D129" i="5"/>
  <c r="E129" i="5"/>
  <c r="B129" i="5"/>
  <c r="F129" i="5"/>
  <c r="G129" i="5"/>
  <c r="D130" i="5"/>
  <c r="E130" i="5"/>
  <c r="B130" i="5"/>
  <c r="F130" i="5"/>
  <c r="G130" i="5"/>
  <c r="D131" i="5"/>
  <c r="E131" i="5"/>
  <c r="B131" i="5"/>
  <c r="F131" i="5"/>
  <c r="G131" i="5"/>
  <c r="D132" i="5"/>
  <c r="E132" i="5"/>
  <c r="B132" i="5"/>
  <c r="F132" i="5"/>
  <c r="G132" i="5"/>
  <c r="D133" i="5"/>
  <c r="E133" i="5"/>
  <c r="B133" i="5"/>
  <c r="F133" i="5"/>
  <c r="G133" i="5"/>
  <c r="D134" i="5"/>
  <c r="E134" i="5"/>
  <c r="B134" i="5"/>
  <c r="F134" i="5"/>
  <c r="G134" i="5"/>
  <c r="D135" i="5"/>
  <c r="E135" i="5"/>
  <c r="B135" i="5"/>
  <c r="F135" i="5"/>
  <c r="G135" i="5"/>
  <c r="D136" i="5"/>
  <c r="E136" i="5"/>
  <c r="B136" i="5"/>
  <c r="F136" i="5"/>
  <c r="G136" i="5"/>
  <c r="D137" i="5"/>
  <c r="E137" i="5"/>
  <c r="B137" i="5"/>
  <c r="F137" i="5"/>
  <c r="G137" i="5"/>
  <c r="D138" i="5"/>
  <c r="E138" i="5"/>
  <c r="B138" i="5"/>
  <c r="F138" i="5"/>
  <c r="G138" i="5"/>
  <c r="D139" i="5"/>
  <c r="E139" i="5"/>
  <c r="B139" i="5"/>
  <c r="F139" i="5"/>
  <c r="G139" i="5"/>
  <c r="D140" i="5"/>
  <c r="E140" i="5"/>
  <c r="B140" i="5"/>
  <c r="F140" i="5"/>
  <c r="G140" i="5"/>
  <c r="D141" i="5"/>
  <c r="E141" i="5"/>
  <c r="B141" i="5"/>
  <c r="F141" i="5"/>
  <c r="G141" i="5"/>
  <c r="D142" i="5"/>
  <c r="E142" i="5"/>
  <c r="B142" i="5"/>
  <c r="F142" i="5"/>
  <c r="G142" i="5"/>
  <c r="D143" i="5"/>
  <c r="E143" i="5"/>
  <c r="B143" i="5"/>
  <c r="F143" i="5"/>
  <c r="G143" i="5"/>
  <c r="D144" i="5"/>
  <c r="E144" i="5"/>
  <c r="B144" i="5"/>
  <c r="F144" i="5"/>
  <c r="G144" i="5"/>
  <c r="D145" i="5"/>
  <c r="E145" i="5"/>
  <c r="B145" i="5"/>
  <c r="F145" i="5"/>
  <c r="G145" i="5"/>
  <c r="D146" i="5"/>
  <c r="E146" i="5"/>
  <c r="B146" i="5"/>
  <c r="F146" i="5"/>
  <c r="G146" i="5"/>
  <c r="D147" i="5"/>
  <c r="E147" i="5"/>
  <c r="B147" i="5"/>
  <c r="F147" i="5"/>
  <c r="G147" i="5"/>
  <c r="D148" i="5"/>
  <c r="E148" i="5"/>
  <c r="B148" i="5"/>
  <c r="F148" i="5"/>
  <c r="G148" i="5"/>
  <c r="D149" i="5"/>
  <c r="E149" i="5"/>
  <c r="B149" i="5"/>
  <c r="F149" i="5"/>
  <c r="G149" i="5"/>
  <c r="D150" i="5"/>
  <c r="E150" i="5"/>
  <c r="B150" i="5"/>
  <c r="F150" i="5"/>
  <c r="G150" i="5"/>
  <c r="D151" i="5"/>
  <c r="E151" i="5"/>
  <c r="B151" i="5"/>
  <c r="F151" i="5"/>
  <c r="G151" i="5"/>
  <c r="D152" i="5"/>
  <c r="E152" i="5"/>
  <c r="B152" i="5"/>
  <c r="F152" i="5"/>
  <c r="G152" i="5"/>
  <c r="D153" i="5"/>
  <c r="E153" i="5"/>
  <c r="B153" i="5"/>
  <c r="F153" i="5"/>
  <c r="G153" i="5"/>
  <c r="D154" i="5"/>
  <c r="E154" i="5"/>
  <c r="B154" i="5"/>
  <c r="F154" i="5"/>
  <c r="G154" i="5"/>
  <c r="D155" i="5"/>
  <c r="E155" i="5"/>
  <c r="B155" i="5"/>
  <c r="F155" i="5"/>
  <c r="G155" i="5"/>
  <c r="D156" i="5"/>
  <c r="E156" i="5"/>
  <c r="B156" i="5"/>
  <c r="F156" i="5"/>
  <c r="G156" i="5"/>
  <c r="D157" i="5"/>
  <c r="E157" i="5"/>
  <c r="B157" i="5"/>
  <c r="F157" i="5"/>
  <c r="G157" i="5"/>
  <c r="D158" i="5"/>
  <c r="E158" i="5"/>
  <c r="B158" i="5"/>
  <c r="F158" i="5"/>
  <c r="G158" i="5"/>
  <c r="D159" i="5"/>
  <c r="E159" i="5"/>
  <c r="B159" i="5"/>
  <c r="F159" i="5"/>
  <c r="G159" i="5"/>
  <c r="D160" i="5"/>
  <c r="E160" i="5"/>
  <c r="B160" i="5"/>
  <c r="F160" i="5"/>
  <c r="G160" i="5"/>
  <c r="D161" i="5"/>
  <c r="E161" i="5"/>
  <c r="B161" i="5"/>
  <c r="F161" i="5"/>
  <c r="G161" i="5"/>
  <c r="D162" i="5"/>
  <c r="E162" i="5"/>
  <c r="B162" i="5"/>
  <c r="F162" i="5"/>
  <c r="G162" i="5"/>
  <c r="D163" i="5"/>
  <c r="E163" i="5"/>
  <c r="B163" i="5"/>
  <c r="F163" i="5"/>
  <c r="G163" i="5"/>
  <c r="D164" i="5"/>
  <c r="E164" i="5"/>
  <c r="B164" i="5"/>
  <c r="F164" i="5"/>
  <c r="G164" i="5"/>
  <c r="D165" i="5"/>
  <c r="E165" i="5"/>
  <c r="B165" i="5"/>
  <c r="F165" i="5"/>
  <c r="G165" i="5"/>
  <c r="D166" i="5"/>
  <c r="E166" i="5"/>
  <c r="B166" i="5"/>
  <c r="F166" i="5"/>
  <c r="G166" i="5"/>
  <c r="D167" i="5"/>
  <c r="E167" i="5"/>
  <c r="B167" i="5"/>
  <c r="F167" i="5"/>
  <c r="G167" i="5"/>
  <c r="D168" i="5"/>
  <c r="E168" i="5"/>
  <c r="B168" i="5"/>
  <c r="F168" i="5"/>
  <c r="G168" i="5"/>
  <c r="D169" i="5"/>
  <c r="E169" i="5"/>
  <c r="B169" i="5"/>
  <c r="F169" i="5"/>
  <c r="G169" i="5"/>
  <c r="D170" i="5"/>
  <c r="E170" i="5"/>
  <c r="B170" i="5"/>
  <c r="F170" i="5"/>
  <c r="G170" i="5"/>
  <c r="D171" i="5"/>
  <c r="E171" i="5"/>
  <c r="B171" i="5"/>
  <c r="F171" i="5"/>
  <c r="G171" i="5"/>
  <c r="D172" i="5"/>
  <c r="E172" i="5"/>
  <c r="B172" i="5"/>
  <c r="F172" i="5"/>
  <c r="G172" i="5"/>
  <c r="D173" i="5"/>
  <c r="E173" i="5"/>
  <c r="B173" i="5"/>
  <c r="F173" i="5"/>
  <c r="G173" i="5"/>
  <c r="D174" i="5"/>
  <c r="E174" i="5"/>
  <c r="B174" i="5"/>
  <c r="F174" i="5"/>
  <c r="G174" i="5"/>
  <c r="D175" i="5"/>
  <c r="E175" i="5"/>
  <c r="B175" i="5"/>
  <c r="F175" i="5"/>
  <c r="G175" i="5"/>
  <c r="D176" i="5"/>
  <c r="E176" i="5"/>
  <c r="B176" i="5"/>
  <c r="F176" i="5"/>
  <c r="G176" i="5"/>
  <c r="D177" i="5"/>
  <c r="E177" i="5"/>
  <c r="B177" i="5"/>
  <c r="F177" i="5"/>
  <c r="G177" i="5"/>
  <c r="D178" i="5"/>
  <c r="E178" i="5"/>
  <c r="B178" i="5"/>
  <c r="F178" i="5"/>
  <c r="G178" i="5"/>
  <c r="D179" i="5"/>
  <c r="E179" i="5"/>
  <c r="B179" i="5"/>
  <c r="F179" i="5"/>
  <c r="G179" i="5"/>
  <c r="D180" i="5"/>
  <c r="E180" i="5"/>
  <c r="B180" i="5"/>
  <c r="F180" i="5"/>
  <c r="G180" i="5"/>
  <c r="D181" i="5"/>
  <c r="E181" i="5"/>
  <c r="B181" i="5"/>
  <c r="F181" i="5"/>
  <c r="G181" i="5"/>
  <c r="D182" i="5"/>
  <c r="E182" i="5"/>
  <c r="B182" i="5"/>
  <c r="F182" i="5"/>
  <c r="G182" i="5"/>
  <c r="D183" i="5"/>
  <c r="E183" i="5"/>
  <c r="B183" i="5"/>
  <c r="F183" i="5"/>
  <c r="G183" i="5"/>
  <c r="D184" i="5"/>
  <c r="E184" i="5"/>
  <c r="B184" i="5"/>
  <c r="F184" i="5"/>
  <c r="G184" i="5"/>
  <c r="D185" i="5"/>
  <c r="E185" i="5"/>
  <c r="B185" i="5"/>
  <c r="F185" i="5"/>
  <c r="G185" i="5"/>
  <c r="D186" i="5"/>
  <c r="E186" i="5"/>
  <c r="B186" i="5"/>
  <c r="F186" i="5"/>
  <c r="G186" i="5"/>
  <c r="D187" i="5"/>
  <c r="E187" i="5"/>
  <c r="B187" i="5"/>
  <c r="F187" i="5"/>
  <c r="G187" i="5"/>
  <c r="D188" i="5"/>
  <c r="E188" i="5"/>
  <c r="B188" i="5"/>
  <c r="F188" i="5"/>
  <c r="G188" i="5"/>
  <c r="D189" i="5"/>
  <c r="E189" i="5"/>
  <c r="B189" i="5"/>
  <c r="F189" i="5"/>
  <c r="G189" i="5"/>
  <c r="D190" i="5"/>
  <c r="E190" i="5"/>
  <c r="B190" i="5"/>
  <c r="F190" i="5"/>
  <c r="G190" i="5"/>
  <c r="D191" i="5"/>
  <c r="E191" i="5"/>
  <c r="B191" i="5"/>
  <c r="F191" i="5"/>
  <c r="G191" i="5"/>
  <c r="D192" i="5"/>
  <c r="E192" i="5"/>
  <c r="B192" i="5"/>
  <c r="F192" i="5"/>
  <c r="G192" i="5"/>
  <c r="D193" i="5"/>
  <c r="E193" i="5"/>
  <c r="B193" i="5"/>
  <c r="F193" i="5"/>
  <c r="G193" i="5"/>
  <c r="D194" i="5"/>
  <c r="E194" i="5"/>
  <c r="B194" i="5"/>
  <c r="F194" i="5"/>
  <c r="G194" i="5"/>
  <c r="D195" i="5"/>
  <c r="E195" i="5"/>
  <c r="B195" i="5"/>
  <c r="F195" i="5"/>
  <c r="G195" i="5"/>
  <c r="D196" i="5"/>
  <c r="E196" i="5"/>
  <c r="B196" i="5"/>
  <c r="F196" i="5"/>
  <c r="G196" i="5"/>
  <c r="D197" i="5"/>
  <c r="E197" i="5"/>
  <c r="B197" i="5"/>
  <c r="F197" i="5"/>
  <c r="G197" i="5"/>
  <c r="D198" i="5"/>
  <c r="E198" i="5"/>
  <c r="B198" i="5"/>
  <c r="F198" i="5"/>
  <c r="G198" i="5"/>
  <c r="D199" i="5"/>
  <c r="E199" i="5"/>
  <c r="B199" i="5"/>
  <c r="F199" i="5"/>
  <c r="G199" i="5"/>
  <c r="D200" i="5"/>
  <c r="E200" i="5"/>
  <c r="B200" i="5"/>
  <c r="F200" i="5"/>
  <c r="G200" i="5"/>
  <c r="D201" i="5"/>
  <c r="E201" i="5"/>
  <c r="B201" i="5"/>
  <c r="F201" i="5"/>
  <c r="G201" i="5"/>
  <c r="D202" i="5"/>
  <c r="E202" i="5"/>
  <c r="B202" i="5"/>
  <c r="F202" i="5"/>
  <c r="G202" i="5"/>
  <c r="D203" i="5"/>
  <c r="E203" i="5"/>
  <c r="B203" i="5"/>
  <c r="F203" i="5"/>
  <c r="G203" i="5"/>
  <c r="D204" i="5"/>
  <c r="E204" i="5"/>
  <c r="B204" i="5"/>
  <c r="F204" i="5"/>
  <c r="G204" i="5"/>
  <c r="D205" i="5"/>
  <c r="E205" i="5"/>
  <c r="B205" i="5"/>
  <c r="F205" i="5"/>
  <c r="G205" i="5"/>
  <c r="D206" i="5"/>
  <c r="E206" i="5"/>
  <c r="B206" i="5"/>
  <c r="F206" i="5"/>
  <c r="G206" i="5"/>
  <c r="D207" i="5"/>
  <c r="E207" i="5"/>
  <c r="B207" i="5"/>
  <c r="F207" i="5"/>
  <c r="G207" i="5"/>
  <c r="D208" i="5"/>
  <c r="E208" i="5"/>
  <c r="B208" i="5"/>
  <c r="F208" i="5"/>
  <c r="G208" i="5"/>
  <c r="D209" i="5"/>
  <c r="E209" i="5"/>
  <c r="B209" i="5"/>
  <c r="F209" i="5"/>
  <c r="G209" i="5"/>
  <c r="D210" i="5"/>
  <c r="E210" i="5"/>
  <c r="B210" i="5"/>
  <c r="F210" i="5"/>
  <c r="G210" i="5"/>
  <c r="D211" i="5"/>
  <c r="E211" i="5"/>
  <c r="B211" i="5"/>
  <c r="F211" i="5"/>
  <c r="G211" i="5"/>
  <c r="D212" i="5"/>
  <c r="E212" i="5"/>
  <c r="B212" i="5"/>
  <c r="F212" i="5"/>
  <c r="G212" i="5"/>
  <c r="D213" i="5"/>
  <c r="E213" i="5"/>
  <c r="B213" i="5"/>
  <c r="F213" i="5"/>
  <c r="G213" i="5"/>
  <c r="D214" i="5"/>
  <c r="E214" i="5"/>
  <c r="B214" i="5"/>
  <c r="F214" i="5"/>
  <c r="G214" i="5"/>
  <c r="D215" i="5"/>
  <c r="E215" i="5"/>
  <c r="B215" i="5"/>
  <c r="F215" i="5"/>
  <c r="G215" i="5"/>
  <c r="D216" i="5"/>
  <c r="E216" i="5"/>
  <c r="B216" i="5"/>
  <c r="F216" i="5"/>
  <c r="G216" i="5"/>
  <c r="D217" i="5"/>
  <c r="E217" i="5"/>
  <c r="B217" i="5"/>
  <c r="F217" i="5"/>
  <c r="G217" i="5"/>
  <c r="D218" i="5"/>
  <c r="E218" i="5"/>
  <c r="B218" i="5"/>
  <c r="F218" i="5"/>
  <c r="G218" i="5"/>
  <c r="D219" i="5"/>
  <c r="E219" i="5"/>
  <c r="B219" i="5"/>
  <c r="F219" i="5"/>
  <c r="G219" i="5"/>
  <c r="D220" i="5"/>
  <c r="E220" i="5"/>
  <c r="B220" i="5"/>
  <c r="F220" i="5"/>
  <c r="G220" i="5"/>
  <c r="D221" i="5"/>
  <c r="E221" i="5"/>
  <c r="B221" i="5"/>
  <c r="F221" i="5"/>
  <c r="G221" i="5"/>
  <c r="D222" i="5"/>
  <c r="E222" i="5"/>
  <c r="B222" i="5"/>
  <c r="F222" i="5"/>
  <c r="G222" i="5"/>
  <c r="D223" i="5"/>
  <c r="E223" i="5"/>
  <c r="B223" i="5"/>
  <c r="F223" i="5"/>
  <c r="G223" i="5"/>
  <c r="D224" i="5"/>
  <c r="E224" i="5"/>
  <c r="B224" i="5"/>
  <c r="F224" i="5"/>
  <c r="G224" i="5"/>
  <c r="D225" i="5"/>
  <c r="E225" i="5"/>
  <c r="B225" i="5"/>
  <c r="F225" i="5"/>
  <c r="G225" i="5"/>
  <c r="D226" i="5"/>
  <c r="E226" i="5"/>
  <c r="B226" i="5"/>
  <c r="F226" i="5"/>
  <c r="G226" i="5"/>
  <c r="D227" i="5"/>
  <c r="E227" i="5"/>
  <c r="B227" i="5"/>
  <c r="F227" i="5"/>
  <c r="G227" i="5"/>
  <c r="D228" i="5"/>
  <c r="E228" i="5"/>
  <c r="B228" i="5"/>
  <c r="F228" i="5"/>
  <c r="G228" i="5"/>
  <c r="D229" i="5"/>
  <c r="E229" i="5"/>
  <c r="B229" i="5"/>
  <c r="F229" i="5"/>
  <c r="G229" i="5"/>
  <c r="D230" i="5"/>
  <c r="E230" i="5"/>
  <c r="B230" i="5"/>
  <c r="F230" i="5"/>
  <c r="G230" i="5"/>
  <c r="D231" i="5"/>
  <c r="E231" i="5"/>
  <c r="B231" i="5"/>
  <c r="F231" i="5"/>
  <c r="G231" i="5"/>
  <c r="D232" i="5"/>
  <c r="E232" i="5"/>
  <c r="B232" i="5"/>
  <c r="F232" i="5"/>
  <c r="G232" i="5"/>
  <c r="D233" i="5"/>
  <c r="E233" i="5"/>
  <c r="B233" i="5"/>
  <c r="F233" i="5"/>
  <c r="G233" i="5"/>
  <c r="D234" i="5"/>
  <c r="E234" i="5"/>
  <c r="B234" i="5"/>
  <c r="F234" i="5"/>
  <c r="G234" i="5"/>
  <c r="D235" i="5"/>
  <c r="E235" i="5"/>
  <c r="B235" i="5"/>
  <c r="F235" i="5"/>
  <c r="G235" i="5"/>
  <c r="D236" i="5"/>
  <c r="E236" i="5"/>
  <c r="B236" i="5"/>
  <c r="F236" i="5"/>
  <c r="G236" i="5"/>
  <c r="D237" i="5"/>
  <c r="E237" i="5"/>
  <c r="B237" i="5"/>
  <c r="F237" i="5"/>
  <c r="G237" i="5"/>
  <c r="D238" i="5"/>
  <c r="E238" i="5"/>
  <c r="B238" i="5"/>
  <c r="F238" i="5"/>
  <c r="G238" i="5"/>
  <c r="D239" i="5"/>
  <c r="E239" i="5"/>
  <c r="B239" i="5"/>
  <c r="F239" i="5"/>
  <c r="G239" i="5"/>
  <c r="D240" i="5"/>
  <c r="E240" i="5"/>
  <c r="B240" i="5"/>
  <c r="F240" i="5"/>
  <c r="G240" i="5"/>
  <c r="D241" i="5"/>
  <c r="E241" i="5"/>
  <c r="B241" i="5"/>
  <c r="F241" i="5"/>
  <c r="G241" i="5"/>
  <c r="D242" i="5"/>
  <c r="E242" i="5"/>
  <c r="B242" i="5"/>
  <c r="F242" i="5"/>
  <c r="G242" i="5"/>
  <c r="D243" i="5"/>
  <c r="E243" i="5"/>
  <c r="B243" i="5"/>
  <c r="F243" i="5"/>
  <c r="G243" i="5"/>
  <c r="D244" i="5"/>
  <c r="E244" i="5"/>
  <c r="B244" i="5"/>
  <c r="F244" i="5"/>
  <c r="G244" i="5"/>
  <c r="D245" i="5"/>
  <c r="E245" i="5"/>
  <c r="B245" i="5"/>
  <c r="F245" i="5"/>
  <c r="G245" i="5"/>
  <c r="D246" i="5"/>
  <c r="E246" i="5"/>
  <c r="B246" i="5"/>
  <c r="F246" i="5"/>
  <c r="G246" i="5"/>
  <c r="D247" i="5"/>
  <c r="E247" i="5"/>
  <c r="B247" i="5"/>
  <c r="F247" i="5"/>
  <c r="G247" i="5"/>
  <c r="D248" i="5"/>
  <c r="E248" i="5"/>
  <c r="B248" i="5"/>
  <c r="F248" i="5"/>
  <c r="G248" i="5"/>
  <c r="D249" i="5"/>
  <c r="E249" i="5"/>
  <c r="B249" i="5"/>
  <c r="F249" i="5"/>
  <c r="G249" i="5"/>
  <c r="D250" i="5"/>
  <c r="E250" i="5"/>
  <c r="B250" i="5"/>
  <c r="F250" i="5"/>
  <c r="G250" i="5"/>
  <c r="D251" i="5"/>
  <c r="E251" i="5"/>
  <c r="B251" i="5"/>
  <c r="F251" i="5"/>
  <c r="G251" i="5"/>
  <c r="D252" i="5"/>
  <c r="E252" i="5"/>
  <c r="B252" i="5"/>
  <c r="F252" i="5"/>
  <c r="G252" i="5"/>
  <c r="D253" i="5"/>
  <c r="E253" i="5"/>
  <c r="B253" i="5"/>
  <c r="F253" i="5"/>
  <c r="G253" i="5"/>
  <c r="D254" i="5"/>
  <c r="E254" i="5"/>
  <c r="B254" i="5"/>
  <c r="F254" i="5"/>
  <c r="G254" i="5"/>
  <c r="D255" i="5"/>
  <c r="E255" i="5"/>
  <c r="B255" i="5"/>
  <c r="F255" i="5"/>
  <c r="G255" i="5"/>
  <c r="D256" i="5"/>
  <c r="E256" i="5"/>
  <c r="B256" i="5"/>
  <c r="F256" i="5"/>
  <c r="G256" i="5"/>
  <c r="D257" i="5"/>
  <c r="E257" i="5"/>
  <c r="B257" i="5"/>
  <c r="F257" i="5"/>
  <c r="G257" i="5"/>
  <c r="D258" i="5"/>
  <c r="E258" i="5"/>
  <c r="B258" i="5"/>
  <c r="F258" i="5"/>
  <c r="G258" i="5"/>
  <c r="D259" i="5"/>
  <c r="E259" i="5"/>
  <c r="B259" i="5"/>
  <c r="F259" i="5"/>
  <c r="G259" i="5"/>
  <c r="D260" i="5"/>
  <c r="E260" i="5"/>
  <c r="B260" i="5"/>
  <c r="F260" i="5"/>
  <c r="G260" i="5"/>
  <c r="D261" i="5"/>
  <c r="E261" i="5"/>
  <c r="B261" i="5"/>
  <c r="F261" i="5"/>
  <c r="G261" i="5"/>
  <c r="D262" i="5"/>
  <c r="E262" i="5"/>
  <c r="B262" i="5"/>
  <c r="F262" i="5"/>
  <c r="G262" i="5"/>
  <c r="D263" i="5"/>
  <c r="E263" i="5"/>
  <c r="B263" i="5"/>
  <c r="F263" i="5"/>
  <c r="G263" i="5"/>
  <c r="D264" i="5"/>
  <c r="E264" i="5"/>
  <c r="B264" i="5"/>
  <c r="F264" i="5"/>
  <c r="G264" i="5"/>
  <c r="D265" i="5"/>
  <c r="E265" i="5"/>
  <c r="B265" i="5"/>
  <c r="F265" i="5"/>
  <c r="G265" i="5"/>
  <c r="D266" i="5"/>
  <c r="E266" i="5"/>
  <c r="B266" i="5"/>
  <c r="F266" i="5"/>
  <c r="G266" i="5"/>
  <c r="D267" i="5"/>
  <c r="E267" i="5"/>
  <c r="B267" i="5"/>
  <c r="F267" i="5"/>
  <c r="G267" i="5"/>
  <c r="D268" i="5"/>
  <c r="E268" i="5"/>
  <c r="B268" i="5"/>
  <c r="F268" i="5"/>
  <c r="G268" i="5"/>
  <c r="D269" i="5"/>
  <c r="E269" i="5"/>
  <c r="B269" i="5"/>
  <c r="F269" i="5"/>
  <c r="G269" i="5"/>
  <c r="D270" i="5"/>
  <c r="E270" i="5"/>
  <c r="B270" i="5"/>
  <c r="F270" i="5"/>
  <c r="G270" i="5"/>
  <c r="D271" i="5"/>
  <c r="E271" i="5"/>
  <c r="B271" i="5"/>
  <c r="F271" i="5"/>
  <c r="G271" i="5"/>
  <c r="D272" i="5"/>
  <c r="E272" i="5"/>
  <c r="B272" i="5"/>
  <c r="F272" i="5"/>
  <c r="G272" i="5"/>
  <c r="D273" i="5"/>
  <c r="E273" i="5"/>
  <c r="B273" i="5"/>
  <c r="F273" i="5"/>
  <c r="G273" i="5"/>
  <c r="D274" i="5"/>
  <c r="E274" i="5"/>
  <c r="B274" i="5"/>
  <c r="F274" i="5"/>
  <c r="G274" i="5"/>
  <c r="D275" i="5"/>
  <c r="E275" i="5"/>
  <c r="B275" i="5"/>
  <c r="F275" i="5"/>
  <c r="G275" i="5"/>
  <c r="D276" i="5"/>
  <c r="E276" i="5"/>
  <c r="B276" i="5"/>
  <c r="F276" i="5"/>
  <c r="G276" i="5"/>
  <c r="D277" i="5"/>
  <c r="E277" i="5"/>
  <c r="B277" i="5"/>
  <c r="F277" i="5"/>
  <c r="G277" i="5"/>
  <c r="D278" i="5"/>
  <c r="E278" i="5"/>
  <c r="B278" i="5"/>
  <c r="F278" i="5"/>
  <c r="G278" i="5"/>
  <c r="D279" i="5"/>
  <c r="E279" i="5"/>
  <c r="B279" i="5"/>
  <c r="F279" i="5"/>
  <c r="G279" i="5"/>
  <c r="D280" i="5"/>
  <c r="E280" i="5"/>
  <c r="B280" i="5"/>
  <c r="F280" i="5"/>
  <c r="G280" i="5"/>
  <c r="D281" i="5"/>
  <c r="E281" i="5"/>
  <c r="B281" i="5"/>
  <c r="F281" i="5"/>
  <c r="G281" i="5"/>
  <c r="D282" i="5"/>
  <c r="E282" i="5"/>
  <c r="B282" i="5"/>
  <c r="F282" i="5"/>
  <c r="G282" i="5"/>
  <c r="D283" i="5"/>
  <c r="E283" i="5"/>
  <c r="B283" i="5"/>
  <c r="F283" i="5"/>
  <c r="G283" i="5"/>
  <c r="D284" i="5"/>
  <c r="E284" i="5"/>
  <c r="B284" i="5"/>
  <c r="F284" i="5"/>
  <c r="G284" i="5"/>
  <c r="D285" i="5"/>
  <c r="E285" i="5"/>
  <c r="B285" i="5"/>
  <c r="F285" i="5"/>
  <c r="G285" i="5"/>
  <c r="D286" i="5"/>
  <c r="E286" i="5"/>
  <c r="B286" i="5"/>
  <c r="F286" i="5"/>
  <c r="G286" i="5"/>
  <c r="D287" i="5"/>
  <c r="E287" i="5"/>
  <c r="B287" i="5"/>
  <c r="F287" i="5"/>
  <c r="G287" i="5"/>
  <c r="D288" i="5"/>
  <c r="E288" i="5"/>
  <c r="B288" i="5"/>
  <c r="F288" i="5"/>
  <c r="G288" i="5"/>
  <c r="D289" i="5"/>
  <c r="E289" i="5"/>
  <c r="B289" i="5"/>
  <c r="F289" i="5"/>
  <c r="G289" i="5"/>
  <c r="D290" i="5"/>
  <c r="E290" i="5"/>
  <c r="B290" i="5"/>
  <c r="F290" i="5"/>
  <c r="G290" i="5"/>
  <c r="D291" i="5"/>
  <c r="E291" i="5"/>
  <c r="B291" i="5"/>
  <c r="F291" i="5"/>
  <c r="G291" i="5"/>
  <c r="D292" i="5"/>
  <c r="E292" i="5"/>
  <c r="B292" i="5"/>
  <c r="F292" i="5"/>
  <c r="G292" i="5"/>
  <c r="D293" i="5"/>
  <c r="E293" i="5"/>
  <c r="B293" i="5"/>
  <c r="F293" i="5"/>
  <c r="G293" i="5"/>
  <c r="D294" i="5"/>
  <c r="E294" i="5"/>
  <c r="B294" i="5"/>
  <c r="F294" i="5"/>
  <c r="G294" i="5"/>
  <c r="D295" i="5"/>
  <c r="E295" i="5"/>
  <c r="B295" i="5"/>
  <c r="F295" i="5"/>
  <c r="G295" i="5"/>
  <c r="D296" i="5"/>
  <c r="E296" i="5"/>
  <c r="B296" i="5"/>
  <c r="F296" i="5"/>
  <c r="G296" i="5"/>
  <c r="D297" i="5"/>
  <c r="E297" i="5"/>
  <c r="B297" i="5"/>
  <c r="F297" i="5"/>
  <c r="G297" i="5"/>
  <c r="D298" i="5"/>
  <c r="E298" i="5"/>
  <c r="B298" i="5"/>
  <c r="F298" i="5"/>
  <c r="G298" i="5"/>
  <c r="D299" i="5"/>
  <c r="E299" i="5"/>
  <c r="B299" i="5"/>
  <c r="F299" i="5"/>
  <c r="G299" i="5"/>
  <c r="D300" i="5"/>
  <c r="E300" i="5"/>
  <c r="B300" i="5"/>
  <c r="F300" i="5"/>
  <c r="G300" i="5"/>
  <c r="D301" i="5"/>
  <c r="E301" i="5"/>
  <c r="B301" i="5"/>
  <c r="F301" i="5"/>
  <c r="G301" i="5"/>
  <c r="D302" i="5"/>
  <c r="E302" i="5"/>
  <c r="B302" i="5"/>
  <c r="F302" i="5"/>
  <c r="G302" i="5"/>
  <c r="D303" i="5"/>
  <c r="E303" i="5"/>
  <c r="B303" i="5"/>
  <c r="F303" i="5"/>
  <c r="G303" i="5"/>
  <c r="D304" i="5"/>
  <c r="E304" i="5"/>
  <c r="B304" i="5"/>
  <c r="F304" i="5"/>
  <c r="G304" i="5"/>
  <c r="D305" i="5"/>
  <c r="E305" i="5"/>
  <c r="B305" i="5"/>
  <c r="F305" i="5"/>
  <c r="G305" i="5"/>
  <c r="D306" i="5"/>
  <c r="E306" i="5"/>
  <c r="B306" i="5"/>
  <c r="F306" i="5"/>
  <c r="G306" i="5"/>
  <c r="D307" i="5"/>
  <c r="E307" i="5"/>
  <c r="B307" i="5"/>
  <c r="F307" i="5"/>
  <c r="G307" i="5"/>
  <c r="D308" i="5"/>
  <c r="E308" i="5"/>
  <c r="B308" i="5"/>
  <c r="F308" i="5"/>
  <c r="G308" i="5"/>
  <c r="D309" i="5"/>
  <c r="E309" i="5"/>
  <c r="B309" i="5"/>
  <c r="F309" i="5"/>
  <c r="G309" i="5"/>
  <c r="D310" i="5"/>
  <c r="E310" i="5"/>
  <c r="B310" i="5"/>
  <c r="F310" i="5"/>
  <c r="G310" i="5"/>
  <c r="D311" i="5"/>
  <c r="E311" i="5"/>
  <c r="B311" i="5"/>
  <c r="F311" i="5"/>
  <c r="G311" i="5"/>
  <c r="D312" i="5"/>
  <c r="E312" i="5"/>
  <c r="B312" i="5"/>
  <c r="F312" i="5"/>
  <c r="G312" i="5"/>
  <c r="D313" i="5"/>
  <c r="E313" i="5"/>
  <c r="B313" i="5"/>
  <c r="F313" i="5"/>
  <c r="G313" i="5"/>
  <c r="D314" i="5"/>
  <c r="E314" i="5"/>
  <c r="B314" i="5"/>
  <c r="F314" i="5"/>
  <c r="G314" i="5"/>
  <c r="D315" i="5"/>
  <c r="E315" i="5"/>
  <c r="B315" i="5"/>
  <c r="F315" i="5"/>
  <c r="G315" i="5"/>
  <c r="D316" i="5"/>
  <c r="E316" i="5"/>
  <c r="B316" i="5"/>
  <c r="F316" i="5"/>
  <c r="G316" i="5"/>
  <c r="D317" i="5"/>
  <c r="E317" i="5"/>
  <c r="B317" i="5"/>
  <c r="F317" i="5"/>
  <c r="G317" i="5"/>
  <c r="D318" i="5"/>
  <c r="E318" i="5"/>
  <c r="B318" i="5"/>
  <c r="F318" i="5"/>
  <c r="G318" i="5"/>
  <c r="D319" i="5"/>
  <c r="E319" i="5"/>
  <c r="B319" i="5"/>
  <c r="F319" i="5"/>
  <c r="G319" i="5"/>
  <c r="D320" i="5"/>
  <c r="E320" i="5"/>
  <c r="B320" i="5"/>
  <c r="F320" i="5"/>
  <c r="G320" i="5"/>
  <c r="D321" i="5"/>
  <c r="E321" i="5"/>
  <c r="B321" i="5"/>
  <c r="F321" i="5"/>
  <c r="G321" i="5"/>
  <c r="D322" i="5"/>
  <c r="E322" i="5"/>
  <c r="B322" i="5"/>
  <c r="F322" i="5"/>
  <c r="G322" i="5"/>
  <c r="D323" i="5"/>
  <c r="E323" i="5"/>
  <c r="B323" i="5"/>
  <c r="F323" i="5"/>
  <c r="G323" i="5"/>
  <c r="D324" i="5"/>
  <c r="E324" i="5"/>
  <c r="B324" i="5"/>
  <c r="F324" i="5"/>
  <c r="G324" i="5"/>
  <c r="D325" i="5"/>
  <c r="E325" i="5"/>
  <c r="B325" i="5"/>
  <c r="F325" i="5"/>
  <c r="G325" i="5"/>
  <c r="D326" i="5"/>
  <c r="E326" i="5"/>
  <c r="B326" i="5"/>
  <c r="F326" i="5"/>
  <c r="G326" i="5"/>
  <c r="D327" i="5"/>
  <c r="E327" i="5"/>
  <c r="B327" i="5"/>
  <c r="F327" i="5"/>
  <c r="G327" i="5"/>
  <c r="D328" i="5"/>
  <c r="E328" i="5"/>
  <c r="B328" i="5"/>
  <c r="F328" i="5"/>
  <c r="G328" i="5"/>
  <c r="D329" i="5"/>
  <c r="E329" i="5"/>
  <c r="B329" i="5"/>
  <c r="F329" i="5"/>
  <c r="G329" i="5"/>
  <c r="D330" i="5"/>
  <c r="E330" i="5"/>
  <c r="B330" i="5"/>
  <c r="F330" i="5"/>
  <c r="G330" i="5"/>
  <c r="D331" i="5"/>
  <c r="E331" i="5"/>
  <c r="B331" i="5"/>
  <c r="F331" i="5"/>
  <c r="G331" i="5"/>
  <c r="D332" i="5"/>
  <c r="E332" i="5"/>
  <c r="B332" i="5"/>
  <c r="F332" i="5"/>
  <c r="G332" i="5"/>
  <c r="D333" i="5"/>
  <c r="E333" i="5"/>
  <c r="B333" i="5"/>
  <c r="F333" i="5"/>
  <c r="G333" i="5"/>
  <c r="D334" i="5"/>
  <c r="E334" i="5"/>
  <c r="B334" i="5"/>
  <c r="F334" i="5"/>
  <c r="G334" i="5"/>
  <c r="D335" i="5"/>
  <c r="E335" i="5"/>
  <c r="B335" i="5"/>
  <c r="F335" i="5"/>
  <c r="G335" i="5"/>
  <c r="D336" i="5"/>
  <c r="E336" i="5"/>
  <c r="B336" i="5"/>
  <c r="F336" i="5"/>
  <c r="G336" i="5"/>
  <c r="D337" i="5"/>
  <c r="E337" i="5"/>
  <c r="B337" i="5"/>
  <c r="F337" i="5"/>
  <c r="G337" i="5"/>
  <c r="D338" i="5"/>
  <c r="E338" i="5"/>
  <c r="B338" i="5"/>
  <c r="F338" i="5"/>
  <c r="G338" i="5"/>
  <c r="D339" i="5"/>
  <c r="E339" i="5"/>
  <c r="B339" i="5"/>
  <c r="F339" i="5"/>
  <c r="G339" i="5"/>
  <c r="D340" i="5"/>
  <c r="E340" i="5"/>
  <c r="B340" i="5"/>
  <c r="F340" i="5"/>
  <c r="G340" i="5"/>
  <c r="D341" i="5"/>
  <c r="E341" i="5"/>
  <c r="B341" i="5"/>
  <c r="F341" i="5"/>
  <c r="G341" i="5"/>
  <c r="D342" i="5"/>
  <c r="E342" i="5"/>
  <c r="B342" i="5"/>
  <c r="F342" i="5"/>
  <c r="G342" i="5"/>
  <c r="D343" i="5"/>
  <c r="E343" i="5"/>
  <c r="B343" i="5"/>
  <c r="F343" i="5"/>
  <c r="G343" i="5"/>
  <c r="D344" i="5"/>
  <c r="E344" i="5"/>
  <c r="B344" i="5"/>
  <c r="F344" i="5"/>
  <c r="G344" i="5"/>
  <c r="D345" i="5"/>
  <c r="E345" i="5"/>
  <c r="B345" i="5"/>
  <c r="F345" i="5"/>
  <c r="G345" i="5"/>
  <c r="D346" i="5"/>
  <c r="E346" i="5"/>
  <c r="B346" i="5"/>
  <c r="F346" i="5"/>
  <c r="G346" i="5"/>
  <c r="D347" i="5"/>
  <c r="E347" i="5"/>
  <c r="B347" i="5"/>
  <c r="F347" i="5"/>
  <c r="G347" i="5"/>
  <c r="D348" i="5"/>
  <c r="E348" i="5"/>
  <c r="B348" i="5"/>
  <c r="F348" i="5"/>
  <c r="G348" i="5"/>
  <c r="D349" i="5"/>
  <c r="E349" i="5"/>
  <c r="B349" i="5"/>
  <c r="F349" i="5"/>
  <c r="G349" i="5"/>
  <c r="D350" i="5"/>
  <c r="E350" i="5"/>
  <c r="B350" i="5"/>
  <c r="F350" i="5"/>
  <c r="G350" i="5"/>
  <c r="D351" i="5"/>
  <c r="E351" i="5"/>
  <c r="B351" i="5"/>
  <c r="F351" i="5"/>
  <c r="G351" i="5"/>
  <c r="D352" i="5"/>
  <c r="E352" i="5"/>
  <c r="B352" i="5"/>
  <c r="F352" i="5"/>
  <c r="G352" i="5"/>
  <c r="D353" i="5"/>
  <c r="E353" i="5"/>
  <c r="B353" i="5"/>
  <c r="F353" i="5"/>
  <c r="G353" i="5"/>
  <c r="D354" i="5"/>
  <c r="E354" i="5"/>
  <c r="B354" i="5"/>
  <c r="F354" i="5"/>
  <c r="G354" i="5"/>
  <c r="D355" i="5"/>
  <c r="E355" i="5"/>
  <c r="B355" i="5"/>
  <c r="F355" i="5"/>
  <c r="G355" i="5"/>
  <c r="D356" i="5"/>
  <c r="E356" i="5"/>
  <c r="B356" i="5"/>
  <c r="F356" i="5"/>
  <c r="G356" i="5"/>
  <c r="D357" i="5"/>
  <c r="E357" i="5"/>
  <c r="B357" i="5"/>
  <c r="F357" i="5"/>
  <c r="G357" i="5"/>
  <c r="D358" i="5"/>
  <c r="E358" i="5"/>
  <c r="B358" i="5"/>
  <c r="F358" i="5"/>
  <c r="G358" i="5"/>
  <c r="D359" i="5"/>
  <c r="E359" i="5"/>
  <c r="B359" i="5"/>
  <c r="F359" i="5"/>
  <c r="G359" i="5"/>
  <c r="D360" i="5"/>
  <c r="E360" i="5"/>
  <c r="B360" i="5"/>
  <c r="F360" i="5"/>
  <c r="G360" i="5"/>
  <c r="D361" i="5"/>
  <c r="E361" i="5"/>
  <c r="B361" i="5"/>
  <c r="F361" i="5"/>
  <c r="G361" i="5"/>
  <c r="D362" i="5"/>
  <c r="E362" i="5"/>
  <c r="B362" i="5"/>
  <c r="F362" i="5"/>
  <c r="G362" i="5"/>
  <c r="D363" i="5"/>
  <c r="E363" i="5"/>
  <c r="B363" i="5"/>
  <c r="F363" i="5"/>
  <c r="G363" i="5"/>
  <c r="D364" i="5"/>
  <c r="E364" i="5"/>
  <c r="B364" i="5"/>
  <c r="F364" i="5"/>
  <c r="G364" i="5"/>
  <c r="D365" i="5"/>
  <c r="E365" i="5"/>
  <c r="B365" i="5"/>
  <c r="F365" i="5"/>
  <c r="G365" i="5"/>
  <c r="D366" i="5"/>
  <c r="E366" i="5"/>
  <c r="B366" i="5"/>
  <c r="F366" i="5"/>
  <c r="G366" i="5"/>
  <c r="D367" i="5"/>
  <c r="E367" i="5"/>
  <c r="B367" i="5"/>
  <c r="F367" i="5"/>
  <c r="G367" i="5"/>
  <c r="D368" i="5"/>
  <c r="E368" i="5"/>
  <c r="B368" i="5"/>
  <c r="F368" i="5"/>
  <c r="G368" i="5"/>
  <c r="D369" i="5"/>
  <c r="E369" i="5"/>
  <c r="B369" i="5"/>
  <c r="F369" i="5"/>
  <c r="G369" i="5"/>
  <c r="D370" i="5"/>
  <c r="E370" i="5"/>
  <c r="B370" i="5"/>
  <c r="F370" i="5"/>
  <c r="G370" i="5"/>
  <c r="D371" i="5"/>
  <c r="E371" i="5"/>
  <c r="B371" i="5"/>
  <c r="F371" i="5"/>
  <c r="G371" i="5"/>
  <c r="D372" i="5"/>
  <c r="E372" i="5"/>
  <c r="B372" i="5"/>
  <c r="F372" i="5"/>
  <c r="G372" i="5"/>
  <c r="D373" i="5"/>
  <c r="E373" i="5"/>
  <c r="B373" i="5"/>
  <c r="F373" i="5"/>
  <c r="G373" i="5"/>
  <c r="D374" i="5"/>
  <c r="E374" i="5"/>
  <c r="B374" i="5"/>
  <c r="F374" i="5"/>
  <c r="G374" i="5"/>
  <c r="D375" i="5"/>
  <c r="E375" i="5"/>
  <c r="B375" i="5"/>
  <c r="F375" i="5"/>
  <c r="G375" i="5"/>
  <c r="D376" i="5"/>
  <c r="E376" i="5"/>
  <c r="B376" i="5"/>
  <c r="F376" i="5"/>
  <c r="G376" i="5"/>
  <c r="D377" i="5"/>
  <c r="E377" i="5"/>
  <c r="B377" i="5"/>
  <c r="F377" i="5"/>
  <c r="G377" i="5"/>
  <c r="D378" i="5"/>
  <c r="E378" i="5"/>
  <c r="B378" i="5"/>
  <c r="F378" i="5"/>
  <c r="G378" i="5"/>
  <c r="D379" i="5"/>
  <c r="E379" i="5"/>
  <c r="B379" i="5"/>
  <c r="F379" i="5"/>
  <c r="G379" i="5"/>
  <c r="D380" i="5"/>
  <c r="E380" i="5"/>
  <c r="B380" i="5"/>
  <c r="F380" i="5"/>
  <c r="G380" i="5"/>
  <c r="D381" i="5"/>
  <c r="E381" i="5"/>
  <c r="B381" i="5"/>
  <c r="F381" i="5"/>
  <c r="F382" i="5"/>
  <c r="E382" i="5"/>
  <c r="H381" i="5"/>
  <c r="G381" i="5"/>
  <c r="C1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A381" i="5"/>
  <c r="H380" i="5"/>
  <c r="A380" i="5"/>
  <c r="H379" i="5"/>
  <c r="A379" i="5"/>
  <c r="H378" i="5"/>
  <c r="A378" i="5"/>
  <c r="H377" i="5"/>
  <c r="A377" i="5"/>
  <c r="H376" i="5"/>
  <c r="A376" i="5"/>
  <c r="H375" i="5"/>
  <c r="A375" i="5"/>
  <c r="H374" i="5"/>
  <c r="A374" i="5"/>
  <c r="H373" i="5"/>
  <c r="A373" i="5"/>
  <c r="H372" i="5"/>
  <c r="A372" i="5"/>
  <c r="H371" i="5"/>
  <c r="A371" i="5"/>
  <c r="H370" i="5"/>
  <c r="A370" i="5"/>
  <c r="H369" i="5"/>
  <c r="A369" i="5"/>
  <c r="H368" i="5"/>
  <c r="A368" i="5"/>
  <c r="H367" i="5"/>
  <c r="A367" i="5"/>
  <c r="H366" i="5"/>
  <c r="A366" i="5"/>
  <c r="H365" i="5"/>
  <c r="A365" i="5"/>
  <c r="H364" i="5"/>
  <c r="A364" i="5"/>
  <c r="H363" i="5"/>
  <c r="A363" i="5"/>
  <c r="H362" i="5"/>
  <c r="A362" i="5"/>
  <c r="H361" i="5"/>
  <c r="A361" i="5"/>
  <c r="H360" i="5"/>
  <c r="A360" i="5"/>
  <c r="H359" i="5"/>
  <c r="A359" i="5"/>
  <c r="H358" i="5"/>
  <c r="A358" i="5"/>
  <c r="H357" i="5"/>
  <c r="A357" i="5"/>
  <c r="H356" i="5"/>
  <c r="A356" i="5"/>
  <c r="H355" i="5"/>
  <c r="A355" i="5"/>
  <c r="H354" i="5"/>
  <c r="A354" i="5"/>
  <c r="H353" i="5"/>
  <c r="A353" i="5"/>
  <c r="H352" i="5"/>
  <c r="A352" i="5"/>
  <c r="H351" i="5"/>
  <c r="A351" i="5"/>
  <c r="H350" i="5"/>
  <c r="A350" i="5"/>
  <c r="H349" i="5"/>
  <c r="A349" i="5"/>
  <c r="H348" i="5"/>
  <c r="A348" i="5"/>
  <c r="H347" i="5"/>
  <c r="A347" i="5"/>
  <c r="H346" i="5"/>
  <c r="A346" i="5"/>
  <c r="H345" i="5"/>
  <c r="A345" i="5"/>
  <c r="H344" i="5"/>
  <c r="A344" i="5"/>
  <c r="H343" i="5"/>
  <c r="A343" i="5"/>
  <c r="H342" i="5"/>
  <c r="A342" i="5"/>
  <c r="H341" i="5"/>
  <c r="A341" i="5"/>
  <c r="H340" i="5"/>
  <c r="A340" i="5"/>
  <c r="H339" i="5"/>
  <c r="A339" i="5"/>
  <c r="H338" i="5"/>
  <c r="A338" i="5"/>
  <c r="H337" i="5"/>
  <c r="A337" i="5"/>
  <c r="H336" i="5"/>
  <c r="A336" i="5"/>
  <c r="H335" i="5"/>
  <c r="A335" i="5"/>
  <c r="H334" i="5"/>
  <c r="A334" i="5"/>
  <c r="H333" i="5"/>
  <c r="A333" i="5"/>
  <c r="H332" i="5"/>
  <c r="A332" i="5"/>
  <c r="H331" i="5"/>
  <c r="A331" i="5"/>
  <c r="H330" i="5"/>
  <c r="A330" i="5"/>
  <c r="H329" i="5"/>
  <c r="A329" i="5"/>
  <c r="H328" i="5"/>
  <c r="A328" i="5"/>
  <c r="H327" i="5"/>
  <c r="A327" i="5"/>
  <c r="H326" i="5"/>
  <c r="A326" i="5"/>
  <c r="H325" i="5"/>
  <c r="A325" i="5"/>
  <c r="H324" i="5"/>
  <c r="A324" i="5"/>
  <c r="H323" i="5"/>
  <c r="A323" i="5"/>
  <c r="H322" i="5"/>
  <c r="A322" i="5"/>
  <c r="H321" i="5"/>
  <c r="A321" i="5"/>
  <c r="H320" i="5"/>
  <c r="A320" i="5"/>
  <c r="H319" i="5"/>
  <c r="A319" i="5"/>
  <c r="H318" i="5"/>
  <c r="A318" i="5"/>
  <c r="H317" i="5"/>
  <c r="A317" i="5"/>
  <c r="H316" i="5"/>
  <c r="A316" i="5"/>
  <c r="H315" i="5"/>
  <c r="A315" i="5"/>
  <c r="H314" i="5"/>
  <c r="A314" i="5"/>
  <c r="H313" i="5"/>
  <c r="A313" i="5"/>
  <c r="H312" i="5"/>
  <c r="A312" i="5"/>
  <c r="H311" i="5"/>
  <c r="A311" i="5"/>
  <c r="H310" i="5"/>
  <c r="A310" i="5"/>
  <c r="H309" i="5"/>
  <c r="A309" i="5"/>
  <c r="H308" i="5"/>
  <c r="A308" i="5"/>
  <c r="H307" i="5"/>
  <c r="A307" i="5"/>
  <c r="H306" i="5"/>
  <c r="A306" i="5"/>
  <c r="H305" i="5"/>
  <c r="A305" i="5"/>
  <c r="H304" i="5"/>
  <c r="A304" i="5"/>
  <c r="H303" i="5"/>
  <c r="A303" i="5"/>
  <c r="H302" i="5"/>
  <c r="A302" i="5"/>
  <c r="H301" i="5"/>
  <c r="A301" i="5"/>
  <c r="H300" i="5"/>
  <c r="A300" i="5"/>
  <c r="H299" i="5"/>
  <c r="A299" i="5"/>
  <c r="H298" i="5"/>
  <c r="A298" i="5"/>
  <c r="H297" i="5"/>
  <c r="A297" i="5"/>
  <c r="H296" i="5"/>
  <c r="A296" i="5"/>
  <c r="H295" i="5"/>
  <c r="A295" i="5"/>
  <c r="H294" i="5"/>
  <c r="A294" i="5"/>
  <c r="H293" i="5"/>
  <c r="A293" i="5"/>
  <c r="H292" i="5"/>
  <c r="A292" i="5"/>
  <c r="H291" i="5"/>
  <c r="A291" i="5"/>
  <c r="H290" i="5"/>
  <c r="A290" i="5"/>
  <c r="H289" i="5"/>
  <c r="A289" i="5"/>
  <c r="H288" i="5"/>
  <c r="A288" i="5"/>
  <c r="H287" i="5"/>
  <c r="A287" i="5"/>
  <c r="H286" i="5"/>
  <c r="A286" i="5"/>
  <c r="H285" i="5"/>
  <c r="A285" i="5"/>
  <c r="H284" i="5"/>
  <c r="A284" i="5"/>
  <c r="H283" i="5"/>
  <c r="A283" i="5"/>
  <c r="H282" i="5"/>
  <c r="A282" i="5"/>
  <c r="H281" i="5"/>
  <c r="A281" i="5"/>
  <c r="H280" i="5"/>
  <c r="A280" i="5"/>
  <c r="H279" i="5"/>
  <c r="A279" i="5"/>
  <c r="H278" i="5"/>
  <c r="A278" i="5"/>
  <c r="H277" i="5"/>
  <c r="A277" i="5"/>
  <c r="H276" i="5"/>
  <c r="A276" i="5"/>
  <c r="H275" i="5"/>
  <c r="A275" i="5"/>
  <c r="H274" i="5"/>
  <c r="A274" i="5"/>
  <c r="H273" i="5"/>
  <c r="A273" i="5"/>
  <c r="H272" i="5"/>
  <c r="A272" i="5"/>
  <c r="H271" i="5"/>
  <c r="A271" i="5"/>
  <c r="H270" i="5"/>
  <c r="A270" i="5"/>
  <c r="H269" i="5"/>
  <c r="A269" i="5"/>
  <c r="H268" i="5"/>
  <c r="A268" i="5"/>
  <c r="H267" i="5"/>
  <c r="A267" i="5"/>
  <c r="H266" i="5"/>
  <c r="A266" i="5"/>
  <c r="H265" i="5"/>
  <c r="A265" i="5"/>
  <c r="H264" i="5"/>
  <c r="A264" i="5"/>
  <c r="H263" i="5"/>
  <c r="A263" i="5"/>
  <c r="H262" i="5"/>
  <c r="A262" i="5"/>
  <c r="H261" i="5"/>
  <c r="A261" i="5"/>
  <c r="H260" i="5"/>
  <c r="A260" i="5"/>
  <c r="H259" i="5"/>
  <c r="A259" i="5"/>
  <c r="H258" i="5"/>
  <c r="A258" i="5"/>
  <c r="H257" i="5"/>
  <c r="A257" i="5"/>
  <c r="H256" i="5"/>
  <c r="A256" i="5"/>
  <c r="H255" i="5"/>
  <c r="A255" i="5"/>
  <c r="H254" i="5"/>
  <c r="A254" i="5"/>
  <c r="H253" i="5"/>
  <c r="A253" i="5"/>
  <c r="H252" i="5"/>
  <c r="A252" i="5"/>
  <c r="H251" i="5"/>
  <c r="A251" i="5"/>
  <c r="H250" i="5"/>
  <c r="A250" i="5"/>
  <c r="H249" i="5"/>
  <c r="A249" i="5"/>
  <c r="H248" i="5"/>
  <c r="A248" i="5"/>
  <c r="H247" i="5"/>
  <c r="A247" i="5"/>
  <c r="H246" i="5"/>
  <c r="A246" i="5"/>
  <c r="H245" i="5"/>
  <c r="A245" i="5"/>
  <c r="H244" i="5"/>
  <c r="A244" i="5"/>
  <c r="H243" i="5"/>
  <c r="A243" i="5"/>
  <c r="H242" i="5"/>
  <c r="A242" i="5"/>
  <c r="H241" i="5"/>
  <c r="A241" i="5"/>
  <c r="H240" i="5"/>
  <c r="A240" i="5"/>
  <c r="H239" i="5"/>
  <c r="A239" i="5"/>
  <c r="H238" i="5"/>
  <c r="A238" i="5"/>
  <c r="H237" i="5"/>
  <c r="A237" i="5"/>
  <c r="H236" i="5"/>
  <c r="A236" i="5"/>
  <c r="H235" i="5"/>
  <c r="A235" i="5"/>
  <c r="H234" i="5"/>
  <c r="A234" i="5"/>
  <c r="H233" i="5"/>
  <c r="A233" i="5"/>
  <c r="H232" i="5"/>
  <c r="A232" i="5"/>
  <c r="H231" i="5"/>
  <c r="A231" i="5"/>
  <c r="H230" i="5"/>
  <c r="A230" i="5"/>
  <c r="H229" i="5"/>
  <c r="A229" i="5"/>
  <c r="H228" i="5"/>
  <c r="A228" i="5"/>
  <c r="H227" i="5"/>
  <c r="A227" i="5"/>
  <c r="H226" i="5"/>
  <c r="A226" i="5"/>
  <c r="H225" i="5"/>
  <c r="A225" i="5"/>
  <c r="H224" i="5"/>
  <c r="A224" i="5"/>
  <c r="H223" i="5"/>
  <c r="A223" i="5"/>
  <c r="H222" i="5"/>
  <c r="A222" i="5"/>
  <c r="H221" i="5"/>
  <c r="A221" i="5"/>
  <c r="H220" i="5"/>
  <c r="A220" i="5"/>
  <c r="H219" i="5"/>
  <c r="A219" i="5"/>
  <c r="H218" i="5"/>
  <c r="A218" i="5"/>
  <c r="H217" i="5"/>
  <c r="A217" i="5"/>
  <c r="H216" i="5"/>
  <c r="A216" i="5"/>
  <c r="H215" i="5"/>
  <c r="A215" i="5"/>
  <c r="H214" i="5"/>
  <c r="A214" i="5"/>
  <c r="H213" i="5"/>
  <c r="A213" i="5"/>
  <c r="H212" i="5"/>
  <c r="A212" i="5"/>
  <c r="H211" i="5"/>
  <c r="A211" i="5"/>
  <c r="H210" i="5"/>
  <c r="A210" i="5"/>
  <c r="H209" i="5"/>
  <c r="A209" i="5"/>
  <c r="H208" i="5"/>
  <c r="A208" i="5"/>
  <c r="H207" i="5"/>
  <c r="A207" i="5"/>
  <c r="H206" i="5"/>
  <c r="A206" i="5"/>
  <c r="H205" i="5"/>
  <c r="A205" i="5"/>
  <c r="H204" i="5"/>
  <c r="A204" i="5"/>
  <c r="H203" i="5"/>
  <c r="A203" i="5"/>
  <c r="H202" i="5"/>
  <c r="A202" i="5"/>
  <c r="H201" i="5"/>
  <c r="A201" i="5"/>
  <c r="H200" i="5"/>
  <c r="A200" i="5"/>
  <c r="H199" i="5"/>
  <c r="A199" i="5"/>
  <c r="H198" i="5"/>
  <c r="A198" i="5"/>
  <c r="H197" i="5"/>
  <c r="A197" i="5"/>
  <c r="H196" i="5"/>
  <c r="A196" i="5"/>
  <c r="H195" i="5"/>
  <c r="A195" i="5"/>
  <c r="H194" i="5"/>
  <c r="A194" i="5"/>
  <c r="H193" i="5"/>
  <c r="A193" i="5"/>
  <c r="H192" i="5"/>
  <c r="A192" i="5"/>
  <c r="H191" i="5"/>
  <c r="A191" i="5"/>
  <c r="H190" i="5"/>
  <c r="A190" i="5"/>
  <c r="H189" i="5"/>
  <c r="A189" i="5"/>
  <c r="H188" i="5"/>
  <c r="A188" i="5"/>
  <c r="H187" i="5"/>
  <c r="A187" i="5"/>
  <c r="H186" i="5"/>
  <c r="A186" i="5"/>
  <c r="H185" i="5"/>
  <c r="A185" i="5"/>
  <c r="H184" i="5"/>
  <c r="A184" i="5"/>
  <c r="H183" i="5"/>
  <c r="A183" i="5"/>
  <c r="H182" i="5"/>
  <c r="A182" i="5"/>
  <c r="H181" i="5"/>
  <c r="A181" i="5"/>
  <c r="H180" i="5"/>
  <c r="A180" i="5"/>
  <c r="H179" i="5"/>
  <c r="A179" i="5"/>
  <c r="H178" i="5"/>
  <c r="A178" i="5"/>
  <c r="H177" i="5"/>
  <c r="A177" i="5"/>
  <c r="H176" i="5"/>
  <c r="A176" i="5"/>
  <c r="H175" i="5"/>
  <c r="A175" i="5"/>
  <c r="H174" i="5"/>
  <c r="A174" i="5"/>
  <c r="H173" i="5"/>
  <c r="A173" i="5"/>
  <c r="H172" i="5"/>
  <c r="A172" i="5"/>
  <c r="H171" i="5"/>
  <c r="A171" i="5"/>
  <c r="H170" i="5"/>
  <c r="A170" i="5"/>
  <c r="H169" i="5"/>
  <c r="A169" i="5"/>
  <c r="H168" i="5"/>
  <c r="A168" i="5"/>
  <c r="H167" i="5"/>
  <c r="A167" i="5"/>
  <c r="H166" i="5"/>
  <c r="A166" i="5"/>
  <c r="H165" i="5"/>
  <c r="A165" i="5"/>
  <c r="H164" i="5"/>
  <c r="A164" i="5"/>
  <c r="H163" i="5"/>
  <c r="A163" i="5"/>
  <c r="H162" i="5"/>
  <c r="A162" i="5"/>
  <c r="H161" i="5"/>
  <c r="A161" i="5"/>
  <c r="H160" i="5"/>
  <c r="A160" i="5"/>
  <c r="H159" i="5"/>
  <c r="A159" i="5"/>
  <c r="H158" i="5"/>
  <c r="A158" i="5"/>
  <c r="H157" i="5"/>
  <c r="A157" i="5"/>
  <c r="H156" i="5"/>
  <c r="A156" i="5"/>
  <c r="H155" i="5"/>
  <c r="A155" i="5"/>
  <c r="H154" i="5"/>
  <c r="A154" i="5"/>
  <c r="H153" i="5"/>
  <c r="A153" i="5"/>
  <c r="H152" i="5"/>
  <c r="A152" i="5"/>
  <c r="H151" i="5"/>
  <c r="A151" i="5"/>
  <c r="H150" i="5"/>
  <c r="A150" i="5"/>
  <c r="H149" i="5"/>
  <c r="A149" i="5"/>
  <c r="H148" i="5"/>
  <c r="A148" i="5"/>
  <c r="H147" i="5"/>
  <c r="A147" i="5"/>
  <c r="H146" i="5"/>
  <c r="A146" i="5"/>
  <c r="H145" i="5"/>
  <c r="A145" i="5"/>
  <c r="H144" i="5"/>
  <c r="A144" i="5"/>
  <c r="H143" i="5"/>
  <c r="A143" i="5"/>
  <c r="H142" i="5"/>
  <c r="A142" i="5"/>
  <c r="H141" i="5"/>
  <c r="A141" i="5"/>
  <c r="H140" i="5"/>
  <c r="A140" i="5"/>
  <c r="H139" i="5"/>
  <c r="A139" i="5"/>
  <c r="H138" i="5"/>
  <c r="A138" i="5"/>
  <c r="H137" i="5"/>
  <c r="A137" i="5"/>
  <c r="H136" i="5"/>
  <c r="A136" i="5"/>
  <c r="H135" i="5"/>
  <c r="A135" i="5"/>
  <c r="H134" i="5"/>
  <c r="A134" i="5"/>
  <c r="H133" i="5"/>
  <c r="A133" i="5"/>
  <c r="H132" i="5"/>
  <c r="A132" i="5"/>
  <c r="H131" i="5"/>
  <c r="A131" i="5"/>
  <c r="H130" i="5"/>
  <c r="A130" i="5"/>
  <c r="H129" i="5"/>
  <c r="A129" i="5"/>
  <c r="H128" i="5"/>
  <c r="A128" i="5"/>
  <c r="H127" i="5"/>
  <c r="A127" i="5"/>
  <c r="H126" i="5"/>
  <c r="A126" i="5"/>
  <c r="H125" i="5"/>
  <c r="A125" i="5"/>
  <c r="H124" i="5"/>
  <c r="A124" i="5"/>
  <c r="H123" i="5"/>
  <c r="A123" i="5"/>
  <c r="H122" i="5"/>
  <c r="A122" i="5"/>
  <c r="H121" i="5"/>
  <c r="A121" i="5"/>
  <c r="H120" i="5"/>
  <c r="A120" i="5"/>
  <c r="H119" i="5"/>
  <c r="A119" i="5"/>
  <c r="H118" i="5"/>
  <c r="A118" i="5"/>
  <c r="H117" i="5"/>
  <c r="A117" i="5"/>
  <c r="H116" i="5"/>
  <c r="A116" i="5"/>
  <c r="H115" i="5"/>
  <c r="A115" i="5"/>
  <c r="H114" i="5"/>
  <c r="A114" i="5"/>
  <c r="H113" i="5"/>
  <c r="A113" i="5"/>
  <c r="H112" i="5"/>
  <c r="A112" i="5"/>
  <c r="H111" i="5"/>
  <c r="A111" i="5"/>
  <c r="H110" i="5"/>
  <c r="A110" i="5"/>
  <c r="H109" i="5"/>
  <c r="A109" i="5"/>
  <c r="H108" i="5"/>
  <c r="A108" i="5"/>
  <c r="H107" i="5"/>
  <c r="A107" i="5"/>
  <c r="H106" i="5"/>
  <c r="A106" i="5"/>
  <c r="H105" i="5"/>
  <c r="A105" i="5"/>
  <c r="H104" i="5"/>
  <c r="A104" i="5"/>
  <c r="H103" i="5"/>
  <c r="A103" i="5"/>
  <c r="H102" i="5"/>
  <c r="A102" i="5"/>
  <c r="H101" i="5"/>
  <c r="A101" i="5"/>
  <c r="H100" i="5"/>
  <c r="A100" i="5"/>
  <c r="H99" i="5"/>
  <c r="A99" i="5"/>
  <c r="H98" i="5"/>
  <c r="A98" i="5"/>
  <c r="H97" i="5"/>
  <c r="A97" i="5"/>
  <c r="H96" i="5"/>
  <c r="A96" i="5"/>
  <c r="H95" i="5"/>
  <c r="A95" i="5"/>
  <c r="H94" i="5"/>
  <c r="A94" i="5"/>
  <c r="H93" i="5"/>
  <c r="A93" i="5"/>
  <c r="H92" i="5"/>
  <c r="A92" i="5"/>
  <c r="H91" i="5"/>
  <c r="A91" i="5"/>
  <c r="H90" i="5"/>
  <c r="A90" i="5"/>
  <c r="H89" i="5"/>
  <c r="A89" i="5"/>
  <c r="H88" i="5"/>
  <c r="A88" i="5"/>
  <c r="H87" i="5"/>
  <c r="A87" i="5"/>
  <c r="H86" i="5"/>
  <c r="A86" i="5"/>
  <c r="H85" i="5"/>
  <c r="A85" i="5"/>
  <c r="H84" i="5"/>
  <c r="A84" i="5"/>
  <c r="H83" i="5"/>
  <c r="A83" i="5"/>
  <c r="H82" i="5"/>
  <c r="A82" i="5"/>
  <c r="H81" i="5"/>
  <c r="A81" i="5"/>
  <c r="H80" i="5"/>
  <c r="A80" i="5"/>
  <c r="H79" i="5"/>
  <c r="A79" i="5"/>
  <c r="H78" i="5"/>
  <c r="A78" i="5"/>
  <c r="H77" i="5"/>
  <c r="A77" i="5"/>
  <c r="H76" i="5"/>
  <c r="A76" i="5"/>
  <c r="H75" i="5"/>
  <c r="A75" i="5"/>
  <c r="H74" i="5"/>
  <c r="A74" i="5"/>
  <c r="H73" i="5"/>
  <c r="A73" i="5"/>
  <c r="H72" i="5"/>
  <c r="A72" i="5"/>
  <c r="H71" i="5"/>
  <c r="A71" i="5"/>
  <c r="H70" i="5"/>
  <c r="A70" i="5"/>
  <c r="H69" i="5"/>
  <c r="A69" i="5"/>
  <c r="H68" i="5"/>
  <c r="A68" i="5"/>
  <c r="H67" i="5"/>
  <c r="A67" i="5"/>
  <c r="H66" i="5"/>
  <c r="A66" i="5"/>
  <c r="H65" i="5"/>
  <c r="A65" i="5"/>
  <c r="H64" i="5"/>
  <c r="A64" i="5"/>
  <c r="H63" i="5"/>
  <c r="A63" i="5"/>
  <c r="H62" i="5"/>
  <c r="A62" i="5"/>
  <c r="H61" i="5"/>
  <c r="A61" i="5"/>
  <c r="H60" i="5"/>
  <c r="A60" i="5"/>
  <c r="H59" i="5"/>
  <c r="A59" i="5"/>
  <c r="H58" i="5"/>
  <c r="A58" i="5"/>
  <c r="H57" i="5"/>
  <c r="A57" i="5"/>
  <c r="H56" i="5"/>
  <c r="A56" i="5"/>
  <c r="H55" i="5"/>
  <c r="A55" i="5"/>
  <c r="H54" i="5"/>
  <c r="A54" i="5"/>
  <c r="H53" i="5"/>
  <c r="A53" i="5"/>
  <c r="H52" i="5"/>
  <c r="A52" i="5"/>
  <c r="H51" i="5"/>
  <c r="A51" i="5"/>
  <c r="H50" i="5"/>
  <c r="A50" i="5"/>
  <c r="H49" i="5"/>
  <c r="A49" i="5"/>
  <c r="H48" i="5"/>
  <c r="A48" i="5"/>
  <c r="H47" i="5"/>
  <c r="A47" i="5"/>
  <c r="H46" i="5"/>
  <c r="A46" i="5"/>
  <c r="H45" i="5"/>
  <c r="A45" i="5"/>
  <c r="H44" i="5"/>
  <c r="A44" i="5"/>
  <c r="H43" i="5"/>
  <c r="A43" i="5"/>
  <c r="H42" i="5"/>
  <c r="A42" i="5"/>
  <c r="H41" i="5"/>
  <c r="A41" i="5"/>
  <c r="H40" i="5"/>
  <c r="A40" i="5"/>
  <c r="H39" i="5"/>
  <c r="A39" i="5"/>
  <c r="H38" i="5"/>
  <c r="A38" i="5"/>
  <c r="H37" i="5"/>
  <c r="A37" i="5"/>
  <c r="H36" i="5"/>
  <c r="A36" i="5"/>
  <c r="H35" i="5"/>
  <c r="A35" i="5"/>
  <c r="H34" i="5"/>
  <c r="A34" i="5"/>
  <c r="H33" i="5"/>
  <c r="A33" i="5"/>
  <c r="H32" i="5"/>
  <c r="A32" i="5"/>
  <c r="H31" i="5"/>
  <c r="A31" i="5"/>
  <c r="H30" i="5"/>
  <c r="A30" i="5"/>
  <c r="H29" i="5"/>
  <c r="A29" i="5"/>
  <c r="H28" i="5"/>
  <c r="A28" i="5"/>
  <c r="H27" i="5"/>
  <c r="A27" i="5"/>
  <c r="H26" i="5"/>
  <c r="A26" i="5"/>
  <c r="H25" i="5"/>
  <c r="A25" i="5"/>
  <c r="H24" i="5"/>
  <c r="A24" i="5"/>
  <c r="H23" i="5"/>
  <c r="A23" i="5"/>
  <c r="H22" i="5"/>
  <c r="A22" i="5"/>
  <c r="C17" i="5"/>
  <c r="C16" i="5"/>
  <c r="F10" i="4"/>
  <c r="F22" i="4"/>
  <c r="B23" i="4"/>
  <c r="F23" i="4"/>
  <c r="B24" i="4"/>
  <c r="F24" i="4"/>
  <c r="B25" i="4"/>
  <c r="F25" i="4"/>
  <c r="B26" i="4"/>
  <c r="F26" i="4"/>
  <c r="B27" i="4"/>
  <c r="F27" i="4"/>
  <c r="B28" i="4"/>
  <c r="F28" i="4"/>
  <c r="B29" i="4"/>
  <c r="F29" i="4"/>
  <c r="B30" i="4"/>
  <c r="F30" i="4"/>
  <c r="B31" i="4"/>
  <c r="F31" i="4"/>
  <c r="B32" i="4"/>
  <c r="F32" i="4"/>
  <c r="B33" i="4"/>
  <c r="F33" i="4"/>
  <c r="B34" i="4"/>
  <c r="F34" i="4"/>
  <c r="B35" i="4"/>
  <c r="F35" i="4"/>
  <c r="B36" i="4"/>
  <c r="F36" i="4"/>
  <c r="B37" i="4"/>
  <c r="F37" i="4"/>
  <c r="B38" i="4"/>
  <c r="F38" i="4"/>
  <c r="B39" i="4"/>
  <c r="F39" i="4"/>
  <c r="B40" i="4"/>
  <c r="F40" i="4"/>
  <c r="B41" i="4"/>
  <c r="F41" i="4"/>
  <c r="B42" i="4"/>
  <c r="F42" i="4"/>
  <c r="B43" i="4"/>
  <c r="F43" i="4"/>
  <c r="B44" i="4"/>
  <c r="F44" i="4"/>
  <c r="B45" i="4"/>
  <c r="F45" i="4"/>
  <c r="B46" i="4"/>
  <c r="C8" i="4"/>
  <c r="F12" i="1"/>
  <c r="P4" i="1"/>
  <c r="P5" i="1"/>
  <c r="D16" i="1"/>
  <c r="P6" i="1"/>
  <c r="P7" i="1"/>
  <c r="P8" i="1"/>
  <c r="F13" i="1"/>
  <c r="C7" i="4"/>
  <c r="C16" i="4"/>
  <c r="D22" i="4"/>
  <c r="G22" i="4"/>
  <c r="D23" i="4"/>
  <c r="G23" i="4"/>
  <c r="D24" i="4"/>
  <c r="G24" i="4"/>
  <c r="D25" i="4"/>
  <c r="G25" i="4"/>
  <c r="D26" i="4"/>
  <c r="G26" i="4"/>
  <c r="D27" i="4"/>
  <c r="G27" i="4"/>
  <c r="D28" i="4"/>
  <c r="G28" i="4"/>
  <c r="D29" i="4"/>
  <c r="G29" i="4"/>
  <c r="D30" i="4"/>
  <c r="G30" i="4"/>
  <c r="D31" i="4"/>
  <c r="G31" i="4"/>
  <c r="D32" i="4"/>
  <c r="G32" i="4"/>
  <c r="D33" i="4"/>
  <c r="G33" i="4"/>
  <c r="D34" i="4"/>
  <c r="G34" i="4"/>
  <c r="D35" i="4"/>
  <c r="G35" i="4"/>
  <c r="D36" i="4"/>
  <c r="G36" i="4"/>
  <c r="D37" i="4"/>
  <c r="G37" i="4"/>
  <c r="D38" i="4"/>
  <c r="G38" i="4"/>
  <c r="D39" i="4"/>
  <c r="G39" i="4"/>
  <c r="D40" i="4"/>
  <c r="G40" i="4"/>
  <c r="D41" i="4"/>
  <c r="G41" i="4"/>
  <c r="D42" i="4"/>
  <c r="G42" i="4"/>
  <c r="D43" i="4"/>
  <c r="G43" i="4"/>
  <c r="D44" i="4"/>
  <c r="G44" i="4"/>
  <c r="D45" i="4"/>
  <c r="G45" i="4"/>
  <c r="D46" i="4"/>
  <c r="E46" i="4"/>
  <c r="F46" i="4"/>
  <c r="B47" i="4"/>
  <c r="G46" i="4"/>
  <c r="D47" i="4"/>
  <c r="E47" i="4"/>
  <c r="F47" i="4"/>
  <c r="B48" i="4"/>
  <c r="G47" i="4"/>
  <c r="D48" i="4"/>
  <c r="E48" i="4"/>
  <c r="F48" i="4"/>
  <c r="B49" i="4"/>
  <c r="G48" i="4"/>
  <c r="D49" i="4"/>
  <c r="E49" i="4"/>
  <c r="F49" i="4"/>
  <c r="B50" i="4"/>
  <c r="G49" i="4"/>
  <c r="D50" i="4"/>
  <c r="E50" i="4"/>
  <c r="F50" i="4"/>
  <c r="B51" i="4"/>
  <c r="G50" i="4"/>
  <c r="D51" i="4"/>
  <c r="E51" i="4"/>
  <c r="F51" i="4"/>
  <c r="B52" i="4"/>
  <c r="G51" i="4"/>
  <c r="D52" i="4"/>
  <c r="E52" i="4"/>
  <c r="F52" i="4"/>
  <c r="B53" i="4"/>
  <c r="G52" i="4"/>
  <c r="D53" i="4"/>
  <c r="E53" i="4"/>
  <c r="F53" i="4"/>
  <c r="B54" i="4"/>
  <c r="G53" i="4"/>
  <c r="D54" i="4"/>
  <c r="E54" i="4"/>
  <c r="F54" i="4"/>
  <c r="B55" i="4"/>
  <c r="G54" i="4"/>
  <c r="D55" i="4"/>
  <c r="E55" i="4"/>
  <c r="F55" i="4"/>
  <c r="B56" i="4"/>
  <c r="G55" i="4"/>
  <c r="D56" i="4"/>
  <c r="E56" i="4"/>
  <c r="F56" i="4"/>
  <c r="B57" i="4"/>
  <c r="G56" i="4"/>
  <c r="D57" i="4"/>
  <c r="E57" i="4"/>
  <c r="F57" i="4"/>
  <c r="B58" i="4"/>
  <c r="G57" i="4"/>
  <c r="D58" i="4"/>
  <c r="E58" i="4"/>
  <c r="F58" i="4"/>
  <c r="B59" i="4"/>
  <c r="G58" i="4"/>
  <c r="D59" i="4"/>
  <c r="E59" i="4"/>
  <c r="F59" i="4"/>
  <c r="B60" i="4"/>
  <c r="G59" i="4"/>
  <c r="D60" i="4"/>
  <c r="E60" i="4"/>
  <c r="F60" i="4"/>
  <c r="B61" i="4"/>
  <c r="G60" i="4"/>
  <c r="D61" i="4"/>
  <c r="E61" i="4"/>
  <c r="F61" i="4"/>
  <c r="B62" i="4"/>
  <c r="G61" i="4"/>
  <c r="D62" i="4"/>
  <c r="E62" i="4"/>
  <c r="F62" i="4"/>
  <c r="B63" i="4"/>
  <c r="G62" i="4"/>
  <c r="D63" i="4"/>
  <c r="E63" i="4"/>
  <c r="F63" i="4"/>
  <c r="B64" i="4"/>
  <c r="G63" i="4"/>
  <c r="D64" i="4"/>
  <c r="E64" i="4"/>
  <c r="F64" i="4"/>
  <c r="B65" i="4"/>
  <c r="G64" i="4"/>
  <c r="D65" i="4"/>
  <c r="E65" i="4"/>
  <c r="F65" i="4"/>
  <c r="B66" i="4"/>
  <c r="G65" i="4"/>
  <c r="D66" i="4"/>
  <c r="E66" i="4"/>
  <c r="F66" i="4"/>
  <c r="B67" i="4"/>
  <c r="G66" i="4"/>
  <c r="D67" i="4"/>
  <c r="E67" i="4"/>
  <c r="F67" i="4"/>
  <c r="B68" i="4"/>
  <c r="G67" i="4"/>
  <c r="D68" i="4"/>
  <c r="E68" i="4"/>
  <c r="F68" i="4"/>
  <c r="B69" i="4"/>
  <c r="G68" i="4"/>
  <c r="D69" i="4"/>
  <c r="E69" i="4"/>
  <c r="F69" i="4"/>
  <c r="B70" i="4"/>
  <c r="G69" i="4"/>
  <c r="D70" i="4"/>
  <c r="E70" i="4"/>
  <c r="F70" i="4"/>
  <c r="B71" i="4"/>
  <c r="G70" i="4"/>
  <c r="D71" i="4"/>
  <c r="E71" i="4"/>
  <c r="F71" i="4"/>
  <c r="B72" i="4"/>
  <c r="G71" i="4"/>
  <c r="D72" i="4"/>
  <c r="E72" i="4"/>
  <c r="F72" i="4"/>
  <c r="B73" i="4"/>
  <c r="G72" i="4"/>
  <c r="D73" i="4"/>
  <c r="E73" i="4"/>
  <c r="F73" i="4"/>
  <c r="B74" i="4"/>
  <c r="G73" i="4"/>
  <c r="D74" i="4"/>
  <c r="E74" i="4"/>
  <c r="F74" i="4"/>
  <c r="B75" i="4"/>
  <c r="G74" i="4"/>
  <c r="D75" i="4"/>
  <c r="E75" i="4"/>
  <c r="F75" i="4"/>
  <c r="B76" i="4"/>
  <c r="G75" i="4"/>
  <c r="D76" i="4"/>
  <c r="E76" i="4"/>
  <c r="F76" i="4"/>
  <c r="B77" i="4"/>
  <c r="G76" i="4"/>
  <c r="D77" i="4"/>
  <c r="E77" i="4"/>
  <c r="F77" i="4"/>
  <c r="B78" i="4"/>
  <c r="G77" i="4"/>
  <c r="D78" i="4"/>
  <c r="E78" i="4"/>
  <c r="F78" i="4"/>
  <c r="B79" i="4"/>
  <c r="G78" i="4"/>
  <c r="D79" i="4"/>
  <c r="E79" i="4"/>
  <c r="F79" i="4"/>
  <c r="B80" i="4"/>
  <c r="G79" i="4"/>
  <c r="D80" i="4"/>
  <c r="E80" i="4"/>
  <c r="F80" i="4"/>
  <c r="B81" i="4"/>
  <c r="G80" i="4"/>
  <c r="D81" i="4"/>
  <c r="E81" i="4"/>
  <c r="F81" i="4"/>
  <c r="B82" i="4"/>
  <c r="G81" i="4"/>
  <c r="D82" i="4"/>
  <c r="E82" i="4"/>
  <c r="F82" i="4"/>
  <c r="B83" i="4"/>
  <c r="G82" i="4"/>
  <c r="D83" i="4"/>
  <c r="E83" i="4"/>
  <c r="F83" i="4"/>
  <c r="B84" i="4"/>
  <c r="G83" i="4"/>
  <c r="D84" i="4"/>
  <c r="E84" i="4"/>
  <c r="F84" i="4"/>
  <c r="B85" i="4"/>
  <c r="G84" i="4"/>
  <c r="D85" i="4"/>
  <c r="E85" i="4"/>
  <c r="F85" i="4"/>
  <c r="B86" i="4"/>
  <c r="G85" i="4"/>
  <c r="D86" i="4"/>
  <c r="E86" i="4"/>
  <c r="F86" i="4"/>
  <c r="B87" i="4"/>
  <c r="G86" i="4"/>
  <c r="D87" i="4"/>
  <c r="E87" i="4"/>
  <c r="F87" i="4"/>
  <c r="B88" i="4"/>
  <c r="G87" i="4"/>
  <c r="D88" i="4"/>
  <c r="E88" i="4"/>
  <c r="F88" i="4"/>
  <c r="B89" i="4"/>
  <c r="G88" i="4"/>
  <c r="D89" i="4"/>
  <c r="E89" i="4"/>
  <c r="F89" i="4"/>
  <c r="B90" i="4"/>
  <c r="G89" i="4"/>
  <c r="D90" i="4"/>
  <c r="E90" i="4"/>
  <c r="F90" i="4"/>
  <c r="B91" i="4"/>
  <c r="G90" i="4"/>
  <c r="D91" i="4"/>
  <c r="E91" i="4"/>
  <c r="F91" i="4"/>
  <c r="B92" i="4"/>
  <c r="G91" i="4"/>
  <c r="D92" i="4"/>
  <c r="E92" i="4"/>
  <c r="F92" i="4"/>
  <c r="B93" i="4"/>
  <c r="G92" i="4"/>
  <c r="D93" i="4"/>
  <c r="E93" i="4"/>
  <c r="F93" i="4"/>
  <c r="B94" i="4"/>
  <c r="G93" i="4"/>
  <c r="D94" i="4"/>
  <c r="E94" i="4"/>
  <c r="F94" i="4"/>
  <c r="B95" i="4"/>
  <c r="G94" i="4"/>
  <c r="D95" i="4"/>
  <c r="E95" i="4"/>
  <c r="F95" i="4"/>
  <c r="B96" i="4"/>
  <c r="G95" i="4"/>
  <c r="D96" i="4"/>
  <c r="E96" i="4"/>
  <c r="F96" i="4"/>
  <c r="B97" i="4"/>
  <c r="G96" i="4"/>
  <c r="D97" i="4"/>
  <c r="E97" i="4"/>
  <c r="F97" i="4"/>
  <c r="B98" i="4"/>
  <c r="G97" i="4"/>
  <c r="D98" i="4"/>
  <c r="E98" i="4"/>
  <c r="F98" i="4"/>
  <c r="B99" i="4"/>
  <c r="G98" i="4"/>
  <c r="D99" i="4"/>
  <c r="E99" i="4"/>
  <c r="F99" i="4"/>
  <c r="B100" i="4"/>
  <c r="G99" i="4"/>
  <c r="D100" i="4"/>
  <c r="E100" i="4"/>
  <c r="F100" i="4"/>
  <c r="B101" i="4"/>
  <c r="G100" i="4"/>
  <c r="D101" i="4"/>
  <c r="E101" i="4"/>
  <c r="F101" i="4"/>
  <c r="B102" i="4"/>
  <c r="G101" i="4"/>
  <c r="D102" i="4"/>
  <c r="E102" i="4"/>
  <c r="F102" i="4"/>
  <c r="B103" i="4"/>
  <c r="G102" i="4"/>
  <c r="D103" i="4"/>
  <c r="E103" i="4"/>
  <c r="F103" i="4"/>
  <c r="B104" i="4"/>
  <c r="G103" i="4"/>
  <c r="D104" i="4"/>
  <c r="E104" i="4"/>
  <c r="F104" i="4"/>
  <c r="B105" i="4"/>
  <c r="G104" i="4"/>
  <c r="D105" i="4"/>
  <c r="E105" i="4"/>
  <c r="F105" i="4"/>
  <c r="B106" i="4"/>
  <c r="G105" i="4"/>
  <c r="D106" i="4"/>
  <c r="E106" i="4"/>
  <c r="F106" i="4"/>
  <c r="B107" i="4"/>
  <c r="G106" i="4"/>
  <c r="D107" i="4"/>
  <c r="E107" i="4"/>
  <c r="F107" i="4"/>
  <c r="B108" i="4"/>
  <c r="G107" i="4"/>
  <c r="D108" i="4"/>
  <c r="E108" i="4"/>
  <c r="F108" i="4"/>
  <c r="B109" i="4"/>
  <c r="G108" i="4"/>
  <c r="D109" i="4"/>
  <c r="E109" i="4"/>
  <c r="F109" i="4"/>
  <c r="B110" i="4"/>
  <c r="G109" i="4"/>
  <c r="D110" i="4"/>
  <c r="E110" i="4"/>
  <c r="F110" i="4"/>
  <c r="B111" i="4"/>
  <c r="G110" i="4"/>
  <c r="D111" i="4"/>
  <c r="E111" i="4"/>
  <c r="F111" i="4"/>
  <c r="B112" i="4"/>
  <c r="G111" i="4"/>
  <c r="D112" i="4"/>
  <c r="E112" i="4"/>
  <c r="F112" i="4"/>
  <c r="B113" i="4"/>
  <c r="G112" i="4"/>
  <c r="D113" i="4"/>
  <c r="E113" i="4"/>
  <c r="F113" i="4"/>
  <c r="B114" i="4"/>
  <c r="G113" i="4"/>
  <c r="D114" i="4"/>
  <c r="E114" i="4"/>
  <c r="F114" i="4"/>
  <c r="B115" i="4"/>
  <c r="G114" i="4"/>
  <c r="D115" i="4"/>
  <c r="E115" i="4"/>
  <c r="F115" i="4"/>
  <c r="B116" i="4"/>
  <c r="G115" i="4"/>
  <c r="D116" i="4"/>
  <c r="E116" i="4"/>
  <c r="F116" i="4"/>
  <c r="B117" i="4"/>
  <c r="G116" i="4"/>
  <c r="D117" i="4"/>
  <c r="E117" i="4"/>
  <c r="F117" i="4"/>
  <c r="B118" i="4"/>
  <c r="G117" i="4"/>
  <c r="D118" i="4"/>
  <c r="E118" i="4"/>
  <c r="F118" i="4"/>
  <c r="B119" i="4"/>
  <c r="G118" i="4"/>
  <c r="D119" i="4"/>
  <c r="E119" i="4"/>
  <c r="F119" i="4"/>
  <c r="B120" i="4"/>
  <c r="G119" i="4"/>
  <c r="D120" i="4"/>
  <c r="E120" i="4"/>
  <c r="F120" i="4"/>
  <c r="B121" i="4"/>
  <c r="G120" i="4"/>
  <c r="D121" i="4"/>
  <c r="E121" i="4"/>
  <c r="F121" i="4"/>
  <c r="B122" i="4"/>
  <c r="G121" i="4"/>
  <c r="D122" i="4"/>
  <c r="E122" i="4"/>
  <c r="F122" i="4"/>
  <c r="B123" i="4"/>
  <c r="G122" i="4"/>
  <c r="D123" i="4"/>
  <c r="E123" i="4"/>
  <c r="F123" i="4"/>
  <c r="B124" i="4"/>
  <c r="G123" i="4"/>
  <c r="D124" i="4"/>
  <c r="E124" i="4"/>
  <c r="F124" i="4"/>
  <c r="B125" i="4"/>
  <c r="G124" i="4"/>
  <c r="D125" i="4"/>
  <c r="E125" i="4"/>
  <c r="F125" i="4"/>
  <c r="B126" i="4"/>
  <c r="G125" i="4"/>
  <c r="D126" i="4"/>
  <c r="E126" i="4"/>
  <c r="F126" i="4"/>
  <c r="B127" i="4"/>
  <c r="G126" i="4"/>
  <c r="D127" i="4"/>
  <c r="E127" i="4"/>
  <c r="F127" i="4"/>
  <c r="B128" i="4"/>
  <c r="G127" i="4"/>
  <c r="D128" i="4"/>
  <c r="E128" i="4"/>
  <c r="F128" i="4"/>
  <c r="B129" i="4"/>
  <c r="G128" i="4"/>
  <c r="D129" i="4"/>
  <c r="E129" i="4"/>
  <c r="F129" i="4"/>
  <c r="B130" i="4"/>
  <c r="G129" i="4"/>
  <c r="D130" i="4"/>
  <c r="E130" i="4"/>
  <c r="F130" i="4"/>
  <c r="B131" i="4"/>
  <c r="G130" i="4"/>
  <c r="D131" i="4"/>
  <c r="E131" i="4"/>
  <c r="F131" i="4"/>
  <c r="B132" i="4"/>
  <c r="G131" i="4"/>
  <c r="D132" i="4"/>
  <c r="E132" i="4"/>
  <c r="F132" i="4"/>
  <c r="B133" i="4"/>
  <c r="G132" i="4"/>
  <c r="D133" i="4"/>
  <c r="E133" i="4"/>
  <c r="F133" i="4"/>
  <c r="B134" i="4"/>
  <c r="G133" i="4"/>
  <c r="D134" i="4"/>
  <c r="E134" i="4"/>
  <c r="F134" i="4"/>
  <c r="B135" i="4"/>
  <c r="G134" i="4"/>
  <c r="D135" i="4"/>
  <c r="E135" i="4"/>
  <c r="F135" i="4"/>
  <c r="B136" i="4"/>
  <c r="G135" i="4"/>
  <c r="D136" i="4"/>
  <c r="E136" i="4"/>
  <c r="F136" i="4"/>
  <c r="B137" i="4"/>
  <c r="G136" i="4"/>
  <c r="D137" i="4"/>
  <c r="E137" i="4"/>
  <c r="F137" i="4"/>
  <c r="B138" i="4"/>
  <c r="G137" i="4"/>
  <c r="D138" i="4"/>
  <c r="E138" i="4"/>
  <c r="F138" i="4"/>
  <c r="B139" i="4"/>
  <c r="G138" i="4"/>
  <c r="D139" i="4"/>
  <c r="E139" i="4"/>
  <c r="F139" i="4"/>
  <c r="B140" i="4"/>
  <c r="G139" i="4"/>
  <c r="D140" i="4"/>
  <c r="E140" i="4"/>
  <c r="F140" i="4"/>
  <c r="B141" i="4"/>
  <c r="G140" i="4"/>
  <c r="D141" i="4"/>
  <c r="E141" i="4"/>
  <c r="F141" i="4"/>
  <c r="B142" i="4"/>
  <c r="G141" i="4"/>
  <c r="D142" i="4"/>
  <c r="E142" i="4"/>
  <c r="F142" i="4"/>
  <c r="B143" i="4"/>
  <c r="G142" i="4"/>
  <c r="D143" i="4"/>
  <c r="E143" i="4"/>
  <c r="F143" i="4"/>
  <c r="B144" i="4"/>
  <c r="G143" i="4"/>
  <c r="D144" i="4"/>
  <c r="E144" i="4"/>
  <c r="F144" i="4"/>
  <c r="B145" i="4"/>
  <c r="G144" i="4"/>
  <c r="D145" i="4"/>
  <c r="E145" i="4"/>
  <c r="F145" i="4"/>
  <c r="B146" i="4"/>
  <c r="G145" i="4"/>
  <c r="D146" i="4"/>
  <c r="E146" i="4"/>
  <c r="F146" i="4"/>
  <c r="B147" i="4"/>
  <c r="G146" i="4"/>
  <c r="D147" i="4"/>
  <c r="E147" i="4"/>
  <c r="F147" i="4"/>
  <c r="B148" i="4"/>
  <c r="G147" i="4"/>
  <c r="D148" i="4"/>
  <c r="E148" i="4"/>
  <c r="F148" i="4"/>
  <c r="B149" i="4"/>
  <c r="G148" i="4"/>
  <c r="D149" i="4"/>
  <c r="E149" i="4"/>
  <c r="F149" i="4"/>
  <c r="B150" i="4"/>
  <c r="G149" i="4"/>
  <c r="D150" i="4"/>
  <c r="E150" i="4"/>
  <c r="F150" i="4"/>
  <c r="B151" i="4"/>
  <c r="G150" i="4"/>
  <c r="D151" i="4"/>
  <c r="E151" i="4"/>
  <c r="F151" i="4"/>
  <c r="B152" i="4"/>
  <c r="G151" i="4"/>
  <c r="D152" i="4"/>
  <c r="E152" i="4"/>
  <c r="F152" i="4"/>
  <c r="B153" i="4"/>
  <c r="G152" i="4"/>
  <c r="D153" i="4"/>
  <c r="E153" i="4"/>
  <c r="F153" i="4"/>
  <c r="B154" i="4"/>
  <c r="G153" i="4"/>
  <c r="D154" i="4"/>
  <c r="E154" i="4"/>
  <c r="F154" i="4"/>
  <c r="B155" i="4"/>
  <c r="G154" i="4"/>
  <c r="D155" i="4"/>
  <c r="E155" i="4"/>
  <c r="F155" i="4"/>
  <c r="B156" i="4"/>
  <c r="G155" i="4"/>
  <c r="D156" i="4"/>
  <c r="E156" i="4"/>
  <c r="F156" i="4"/>
  <c r="B157" i="4"/>
  <c r="G156" i="4"/>
  <c r="D157" i="4"/>
  <c r="E157" i="4"/>
  <c r="F157" i="4"/>
  <c r="B158" i="4"/>
  <c r="G157" i="4"/>
  <c r="D158" i="4"/>
  <c r="E158" i="4"/>
  <c r="F158" i="4"/>
  <c r="B159" i="4"/>
  <c r="G158" i="4"/>
  <c r="D159" i="4"/>
  <c r="E159" i="4"/>
  <c r="F159" i="4"/>
  <c r="B160" i="4"/>
  <c r="G159" i="4"/>
  <c r="D160" i="4"/>
  <c r="E160" i="4"/>
  <c r="F160" i="4"/>
  <c r="B161" i="4"/>
  <c r="G160" i="4"/>
  <c r="D161" i="4"/>
  <c r="E161" i="4"/>
  <c r="F161" i="4"/>
  <c r="B162" i="4"/>
  <c r="G161" i="4"/>
  <c r="D162" i="4"/>
  <c r="E162" i="4"/>
  <c r="F162" i="4"/>
  <c r="B163" i="4"/>
  <c r="G162" i="4"/>
  <c r="D163" i="4"/>
  <c r="E163" i="4"/>
  <c r="F163" i="4"/>
  <c r="B164" i="4"/>
  <c r="G163" i="4"/>
  <c r="D164" i="4"/>
  <c r="E164" i="4"/>
  <c r="F164" i="4"/>
  <c r="B165" i="4"/>
  <c r="G164" i="4"/>
  <c r="D165" i="4"/>
  <c r="E165" i="4"/>
  <c r="F165" i="4"/>
  <c r="B166" i="4"/>
  <c r="G165" i="4"/>
  <c r="D166" i="4"/>
  <c r="E166" i="4"/>
  <c r="F166" i="4"/>
  <c r="B167" i="4"/>
  <c r="G166" i="4"/>
  <c r="D167" i="4"/>
  <c r="E167" i="4"/>
  <c r="F167" i="4"/>
  <c r="B168" i="4"/>
  <c r="G167" i="4"/>
  <c r="D168" i="4"/>
  <c r="E168" i="4"/>
  <c r="F168" i="4"/>
  <c r="B169" i="4"/>
  <c r="G168" i="4"/>
  <c r="D169" i="4"/>
  <c r="E169" i="4"/>
  <c r="F169" i="4"/>
  <c r="B170" i="4"/>
  <c r="G169" i="4"/>
  <c r="D170" i="4"/>
  <c r="E170" i="4"/>
  <c r="F170" i="4"/>
  <c r="B171" i="4"/>
  <c r="G170" i="4"/>
  <c r="D171" i="4"/>
  <c r="E171" i="4"/>
  <c r="F171" i="4"/>
  <c r="B172" i="4"/>
  <c r="G171" i="4"/>
  <c r="D172" i="4"/>
  <c r="E172" i="4"/>
  <c r="F172" i="4"/>
  <c r="B173" i="4"/>
  <c r="G172" i="4"/>
  <c r="D173" i="4"/>
  <c r="E173" i="4"/>
  <c r="F173" i="4"/>
  <c r="B174" i="4"/>
  <c r="G173" i="4"/>
  <c r="D174" i="4"/>
  <c r="E174" i="4"/>
  <c r="F174" i="4"/>
  <c r="B175" i="4"/>
  <c r="G174" i="4"/>
  <c r="D175" i="4"/>
  <c r="E175" i="4"/>
  <c r="F175" i="4"/>
  <c r="B176" i="4"/>
  <c r="G175" i="4"/>
  <c r="D176" i="4"/>
  <c r="E176" i="4"/>
  <c r="F176" i="4"/>
  <c r="B177" i="4"/>
  <c r="G176" i="4"/>
  <c r="D177" i="4"/>
  <c r="E177" i="4"/>
  <c r="F177" i="4"/>
  <c r="B178" i="4"/>
  <c r="G177" i="4"/>
  <c r="D178" i="4"/>
  <c r="E178" i="4"/>
  <c r="F178" i="4"/>
  <c r="B179" i="4"/>
  <c r="G178" i="4"/>
  <c r="D179" i="4"/>
  <c r="E179" i="4"/>
  <c r="F179" i="4"/>
  <c r="B180" i="4"/>
  <c r="G179" i="4"/>
  <c r="D180" i="4"/>
  <c r="E180" i="4"/>
  <c r="F180" i="4"/>
  <c r="B181" i="4"/>
  <c r="G180" i="4"/>
  <c r="D181" i="4"/>
  <c r="E181" i="4"/>
  <c r="F181" i="4"/>
  <c r="B182" i="4"/>
  <c r="G181" i="4"/>
  <c r="D182" i="4"/>
  <c r="E182" i="4"/>
  <c r="F182" i="4"/>
  <c r="B183" i="4"/>
  <c r="G182" i="4"/>
  <c r="D183" i="4"/>
  <c r="E183" i="4"/>
  <c r="F183" i="4"/>
  <c r="B184" i="4"/>
  <c r="G183" i="4"/>
  <c r="D184" i="4"/>
  <c r="E184" i="4"/>
  <c r="F184" i="4"/>
  <c r="B185" i="4"/>
  <c r="G184" i="4"/>
  <c r="D185" i="4"/>
  <c r="E185" i="4"/>
  <c r="F185" i="4"/>
  <c r="B186" i="4"/>
  <c r="G185" i="4"/>
  <c r="D186" i="4"/>
  <c r="E186" i="4"/>
  <c r="F186" i="4"/>
  <c r="B187" i="4"/>
  <c r="G186" i="4"/>
  <c r="D187" i="4"/>
  <c r="E187" i="4"/>
  <c r="F187" i="4"/>
  <c r="B188" i="4"/>
  <c r="G187" i="4"/>
  <c r="D188" i="4"/>
  <c r="E188" i="4"/>
  <c r="F188" i="4"/>
  <c r="B189" i="4"/>
  <c r="G188" i="4"/>
  <c r="D189" i="4"/>
  <c r="E189" i="4"/>
  <c r="F189" i="4"/>
  <c r="B190" i="4"/>
  <c r="G189" i="4"/>
  <c r="D190" i="4"/>
  <c r="E190" i="4"/>
  <c r="F190" i="4"/>
  <c r="B191" i="4"/>
  <c r="G190" i="4"/>
  <c r="D191" i="4"/>
  <c r="E191" i="4"/>
  <c r="F191" i="4"/>
  <c r="B192" i="4"/>
  <c r="G191" i="4"/>
  <c r="D192" i="4"/>
  <c r="E192" i="4"/>
  <c r="F192" i="4"/>
  <c r="B193" i="4"/>
  <c r="G192" i="4"/>
  <c r="D193" i="4"/>
  <c r="E193" i="4"/>
  <c r="F193" i="4"/>
  <c r="B194" i="4"/>
  <c r="G193" i="4"/>
  <c r="D194" i="4"/>
  <c r="E194" i="4"/>
  <c r="F194" i="4"/>
  <c r="B195" i="4"/>
  <c r="G194" i="4"/>
  <c r="D195" i="4"/>
  <c r="E195" i="4"/>
  <c r="F195" i="4"/>
  <c r="B196" i="4"/>
  <c r="G195" i="4"/>
  <c r="D196" i="4"/>
  <c r="E196" i="4"/>
  <c r="F196" i="4"/>
  <c r="B197" i="4"/>
  <c r="G196" i="4"/>
  <c r="D197" i="4"/>
  <c r="E197" i="4"/>
  <c r="F197" i="4"/>
  <c r="B198" i="4"/>
  <c r="G197" i="4"/>
  <c r="D198" i="4"/>
  <c r="E198" i="4"/>
  <c r="F198" i="4"/>
  <c r="B199" i="4"/>
  <c r="G198" i="4"/>
  <c r="D199" i="4"/>
  <c r="E199" i="4"/>
  <c r="F199" i="4"/>
  <c r="B200" i="4"/>
  <c r="G199" i="4"/>
  <c r="D200" i="4"/>
  <c r="E200" i="4"/>
  <c r="F200" i="4"/>
  <c r="B201" i="4"/>
  <c r="G200" i="4"/>
  <c r="D201" i="4"/>
  <c r="E201" i="4"/>
  <c r="F201" i="4"/>
  <c r="B202" i="4"/>
  <c r="G201" i="4"/>
  <c r="D202" i="4"/>
  <c r="E202" i="4"/>
  <c r="F202" i="4"/>
  <c r="B203" i="4"/>
  <c r="G202" i="4"/>
  <c r="D203" i="4"/>
  <c r="E203" i="4"/>
  <c r="F203" i="4"/>
  <c r="B204" i="4"/>
  <c r="G203" i="4"/>
  <c r="D204" i="4"/>
  <c r="E204" i="4"/>
  <c r="F204" i="4"/>
  <c r="B205" i="4"/>
  <c r="G204" i="4"/>
  <c r="D205" i="4"/>
  <c r="E205" i="4"/>
  <c r="F205" i="4"/>
  <c r="B206" i="4"/>
  <c r="G205" i="4"/>
  <c r="D206" i="4"/>
  <c r="E206" i="4"/>
  <c r="F206" i="4"/>
  <c r="B207" i="4"/>
  <c r="G206" i="4"/>
  <c r="D207" i="4"/>
  <c r="E207" i="4"/>
  <c r="F207" i="4"/>
  <c r="B208" i="4"/>
  <c r="G207" i="4"/>
  <c r="D208" i="4"/>
  <c r="E208" i="4"/>
  <c r="F208" i="4"/>
  <c r="B209" i="4"/>
  <c r="G208" i="4"/>
  <c r="D209" i="4"/>
  <c r="E209" i="4"/>
  <c r="F209" i="4"/>
  <c r="B210" i="4"/>
  <c r="G209" i="4"/>
  <c r="D210" i="4"/>
  <c r="E210" i="4"/>
  <c r="F210" i="4"/>
  <c r="B211" i="4"/>
  <c r="G210" i="4"/>
  <c r="D211" i="4"/>
  <c r="E211" i="4"/>
  <c r="F211" i="4"/>
  <c r="B212" i="4"/>
  <c r="G211" i="4"/>
  <c r="D212" i="4"/>
  <c r="E212" i="4"/>
  <c r="F212" i="4"/>
  <c r="B213" i="4"/>
  <c r="G212" i="4"/>
  <c r="D213" i="4"/>
  <c r="E213" i="4"/>
  <c r="F213" i="4"/>
  <c r="B214" i="4"/>
  <c r="G213" i="4"/>
  <c r="D214" i="4"/>
  <c r="E214" i="4"/>
  <c r="F214" i="4"/>
  <c r="B215" i="4"/>
  <c r="G214" i="4"/>
  <c r="D215" i="4"/>
  <c r="E215" i="4"/>
  <c r="F215" i="4"/>
  <c r="B216" i="4"/>
  <c r="G215" i="4"/>
  <c r="D216" i="4"/>
  <c r="E216" i="4"/>
  <c r="F216" i="4"/>
  <c r="B217" i="4"/>
  <c r="G216" i="4"/>
  <c r="D217" i="4"/>
  <c r="E217" i="4"/>
  <c r="F217" i="4"/>
  <c r="B218" i="4"/>
  <c r="G217" i="4"/>
  <c r="D218" i="4"/>
  <c r="E218" i="4"/>
  <c r="F218" i="4"/>
  <c r="B219" i="4"/>
  <c r="G218" i="4"/>
  <c r="D219" i="4"/>
  <c r="E219" i="4"/>
  <c r="F219" i="4"/>
  <c r="B220" i="4"/>
  <c r="G219" i="4"/>
  <c r="D220" i="4"/>
  <c r="E220" i="4"/>
  <c r="F220" i="4"/>
  <c r="B221" i="4"/>
  <c r="G220" i="4"/>
  <c r="D221" i="4"/>
  <c r="E221" i="4"/>
  <c r="F221" i="4"/>
  <c r="B222" i="4"/>
  <c r="G221" i="4"/>
  <c r="D222" i="4"/>
  <c r="E222" i="4"/>
  <c r="F222" i="4"/>
  <c r="B223" i="4"/>
  <c r="G222" i="4"/>
  <c r="D223" i="4"/>
  <c r="E223" i="4"/>
  <c r="F223" i="4"/>
  <c r="B224" i="4"/>
  <c r="G223" i="4"/>
  <c r="D224" i="4"/>
  <c r="E224" i="4"/>
  <c r="F224" i="4"/>
  <c r="B225" i="4"/>
  <c r="G224" i="4"/>
  <c r="D225" i="4"/>
  <c r="E225" i="4"/>
  <c r="F225" i="4"/>
  <c r="B226" i="4"/>
  <c r="G225" i="4"/>
  <c r="D226" i="4"/>
  <c r="E226" i="4"/>
  <c r="F226" i="4"/>
  <c r="B227" i="4"/>
  <c r="G226" i="4"/>
  <c r="D227" i="4"/>
  <c r="E227" i="4"/>
  <c r="F227" i="4"/>
  <c r="B228" i="4"/>
  <c r="G227" i="4"/>
  <c r="D228" i="4"/>
  <c r="E228" i="4"/>
  <c r="F228" i="4"/>
  <c r="B229" i="4"/>
  <c r="G228" i="4"/>
  <c r="D229" i="4"/>
  <c r="E229" i="4"/>
  <c r="F229" i="4"/>
  <c r="B230" i="4"/>
  <c r="G229" i="4"/>
  <c r="D230" i="4"/>
  <c r="E230" i="4"/>
  <c r="F230" i="4"/>
  <c r="B231" i="4"/>
  <c r="G230" i="4"/>
  <c r="D231" i="4"/>
  <c r="E231" i="4"/>
  <c r="F231" i="4"/>
  <c r="B232" i="4"/>
  <c r="G231" i="4"/>
  <c r="D232" i="4"/>
  <c r="E232" i="4"/>
  <c r="F232" i="4"/>
  <c r="B233" i="4"/>
  <c r="G232" i="4"/>
  <c r="D233" i="4"/>
  <c r="E233" i="4"/>
  <c r="F233" i="4"/>
  <c r="B234" i="4"/>
  <c r="G233" i="4"/>
  <c r="D234" i="4"/>
  <c r="E234" i="4"/>
  <c r="F234" i="4"/>
  <c r="B235" i="4"/>
  <c r="G234" i="4"/>
  <c r="D235" i="4"/>
  <c r="E235" i="4"/>
  <c r="F235" i="4"/>
  <c r="B236" i="4"/>
  <c r="G235" i="4"/>
  <c r="D236" i="4"/>
  <c r="E236" i="4"/>
  <c r="F236" i="4"/>
  <c r="B237" i="4"/>
  <c r="G236" i="4"/>
  <c r="D237" i="4"/>
  <c r="E237" i="4"/>
  <c r="F237" i="4"/>
  <c r="B238" i="4"/>
  <c r="G237" i="4"/>
  <c r="D238" i="4"/>
  <c r="E238" i="4"/>
  <c r="F238" i="4"/>
  <c r="B239" i="4"/>
  <c r="G238" i="4"/>
  <c r="D239" i="4"/>
  <c r="E239" i="4"/>
  <c r="F239" i="4"/>
  <c r="B240" i="4"/>
  <c r="G239" i="4"/>
  <c r="D240" i="4"/>
  <c r="E240" i="4"/>
  <c r="F240" i="4"/>
  <c r="B241" i="4"/>
  <c r="G240" i="4"/>
  <c r="D241" i="4"/>
  <c r="E241" i="4"/>
  <c r="F241" i="4"/>
  <c r="B242" i="4"/>
  <c r="G241" i="4"/>
  <c r="D242" i="4"/>
  <c r="E242" i="4"/>
  <c r="F242" i="4"/>
  <c r="B243" i="4"/>
  <c r="G242" i="4"/>
  <c r="D243" i="4"/>
  <c r="E243" i="4"/>
  <c r="F243" i="4"/>
  <c r="B244" i="4"/>
  <c r="G243" i="4"/>
  <c r="D244" i="4"/>
  <c r="E244" i="4"/>
  <c r="F244" i="4"/>
  <c r="B245" i="4"/>
  <c r="G244" i="4"/>
  <c r="D245" i="4"/>
  <c r="E245" i="4"/>
  <c r="F245" i="4"/>
  <c r="B246" i="4"/>
  <c r="G245" i="4"/>
  <c r="D246" i="4"/>
  <c r="E246" i="4"/>
  <c r="F246" i="4"/>
  <c r="B247" i="4"/>
  <c r="G246" i="4"/>
  <c r="D247" i="4"/>
  <c r="E247" i="4"/>
  <c r="F247" i="4"/>
  <c r="B248" i="4"/>
  <c r="G247" i="4"/>
  <c r="D248" i="4"/>
  <c r="E248" i="4"/>
  <c r="F248" i="4"/>
  <c r="B249" i="4"/>
  <c r="G248" i="4"/>
  <c r="D249" i="4"/>
  <c r="E249" i="4"/>
  <c r="F249" i="4"/>
  <c r="B250" i="4"/>
  <c r="G249" i="4"/>
  <c r="D250" i="4"/>
  <c r="E250" i="4"/>
  <c r="F250" i="4"/>
  <c r="B251" i="4"/>
  <c r="G250" i="4"/>
  <c r="D251" i="4"/>
  <c r="E251" i="4"/>
  <c r="F251" i="4"/>
  <c r="B252" i="4"/>
  <c r="G251" i="4"/>
  <c r="D252" i="4"/>
  <c r="E252" i="4"/>
  <c r="F252" i="4"/>
  <c r="B253" i="4"/>
  <c r="G252" i="4"/>
  <c r="D253" i="4"/>
  <c r="E253" i="4"/>
  <c r="F253" i="4"/>
  <c r="B254" i="4"/>
  <c r="G253" i="4"/>
  <c r="D254" i="4"/>
  <c r="E254" i="4"/>
  <c r="F254" i="4"/>
  <c r="B255" i="4"/>
  <c r="G254" i="4"/>
  <c r="D255" i="4"/>
  <c r="E255" i="4"/>
  <c r="F255" i="4"/>
  <c r="B256" i="4"/>
  <c r="G255" i="4"/>
  <c r="D256" i="4"/>
  <c r="E256" i="4"/>
  <c r="F256" i="4"/>
  <c r="B257" i="4"/>
  <c r="G256" i="4"/>
  <c r="D257" i="4"/>
  <c r="E257" i="4"/>
  <c r="F257" i="4"/>
  <c r="B258" i="4"/>
  <c r="G257" i="4"/>
  <c r="D258" i="4"/>
  <c r="E258" i="4"/>
  <c r="F258" i="4"/>
  <c r="B259" i="4"/>
  <c r="G258" i="4"/>
  <c r="D259" i="4"/>
  <c r="E259" i="4"/>
  <c r="F259" i="4"/>
  <c r="B260" i="4"/>
  <c r="G259" i="4"/>
  <c r="D260" i="4"/>
  <c r="E260" i="4"/>
  <c r="F260" i="4"/>
  <c r="B261" i="4"/>
  <c r="G260" i="4"/>
  <c r="D261" i="4"/>
  <c r="E261" i="4"/>
  <c r="F261" i="4"/>
  <c r="B262" i="4"/>
  <c r="G261" i="4"/>
  <c r="D262" i="4"/>
  <c r="E262" i="4"/>
  <c r="F262" i="4"/>
  <c r="B263" i="4"/>
  <c r="G262" i="4"/>
  <c r="D263" i="4"/>
  <c r="E263" i="4"/>
  <c r="F263" i="4"/>
  <c r="B264" i="4"/>
  <c r="G263" i="4"/>
  <c r="D264" i="4"/>
  <c r="E264" i="4"/>
  <c r="F264" i="4"/>
  <c r="B265" i="4"/>
  <c r="G264" i="4"/>
  <c r="D265" i="4"/>
  <c r="E265" i="4"/>
  <c r="F265" i="4"/>
  <c r="B266" i="4"/>
  <c r="G265" i="4"/>
  <c r="D266" i="4"/>
  <c r="E266" i="4"/>
  <c r="F266" i="4"/>
  <c r="B267" i="4"/>
  <c r="G266" i="4"/>
  <c r="D267" i="4"/>
  <c r="E267" i="4"/>
  <c r="F267" i="4"/>
  <c r="B268" i="4"/>
  <c r="G267" i="4"/>
  <c r="D268" i="4"/>
  <c r="E268" i="4"/>
  <c r="F268" i="4"/>
  <c r="B269" i="4"/>
  <c r="G268" i="4"/>
  <c r="D269" i="4"/>
  <c r="E269" i="4"/>
  <c r="F269" i="4"/>
  <c r="B270" i="4"/>
  <c r="G269" i="4"/>
  <c r="D270" i="4"/>
  <c r="E270" i="4"/>
  <c r="F270" i="4"/>
  <c r="B271" i="4"/>
  <c r="G270" i="4"/>
  <c r="D271" i="4"/>
  <c r="E271" i="4"/>
  <c r="F271" i="4"/>
  <c r="B272" i="4"/>
  <c r="G271" i="4"/>
  <c r="D272" i="4"/>
  <c r="E272" i="4"/>
  <c r="F272" i="4"/>
  <c r="B273" i="4"/>
  <c r="G272" i="4"/>
  <c r="D273" i="4"/>
  <c r="E273" i="4"/>
  <c r="F273" i="4"/>
  <c r="B274" i="4"/>
  <c r="G273" i="4"/>
  <c r="D274" i="4"/>
  <c r="E274" i="4"/>
  <c r="F274" i="4"/>
  <c r="B275" i="4"/>
  <c r="G274" i="4"/>
  <c r="D275" i="4"/>
  <c r="E275" i="4"/>
  <c r="F275" i="4"/>
  <c r="B276" i="4"/>
  <c r="G275" i="4"/>
  <c r="D276" i="4"/>
  <c r="E276" i="4"/>
  <c r="F276" i="4"/>
  <c r="B277" i="4"/>
  <c r="G276" i="4"/>
  <c r="D277" i="4"/>
  <c r="E277" i="4"/>
  <c r="F277" i="4"/>
  <c r="B278" i="4"/>
  <c r="G277" i="4"/>
  <c r="D278" i="4"/>
  <c r="E278" i="4"/>
  <c r="F278" i="4"/>
  <c r="B279" i="4"/>
  <c r="G278" i="4"/>
  <c r="D279" i="4"/>
  <c r="E279" i="4"/>
  <c r="F279" i="4"/>
  <c r="B280" i="4"/>
  <c r="G279" i="4"/>
  <c r="D280" i="4"/>
  <c r="E280" i="4"/>
  <c r="F280" i="4"/>
  <c r="B281" i="4"/>
  <c r="G280" i="4"/>
  <c r="D281" i="4"/>
  <c r="E281" i="4"/>
  <c r="F281" i="4"/>
  <c r="B282" i="4"/>
  <c r="G281" i="4"/>
  <c r="D282" i="4"/>
  <c r="E282" i="4"/>
  <c r="F282" i="4"/>
  <c r="B283" i="4"/>
  <c r="G282" i="4"/>
  <c r="D283" i="4"/>
  <c r="E283" i="4"/>
  <c r="F283" i="4"/>
  <c r="B284" i="4"/>
  <c r="G283" i="4"/>
  <c r="D284" i="4"/>
  <c r="E284" i="4"/>
  <c r="F284" i="4"/>
  <c r="B285" i="4"/>
  <c r="G284" i="4"/>
  <c r="D285" i="4"/>
  <c r="E285" i="4"/>
  <c r="F285" i="4"/>
  <c r="B286" i="4"/>
  <c r="G285" i="4"/>
  <c r="D286" i="4"/>
  <c r="E286" i="4"/>
  <c r="F286" i="4"/>
  <c r="B287" i="4"/>
  <c r="G286" i="4"/>
  <c r="D287" i="4"/>
  <c r="E287" i="4"/>
  <c r="F287" i="4"/>
  <c r="B288" i="4"/>
  <c r="G287" i="4"/>
  <c r="D288" i="4"/>
  <c r="E288" i="4"/>
  <c r="F288" i="4"/>
  <c r="B289" i="4"/>
  <c r="G288" i="4"/>
  <c r="D289" i="4"/>
  <c r="E289" i="4"/>
  <c r="F289" i="4"/>
  <c r="B290" i="4"/>
  <c r="G289" i="4"/>
  <c r="D290" i="4"/>
  <c r="E290" i="4"/>
  <c r="F290" i="4"/>
  <c r="B291" i="4"/>
  <c r="G290" i="4"/>
  <c r="D291" i="4"/>
  <c r="E291" i="4"/>
  <c r="F291" i="4"/>
  <c r="B292" i="4"/>
  <c r="G291" i="4"/>
  <c r="D292" i="4"/>
  <c r="E292" i="4"/>
  <c r="F292" i="4"/>
  <c r="B293" i="4"/>
  <c r="G292" i="4"/>
  <c r="D293" i="4"/>
  <c r="E293" i="4"/>
  <c r="F293" i="4"/>
  <c r="B294" i="4"/>
  <c r="G293" i="4"/>
  <c r="D294" i="4"/>
  <c r="E294" i="4"/>
  <c r="F294" i="4"/>
  <c r="B295" i="4"/>
  <c r="G294" i="4"/>
  <c r="D295" i="4"/>
  <c r="E295" i="4"/>
  <c r="F295" i="4"/>
  <c r="B296" i="4"/>
  <c r="G295" i="4"/>
  <c r="D296" i="4"/>
  <c r="E296" i="4"/>
  <c r="F296" i="4"/>
  <c r="B297" i="4"/>
  <c r="G296" i="4"/>
  <c r="D297" i="4"/>
  <c r="E297" i="4"/>
  <c r="F297" i="4"/>
  <c r="B298" i="4"/>
  <c r="G297" i="4"/>
  <c r="D298" i="4"/>
  <c r="E298" i="4"/>
  <c r="F298" i="4"/>
  <c r="B299" i="4"/>
  <c r="G298" i="4"/>
  <c r="D299" i="4"/>
  <c r="E299" i="4"/>
  <c r="F299" i="4"/>
  <c r="B300" i="4"/>
  <c r="G299" i="4"/>
  <c r="D300" i="4"/>
  <c r="E300" i="4"/>
  <c r="F300" i="4"/>
  <c r="B301" i="4"/>
  <c r="G300" i="4"/>
  <c r="D301" i="4"/>
  <c r="E301" i="4"/>
  <c r="F301" i="4"/>
  <c r="B302" i="4"/>
  <c r="G301" i="4"/>
  <c r="D302" i="4"/>
  <c r="E302" i="4"/>
  <c r="F302" i="4"/>
  <c r="B303" i="4"/>
  <c r="G302" i="4"/>
  <c r="D303" i="4"/>
  <c r="E303" i="4"/>
  <c r="F303" i="4"/>
  <c r="B304" i="4"/>
  <c r="G303" i="4"/>
  <c r="D304" i="4"/>
  <c r="E304" i="4"/>
  <c r="F304" i="4"/>
  <c r="B305" i="4"/>
  <c r="G304" i="4"/>
  <c r="D305" i="4"/>
  <c r="E305" i="4"/>
  <c r="F305" i="4"/>
  <c r="B306" i="4"/>
  <c r="G305" i="4"/>
  <c r="D306" i="4"/>
  <c r="E306" i="4"/>
  <c r="F306" i="4"/>
  <c r="B307" i="4"/>
  <c r="G306" i="4"/>
  <c r="D307" i="4"/>
  <c r="E307" i="4"/>
  <c r="F307" i="4"/>
  <c r="B308" i="4"/>
  <c r="G307" i="4"/>
  <c r="D308" i="4"/>
  <c r="E308" i="4"/>
  <c r="F308" i="4"/>
  <c r="B309" i="4"/>
  <c r="G308" i="4"/>
  <c r="D309" i="4"/>
  <c r="E309" i="4"/>
  <c r="F309" i="4"/>
  <c r="B310" i="4"/>
  <c r="G309" i="4"/>
  <c r="D310" i="4"/>
  <c r="E310" i="4"/>
  <c r="F310" i="4"/>
  <c r="B311" i="4"/>
  <c r="G310" i="4"/>
  <c r="D311" i="4"/>
  <c r="E311" i="4"/>
  <c r="F311" i="4"/>
  <c r="B312" i="4"/>
  <c r="G311" i="4"/>
  <c r="D312" i="4"/>
  <c r="E312" i="4"/>
  <c r="F312" i="4"/>
  <c r="B313" i="4"/>
  <c r="G312" i="4"/>
  <c r="D313" i="4"/>
  <c r="E313" i="4"/>
  <c r="F313" i="4"/>
  <c r="B314" i="4"/>
  <c r="G313" i="4"/>
  <c r="D314" i="4"/>
  <c r="E314" i="4"/>
  <c r="F314" i="4"/>
  <c r="B315" i="4"/>
  <c r="G314" i="4"/>
  <c r="D315" i="4"/>
  <c r="E315" i="4"/>
  <c r="F315" i="4"/>
  <c r="B316" i="4"/>
  <c r="G315" i="4"/>
  <c r="D316" i="4"/>
  <c r="E316" i="4"/>
  <c r="F316" i="4"/>
  <c r="B317" i="4"/>
  <c r="G316" i="4"/>
  <c r="D317" i="4"/>
  <c r="E317" i="4"/>
  <c r="F317" i="4"/>
  <c r="B318" i="4"/>
  <c r="G317" i="4"/>
  <c r="D318" i="4"/>
  <c r="E318" i="4"/>
  <c r="F318" i="4"/>
  <c r="B319" i="4"/>
  <c r="G318" i="4"/>
  <c r="D319" i="4"/>
  <c r="E319" i="4"/>
  <c r="F319" i="4"/>
  <c r="B320" i="4"/>
  <c r="G319" i="4"/>
  <c r="D320" i="4"/>
  <c r="E320" i="4"/>
  <c r="F320" i="4"/>
  <c r="B321" i="4"/>
  <c r="G320" i="4"/>
  <c r="D321" i="4"/>
  <c r="E321" i="4"/>
  <c r="F321" i="4"/>
  <c r="B322" i="4"/>
  <c r="G321" i="4"/>
  <c r="D322" i="4"/>
  <c r="E322" i="4"/>
  <c r="F322" i="4"/>
  <c r="B323" i="4"/>
  <c r="G322" i="4"/>
  <c r="D323" i="4"/>
  <c r="E323" i="4"/>
  <c r="F323" i="4"/>
  <c r="B324" i="4"/>
  <c r="G323" i="4"/>
  <c r="D324" i="4"/>
  <c r="E324" i="4"/>
  <c r="F324" i="4"/>
  <c r="B325" i="4"/>
  <c r="G324" i="4"/>
  <c r="D325" i="4"/>
  <c r="E325" i="4"/>
  <c r="F325" i="4"/>
  <c r="B326" i="4"/>
  <c r="G325" i="4"/>
  <c r="D326" i="4"/>
  <c r="E326" i="4"/>
  <c r="F326" i="4"/>
  <c r="B327" i="4"/>
  <c r="G326" i="4"/>
  <c r="D327" i="4"/>
  <c r="E327" i="4"/>
  <c r="F327" i="4"/>
  <c r="B328" i="4"/>
  <c r="G327" i="4"/>
  <c r="D328" i="4"/>
  <c r="E328" i="4"/>
  <c r="F328" i="4"/>
  <c r="B329" i="4"/>
  <c r="G328" i="4"/>
  <c r="D329" i="4"/>
  <c r="E329" i="4"/>
  <c r="F329" i="4"/>
  <c r="B330" i="4"/>
  <c r="G329" i="4"/>
  <c r="D330" i="4"/>
  <c r="E330" i="4"/>
  <c r="F330" i="4"/>
  <c r="B331" i="4"/>
  <c r="G330" i="4"/>
  <c r="D331" i="4"/>
  <c r="E331" i="4"/>
  <c r="F331" i="4"/>
  <c r="B332" i="4"/>
  <c r="G331" i="4"/>
  <c r="D332" i="4"/>
  <c r="E332" i="4"/>
  <c r="F332" i="4"/>
  <c r="B333" i="4"/>
  <c r="G332" i="4"/>
  <c r="D333" i="4"/>
  <c r="E333" i="4"/>
  <c r="F333" i="4"/>
  <c r="B334" i="4"/>
  <c r="G333" i="4"/>
  <c r="D334" i="4"/>
  <c r="E334" i="4"/>
  <c r="F334" i="4"/>
  <c r="B335" i="4"/>
  <c r="G334" i="4"/>
  <c r="D335" i="4"/>
  <c r="E335" i="4"/>
  <c r="F335" i="4"/>
  <c r="B336" i="4"/>
  <c r="G335" i="4"/>
  <c r="D336" i="4"/>
  <c r="E336" i="4"/>
  <c r="F336" i="4"/>
  <c r="B337" i="4"/>
  <c r="G336" i="4"/>
  <c r="D337" i="4"/>
  <c r="E337" i="4"/>
  <c r="F337" i="4"/>
  <c r="B338" i="4"/>
  <c r="G337" i="4"/>
  <c r="D338" i="4"/>
  <c r="E338" i="4"/>
  <c r="F338" i="4"/>
  <c r="B339" i="4"/>
  <c r="G338" i="4"/>
  <c r="D339" i="4"/>
  <c r="E339" i="4"/>
  <c r="F339" i="4"/>
  <c r="B340" i="4"/>
  <c r="G339" i="4"/>
  <c r="D340" i="4"/>
  <c r="E340" i="4"/>
  <c r="F340" i="4"/>
  <c r="B341" i="4"/>
  <c r="G340" i="4"/>
  <c r="D341" i="4"/>
  <c r="E341" i="4"/>
  <c r="F341" i="4"/>
  <c r="B342" i="4"/>
  <c r="G341" i="4"/>
  <c r="D342" i="4"/>
  <c r="E342" i="4"/>
  <c r="F342" i="4"/>
  <c r="B343" i="4"/>
  <c r="G342" i="4"/>
  <c r="D343" i="4"/>
  <c r="E343" i="4"/>
  <c r="F343" i="4"/>
  <c r="B344" i="4"/>
  <c r="G343" i="4"/>
  <c r="D344" i="4"/>
  <c r="E344" i="4"/>
  <c r="F344" i="4"/>
  <c r="B345" i="4"/>
  <c r="G344" i="4"/>
  <c r="D345" i="4"/>
  <c r="E345" i="4"/>
  <c r="F345" i="4"/>
  <c r="B346" i="4"/>
  <c r="G345" i="4"/>
  <c r="D346" i="4"/>
  <c r="E346" i="4"/>
  <c r="F346" i="4"/>
  <c r="B347" i="4"/>
  <c r="G346" i="4"/>
  <c r="D347" i="4"/>
  <c r="E347" i="4"/>
  <c r="F347" i="4"/>
  <c r="B348" i="4"/>
  <c r="G347" i="4"/>
  <c r="D348" i="4"/>
  <c r="E348" i="4"/>
  <c r="F348" i="4"/>
  <c r="B349" i="4"/>
  <c r="G348" i="4"/>
  <c r="D349" i="4"/>
  <c r="E349" i="4"/>
  <c r="F349" i="4"/>
  <c r="B350" i="4"/>
  <c r="G349" i="4"/>
  <c r="D350" i="4"/>
  <c r="E350" i="4"/>
  <c r="F350" i="4"/>
  <c r="B351" i="4"/>
  <c r="G350" i="4"/>
  <c r="D351" i="4"/>
  <c r="E351" i="4"/>
  <c r="F351" i="4"/>
  <c r="B352" i="4"/>
  <c r="G351" i="4"/>
  <c r="D352" i="4"/>
  <c r="E352" i="4"/>
  <c r="F352" i="4"/>
  <c r="B353" i="4"/>
  <c r="G352" i="4"/>
  <c r="D353" i="4"/>
  <c r="E353" i="4"/>
  <c r="F353" i="4"/>
  <c r="B354" i="4"/>
  <c r="G353" i="4"/>
  <c r="D354" i="4"/>
  <c r="E354" i="4"/>
  <c r="F354" i="4"/>
  <c r="B355" i="4"/>
  <c r="G354" i="4"/>
  <c r="D355" i="4"/>
  <c r="E355" i="4"/>
  <c r="F355" i="4"/>
  <c r="B356" i="4"/>
  <c r="G355" i="4"/>
  <c r="D356" i="4"/>
  <c r="E356" i="4"/>
  <c r="F356" i="4"/>
  <c r="B357" i="4"/>
  <c r="G356" i="4"/>
  <c r="D357" i="4"/>
  <c r="E357" i="4"/>
  <c r="F357" i="4"/>
  <c r="B358" i="4"/>
  <c r="G357" i="4"/>
  <c r="D358" i="4"/>
  <c r="E358" i="4"/>
  <c r="F358" i="4"/>
  <c r="B359" i="4"/>
  <c r="G358" i="4"/>
  <c r="D359" i="4"/>
  <c r="E359" i="4"/>
  <c r="F359" i="4"/>
  <c r="B360" i="4"/>
  <c r="G359" i="4"/>
  <c r="D360" i="4"/>
  <c r="E360" i="4"/>
  <c r="F360" i="4"/>
  <c r="B361" i="4"/>
  <c r="G360" i="4"/>
  <c r="D361" i="4"/>
  <c r="E361" i="4"/>
  <c r="F361" i="4"/>
  <c r="B362" i="4"/>
  <c r="G361" i="4"/>
  <c r="D362" i="4"/>
  <c r="E362" i="4"/>
  <c r="F362" i="4"/>
  <c r="B363" i="4"/>
  <c r="G362" i="4"/>
  <c r="D363" i="4"/>
  <c r="E363" i="4"/>
  <c r="F363" i="4"/>
  <c r="B364" i="4"/>
  <c r="G363" i="4"/>
  <c r="D364" i="4"/>
  <c r="E364" i="4"/>
  <c r="F364" i="4"/>
  <c r="B365" i="4"/>
  <c r="G364" i="4"/>
  <c r="D365" i="4"/>
  <c r="E365" i="4"/>
  <c r="F365" i="4"/>
  <c r="B366" i="4"/>
  <c r="G365" i="4"/>
  <c r="D366" i="4"/>
  <c r="E366" i="4"/>
  <c r="F366" i="4"/>
  <c r="B367" i="4"/>
  <c r="G366" i="4"/>
  <c r="D367" i="4"/>
  <c r="E367" i="4"/>
  <c r="F367" i="4"/>
  <c r="B368" i="4"/>
  <c r="G367" i="4"/>
  <c r="D368" i="4"/>
  <c r="E368" i="4"/>
  <c r="F368" i="4"/>
  <c r="B369" i="4"/>
  <c r="G368" i="4"/>
  <c r="D369" i="4"/>
  <c r="E369" i="4"/>
  <c r="F369" i="4"/>
  <c r="B370" i="4"/>
  <c r="G369" i="4"/>
  <c r="D370" i="4"/>
  <c r="E370" i="4"/>
  <c r="F370" i="4"/>
  <c r="B371" i="4"/>
  <c r="G370" i="4"/>
  <c r="D371" i="4"/>
  <c r="E371" i="4"/>
  <c r="F371" i="4"/>
  <c r="B372" i="4"/>
  <c r="G371" i="4"/>
  <c r="D372" i="4"/>
  <c r="E372" i="4"/>
  <c r="F372" i="4"/>
  <c r="B373" i="4"/>
  <c r="G372" i="4"/>
  <c r="D373" i="4"/>
  <c r="E373" i="4"/>
  <c r="F373" i="4"/>
  <c r="B374" i="4"/>
  <c r="G373" i="4"/>
  <c r="D374" i="4"/>
  <c r="E374" i="4"/>
  <c r="F374" i="4"/>
  <c r="B375" i="4"/>
  <c r="G374" i="4"/>
  <c r="D375" i="4"/>
  <c r="E375" i="4"/>
  <c r="F375" i="4"/>
  <c r="B376" i="4"/>
  <c r="G375" i="4"/>
  <c r="D376" i="4"/>
  <c r="E376" i="4"/>
  <c r="F376" i="4"/>
  <c r="B377" i="4"/>
  <c r="G376" i="4"/>
  <c r="D377" i="4"/>
  <c r="E377" i="4"/>
  <c r="F377" i="4"/>
  <c r="B378" i="4"/>
  <c r="G377" i="4"/>
  <c r="D378" i="4"/>
  <c r="E378" i="4"/>
  <c r="F378" i="4"/>
  <c r="B379" i="4"/>
  <c r="G378" i="4"/>
  <c r="D379" i="4"/>
  <c r="E379" i="4"/>
  <c r="F379" i="4"/>
  <c r="B380" i="4"/>
  <c r="G379" i="4"/>
  <c r="D380" i="4"/>
  <c r="E380" i="4"/>
  <c r="F380" i="4"/>
  <c r="B381" i="4"/>
  <c r="G380" i="4"/>
  <c r="D381" i="4"/>
  <c r="E381" i="4"/>
  <c r="F381" i="4"/>
  <c r="F382" i="4"/>
  <c r="E22" i="4"/>
  <c r="E23" i="4"/>
  <c r="E24" i="4"/>
  <c r="E25" i="4"/>
  <c r="E26" i="4"/>
  <c r="E27" i="4"/>
  <c r="E28" i="4"/>
  <c r="E29" i="4"/>
  <c r="E30" i="4"/>
  <c r="E31" i="4"/>
  <c r="E32" i="4"/>
  <c r="E33" i="4"/>
  <c r="E34" i="4"/>
  <c r="E35" i="4"/>
  <c r="E36" i="4"/>
  <c r="E37" i="4"/>
  <c r="E38" i="4"/>
  <c r="E39" i="4"/>
  <c r="E40" i="4"/>
  <c r="E41" i="4"/>
  <c r="E42" i="4"/>
  <c r="E43" i="4"/>
  <c r="E44" i="4"/>
  <c r="E45" i="4"/>
  <c r="E382" i="4"/>
  <c r="H381" i="4"/>
  <c r="G38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A381" i="4"/>
  <c r="H380" i="4"/>
  <c r="A380" i="4"/>
  <c r="H379" i="4"/>
  <c r="A379" i="4"/>
  <c r="H378" i="4"/>
  <c r="A378" i="4"/>
  <c r="H377" i="4"/>
  <c r="A377" i="4"/>
  <c r="H376" i="4"/>
  <c r="A376" i="4"/>
  <c r="H375" i="4"/>
  <c r="A375" i="4"/>
  <c r="H374" i="4"/>
  <c r="A374" i="4"/>
  <c r="H373" i="4"/>
  <c r="A373" i="4"/>
  <c r="H372" i="4"/>
  <c r="A372" i="4"/>
  <c r="H371" i="4"/>
  <c r="A371" i="4"/>
  <c r="H370" i="4"/>
  <c r="A370" i="4"/>
  <c r="H369" i="4"/>
  <c r="A369" i="4"/>
  <c r="H368" i="4"/>
  <c r="A368" i="4"/>
  <c r="H367" i="4"/>
  <c r="A367" i="4"/>
  <c r="H366" i="4"/>
  <c r="A366" i="4"/>
  <c r="H365" i="4"/>
  <c r="A365" i="4"/>
  <c r="H364" i="4"/>
  <c r="A364" i="4"/>
  <c r="H363" i="4"/>
  <c r="A363" i="4"/>
  <c r="H362" i="4"/>
  <c r="A362" i="4"/>
  <c r="H361" i="4"/>
  <c r="A361" i="4"/>
  <c r="H360" i="4"/>
  <c r="A360" i="4"/>
  <c r="H359" i="4"/>
  <c r="A359" i="4"/>
  <c r="H358" i="4"/>
  <c r="A358" i="4"/>
  <c r="H357" i="4"/>
  <c r="A357" i="4"/>
  <c r="H356" i="4"/>
  <c r="A356" i="4"/>
  <c r="H355" i="4"/>
  <c r="A355" i="4"/>
  <c r="H354" i="4"/>
  <c r="A354" i="4"/>
  <c r="H353" i="4"/>
  <c r="A353" i="4"/>
  <c r="H352" i="4"/>
  <c r="A352" i="4"/>
  <c r="H351" i="4"/>
  <c r="A351" i="4"/>
  <c r="H350" i="4"/>
  <c r="A350" i="4"/>
  <c r="H349" i="4"/>
  <c r="A349" i="4"/>
  <c r="H348" i="4"/>
  <c r="A348" i="4"/>
  <c r="H347" i="4"/>
  <c r="A347" i="4"/>
  <c r="H346" i="4"/>
  <c r="A346" i="4"/>
  <c r="H345" i="4"/>
  <c r="A345" i="4"/>
  <c r="H344" i="4"/>
  <c r="A344" i="4"/>
  <c r="H343" i="4"/>
  <c r="A343" i="4"/>
  <c r="H342" i="4"/>
  <c r="A342" i="4"/>
  <c r="H341" i="4"/>
  <c r="A341" i="4"/>
  <c r="H340" i="4"/>
  <c r="A340" i="4"/>
  <c r="H339" i="4"/>
  <c r="A339" i="4"/>
  <c r="H338" i="4"/>
  <c r="A338" i="4"/>
  <c r="H337" i="4"/>
  <c r="A337" i="4"/>
  <c r="H336" i="4"/>
  <c r="A336" i="4"/>
  <c r="H335" i="4"/>
  <c r="A335" i="4"/>
  <c r="H334" i="4"/>
  <c r="A334" i="4"/>
  <c r="H333" i="4"/>
  <c r="A333" i="4"/>
  <c r="H332" i="4"/>
  <c r="A332" i="4"/>
  <c r="H331" i="4"/>
  <c r="A331" i="4"/>
  <c r="H330" i="4"/>
  <c r="A330" i="4"/>
  <c r="H329" i="4"/>
  <c r="A329" i="4"/>
  <c r="H328" i="4"/>
  <c r="A328" i="4"/>
  <c r="H327" i="4"/>
  <c r="A327" i="4"/>
  <c r="H326" i="4"/>
  <c r="A326" i="4"/>
  <c r="H325" i="4"/>
  <c r="A325" i="4"/>
  <c r="H324" i="4"/>
  <c r="A324" i="4"/>
  <c r="H323" i="4"/>
  <c r="A323" i="4"/>
  <c r="H322" i="4"/>
  <c r="A322" i="4"/>
  <c r="H321" i="4"/>
  <c r="A321" i="4"/>
  <c r="H320" i="4"/>
  <c r="A320" i="4"/>
  <c r="H319" i="4"/>
  <c r="A319" i="4"/>
  <c r="H318" i="4"/>
  <c r="A318" i="4"/>
  <c r="H317" i="4"/>
  <c r="A317" i="4"/>
  <c r="H316" i="4"/>
  <c r="A316" i="4"/>
  <c r="H315" i="4"/>
  <c r="A315" i="4"/>
  <c r="H314" i="4"/>
  <c r="A314" i="4"/>
  <c r="H313" i="4"/>
  <c r="A313" i="4"/>
  <c r="H312" i="4"/>
  <c r="A312" i="4"/>
  <c r="H311" i="4"/>
  <c r="A311" i="4"/>
  <c r="H310" i="4"/>
  <c r="A310" i="4"/>
  <c r="H309" i="4"/>
  <c r="A309" i="4"/>
  <c r="H308" i="4"/>
  <c r="A308" i="4"/>
  <c r="H307" i="4"/>
  <c r="A307" i="4"/>
  <c r="H306" i="4"/>
  <c r="A306" i="4"/>
  <c r="H305" i="4"/>
  <c r="A305" i="4"/>
  <c r="H304" i="4"/>
  <c r="A304" i="4"/>
  <c r="H303" i="4"/>
  <c r="A303" i="4"/>
  <c r="H302" i="4"/>
  <c r="A302" i="4"/>
  <c r="H301" i="4"/>
  <c r="A301" i="4"/>
  <c r="H300" i="4"/>
  <c r="A300" i="4"/>
  <c r="H299" i="4"/>
  <c r="A299" i="4"/>
  <c r="H298" i="4"/>
  <c r="A298" i="4"/>
  <c r="H297" i="4"/>
  <c r="A297" i="4"/>
  <c r="H296" i="4"/>
  <c r="A296" i="4"/>
  <c r="H295" i="4"/>
  <c r="A295" i="4"/>
  <c r="H294" i="4"/>
  <c r="A294" i="4"/>
  <c r="H293" i="4"/>
  <c r="A293" i="4"/>
  <c r="H292" i="4"/>
  <c r="A292" i="4"/>
  <c r="H291" i="4"/>
  <c r="A291" i="4"/>
  <c r="H290" i="4"/>
  <c r="A290" i="4"/>
  <c r="H289" i="4"/>
  <c r="A289" i="4"/>
  <c r="H288" i="4"/>
  <c r="A288" i="4"/>
  <c r="H287" i="4"/>
  <c r="A287" i="4"/>
  <c r="H286" i="4"/>
  <c r="A286" i="4"/>
  <c r="H285" i="4"/>
  <c r="A285" i="4"/>
  <c r="H284" i="4"/>
  <c r="A284" i="4"/>
  <c r="H283" i="4"/>
  <c r="A283" i="4"/>
  <c r="H282" i="4"/>
  <c r="A282" i="4"/>
  <c r="H281" i="4"/>
  <c r="A281" i="4"/>
  <c r="H280" i="4"/>
  <c r="A280" i="4"/>
  <c r="H279" i="4"/>
  <c r="A279" i="4"/>
  <c r="H278" i="4"/>
  <c r="A278" i="4"/>
  <c r="H277" i="4"/>
  <c r="A277" i="4"/>
  <c r="H276" i="4"/>
  <c r="A276" i="4"/>
  <c r="H275" i="4"/>
  <c r="A275" i="4"/>
  <c r="H274" i="4"/>
  <c r="A274" i="4"/>
  <c r="H273" i="4"/>
  <c r="A273" i="4"/>
  <c r="H272" i="4"/>
  <c r="A272" i="4"/>
  <c r="H271" i="4"/>
  <c r="A271" i="4"/>
  <c r="H270" i="4"/>
  <c r="A270" i="4"/>
  <c r="H269" i="4"/>
  <c r="A269" i="4"/>
  <c r="H268" i="4"/>
  <c r="A268" i="4"/>
  <c r="H267" i="4"/>
  <c r="A267" i="4"/>
  <c r="H266" i="4"/>
  <c r="A266" i="4"/>
  <c r="H265" i="4"/>
  <c r="A265" i="4"/>
  <c r="H264" i="4"/>
  <c r="A264" i="4"/>
  <c r="H263" i="4"/>
  <c r="A263" i="4"/>
  <c r="H262" i="4"/>
  <c r="A262" i="4"/>
  <c r="H261" i="4"/>
  <c r="A261" i="4"/>
  <c r="H260" i="4"/>
  <c r="A260" i="4"/>
  <c r="H259" i="4"/>
  <c r="A259" i="4"/>
  <c r="H258" i="4"/>
  <c r="A258" i="4"/>
  <c r="H257" i="4"/>
  <c r="A257" i="4"/>
  <c r="H256" i="4"/>
  <c r="A256" i="4"/>
  <c r="H255" i="4"/>
  <c r="A255" i="4"/>
  <c r="H254" i="4"/>
  <c r="A254" i="4"/>
  <c r="H253" i="4"/>
  <c r="A253" i="4"/>
  <c r="H252" i="4"/>
  <c r="A252" i="4"/>
  <c r="H251" i="4"/>
  <c r="A251" i="4"/>
  <c r="H250" i="4"/>
  <c r="A250" i="4"/>
  <c r="H249" i="4"/>
  <c r="A249" i="4"/>
  <c r="H248" i="4"/>
  <c r="A248" i="4"/>
  <c r="H247" i="4"/>
  <c r="A247" i="4"/>
  <c r="H246" i="4"/>
  <c r="A246" i="4"/>
  <c r="H245" i="4"/>
  <c r="A245" i="4"/>
  <c r="H244" i="4"/>
  <c r="A244" i="4"/>
  <c r="H243" i="4"/>
  <c r="A243" i="4"/>
  <c r="H242" i="4"/>
  <c r="A242" i="4"/>
  <c r="H241" i="4"/>
  <c r="A241" i="4"/>
  <c r="H240" i="4"/>
  <c r="A240" i="4"/>
  <c r="H239" i="4"/>
  <c r="A239" i="4"/>
  <c r="H238" i="4"/>
  <c r="A238" i="4"/>
  <c r="H237" i="4"/>
  <c r="A237" i="4"/>
  <c r="H236" i="4"/>
  <c r="A236" i="4"/>
  <c r="H235" i="4"/>
  <c r="A235" i="4"/>
  <c r="H234" i="4"/>
  <c r="A234" i="4"/>
  <c r="H233" i="4"/>
  <c r="A233" i="4"/>
  <c r="H232" i="4"/>
  <c r="A232" i="4"/>
  <c r="H231" i="4"/>
  <c r="A231" i="4"/>
  <c r="H230" i="4"/>
  <c r="A230" i="4"/>
  <c r="H229" i="4"/>
  <c r="A229" i="4"/>
  <c r="H228" i="4"/>
  <c r="A228" i="4"/>
  <c r="H227" i="4"/>
  <c r="A227" i="4"/>
  <c r="H226" i="4"/>
  <c r="A226" i="4"/>
  <c r="H225" i="4"/>
  <c r="A225" i="4"/>
  <c r="H224" i="4"/>
  <c r="A224" i="4"/>
  <c r="H223" i="4"/>
  <c r="A223" i="4"/>
  <c r="H222" i="4"/>
  <c r="A222" i="4"/>
  <c r="H221" i="4"/>
  <c r="A221" i="4"/>
  <c r="H220" i="4"/>
  <c r="A220" i="4"/>
  <c r="H219" i="4"/>
  <c r="A219" i="4"/>
  <c r="H218" i="4"/>
  <c r="A218" i="4"/>
  <c r="H217" i="4"/>
  <c r="A217" i="4"/>
  <c r="H216" i="4"/>
  <c r="A216" i="4"/>
  <c r="H215" i="4"/>
  <c r="A215" i="4"/>
  <c r="H214" i="4"/>
  <c r="A214" i="4"/>
  <c r="H213" i="4"/>
  <c r="A213" i="4"/>
  <c r="H212" i="4"/>
  <c r="A212" i="4"/>
  <c r="H211" i="4"/>
  <c r="A211" i="4"/>
  <c r="H210" i="4"/>
  <c r="A210" i="4"/>
  <c r="H209" i="4"/>
  <c r="A209" i="4"/>
  <c r="H208" i="4"/>
  <c r="A208" i="4"/>
  <c r="H207" i="4"/>
  <c r="A207" i="4"/>
  <c r="H206" i="4"/>
  <c r="A206" i="4"/>
  <c r="H205" i="4"/>
  <c r="A205" i="4"/>
  <c r="H204" i="4"/>
  <c r="A204" i="4"/>
  <c r="H203" i="4"/>
  <c r="A203" i="4"/>
  <c r="H202" i="4"/>
  <c r="A202" i="4"/>
  <c r="H201" i="4"/>
  <c r="A201" i="4"/>
  <c r="H200" i="4"/>
  <c r="A200" i="4"/>
  <c r="H199" i="4"/>
  <c r="A199" i="4"/>
  <c r="H198" i="4"/>
  <c r="A198" i="4"/>
  <c r="H197" i="4"/>
  <c r="A197" i="4"/>
  <c r="H196" i="4"/>
  <c r="A196" i="4"/>
  <c r="H195" i="4"/>
  <c r="A195" i="4"/>
  <c r="H194" i="4"/>
  <c r="A194" i="4"/>
  <c r="H193" i="4"/>
  <c r="A193" i="4"/>
  <c r="H192" i="4"/>
  <c r="A192" i="4"/>
  <c r="H191" i="4"/>
  <c r="A191" i="4"/>
  <c r="H190" i="4"/>
  <c r="A190" i="4"/>
  <c r="H189" i="4"/>
  <c r="A189" i="4"/>
  <c r="H188" i="4"/>
  <c r="A188" i="4"/>
  <c r="H187" i="4"/>
  <c r="A187" i="4"/>
  <c r="H186" i="4"/>
  <c r="A186" i="4"/>
  <c r="H185" i="4"/>
  <c r="A185" i="4"/>
  <c r="H184" i="4"/>
  <c r="A184" i="4"/>
  <c r="H183" i="4"/>
  <c r="A183" i="4"/>
  <c r="H182" i="4"/>
  <c r="A182" i="4"/>
  <c r="H181" i="4"/>
  <c r="A181" i="4"/>
  <c r="H180" i="4"/>
  <c r="A180" i="4"/>
  <c r="H179" i="4"/>
  <c r="A179" i="4"/>
  <c r="H178" i="4"/>
  <c r="A178" i="4"/>
  <c r="H177" i="4"/>
  <c r="A177" i="4"/>
  <c r="H176" i="4"/>
  <c r="A176" i="4"/>
  <c r="H175" i="4"/>
  <c r="A175" i="4"/>
  <c r="H174" i="4"/>
  <c r="A174" i="4"/>
  <c r="H173" i="4"/>
  <c r="A173" i="4"/>
  <c r="H172" i="4"/>
  <c r="A172" i="4"/>
  <c r="H171" i="4"/>
  <c r="A171" i="4"/>
  <c r="H170" i="4"/>
  <c r="A170" i="4"/>
  <c r="H169" i="4"/>
  <c r="A169" i="4"/>
  <c r="H168" i="4"/>
  <c r="A168" i="4"/>
  <c r="H167" i="4"/>
  <c r="A167" i="4"/>
  <c r="H166" i="4"/>
  <c r="A166" i="4"/>
  <c r="H165" i="4"/>
  <c r="A165" i="4"/>
  <c r="H164" i="4"/>
  <c r="A164" i="4"/>
  <c r="H163" i="4"/>
  <c r="A163" i="4"/>
  <c r="H162" i="4"/>
  <c r="A162" i="4"/>
  <c r="H161" i="4"/>
  <c r="A161" i="4"/>
  <c r="H160" i="4"/>
  <c r="A160" i="4"/>
  <c r="H159" i="4"/>
  <c r="A159" i="4"/>
  <c r="H158" i="4"/>
  <c r="A158" i="4"/>
  <c r="H157" i="4"/>
  <c r="A157" i="4"/>
  <c r="H156" i="4"/>
  <c r="A156" i="4"/>
  <c r="H155" i="4"/>
  <c r="A155" i="4"/>
  <c r="H154" i="4"/>
  <c r="A154" i="4"/>
  <c r="H153" i="4"/>
  <c r="A153" i="4"/>
  <c r="H152" i="4"/>
  <c r="A152" i="4"/>
  <c r="H151" i="4"/>
  <c r="A151" i="4"/>
  <c r="H150" i="4"/>
  <c r="A150" i="4"/>
  <c r="H149" i="4"/>
  <c r="A149" i="4"/>
  <c r="H148" i="4"/>
  <c r="A148" i="4"/>
  <c r="H147" i="4"/>
  <c r="A147" i="4"/>
  <c r="H146" i="4"/>
  <c r="A146" i="4"/>
  <c r="H145" i="4"/>
  <c r="A145" i="4"/>
  <c r="H144" i="4"/>
  <c r="A144" i="4"/>
  <c r="H143" i="4"/>
  <c r="A143" i="4"/>
  <c r="H142" i="4"/>
  <c r="A142" i="4"/>
  <c r="H141" i="4"/>
  <c r="A141" i="4"/>
  <c r="H140" i="4"/>
  <c r="A140" i="4"/>
  <c r="H139" i="4"/>
  <c r="A139" i="4"/>
  <c r="H138" i="4"/>
  <c r="A138" i="4"/>
  <c r="H137" i="4"/>
  <c r="A137" i="4"/>
  <c r="H136" i="4"/>
  <c r="A136" i="4"/>
  <c r="H135" i="4"/>
  <c r="A135" i="4"/>
  <c r="H134" i="4"/>
  <c r="A134" i="4"/>
  <c r="H133" i="4"/>
  <c r="A133" i="4"/>
  <c r="H132" i="4"/>
  <c r="A132" i="4"/>
  <c r="H131" i="4"/>
  <c r="A131" i="4"/>
  <c r="H130" i="4"/>
  <c r="A130" i="4"/>
  <c r="H129" i="4"/>
  <c r="A129" i="4"/>
  <c r="H128" i="4"/>
  <c r="A128" i="4"/>
  <c r="H127" i="4"/>
  <c r="A127" i="4"/>
  <c r="H126" i="4"/>
  <c r="A126" i="4"/>
  <c r="H125" i="4"/>
  <c r="A125" i="4"/>
  <c r="H124" i="4"/>
  <c r="A124" i="4"/>
  <c r="H123" i="4"/>
  <c r="A123" i="4"/>
  <c r="H122" i="4"/>
  <c r="A122" i="4"/>
  <c r="H121" i="4"/>
  <c r="A121" i="4"/>
  <c r="H120" i="4"/>
  <c r="A120" i="4"/>
  <c r="H119" i="4"/>
  <c r="A119" i="4"/>
  <c r="H118" i="4"/>
  <c r="A118" i="4"/>
  <c r="H117" i="4"/>
  <c r="A117" i="4"/>
  <c r="H116" i="4"/>
  <c r="A116" i="4"/>
  <c r="H115" i="4"/>
  <c r="A115" i="4"/>
  <c r="H114" i="4"/>
  <c r="A114" i="4"/>
  <c r="H113" i="4"/>
  <c r="A113" i="4"/>
  <c r="H112" i="4"/>
  <c r="A112" i="4"/>
  <c r="H111" i="4"/>
  <c r="A111" i="4"/>
  <c r="H110" i="4"/>
  <c r="A110" i="4"/>
  <c r="H109" i="4"/>
  <c r="A109" i="4"/>
  <c r="H108" i="4"/>
  <c r="A108" i="4"/>
  <c r="H107" i="4"/>
  <c r="A107" i="4"/>
  <c r="H106" i="4"/>
  <c r="A106" i="4"/>
  <c r="H105" i="4"/>
  <c r="A105" i="4"/>
  <c r="H104" i="4"/>
  <c r="A104" i="4"/>
  <c r="H103" i="4"/>
  <c r="A103" i="4"/>
  <c r="H102" i="4"/>
  <c r="A102" i="4"/>
  <c r="H101" i="4"/>
  <c r="A101" i="4"/>
  <c r="H100" i="4"/>
  <c r="A100" i="4"/>
  <c r="H99" i="4"/>
  <c r="A99" i="4"/>
  <c r="H98" i="4"/>
  <c r="A98" i="4"/>
  <c r="H97" i="4"/>
  <c r="A97" i="4"/>
  <c r="H96" i="4"/>
  <c r="A96" i="4"/>
  <c r="H95" i="4"/>
  <c r="A95" i="4"/>
  <c r="H94" i="4"/>
  <c r="A94" i="4"/>
  <c r="H93" i="4"/>
  <c r="A93" i="4"/>
  <c r="H92" i="4"/>
  <c r="A92" i="4"/>
  <c r="H91" i="4"/>
  <c r="A91" i="4"/>
  <c r="H90" i="4"/>
  <c r="A90" i="4"/>
  <c r="H89" i="4"/>
  <c r="A89" i="4"/>
  <c r="H88" i="4"/>
  <c r="A88" i="4"/>
  <c r="H87" i="4"/>
  <c r="A87" i="4"/>
  <c r="H86" i="4"/>
  <c r="A86" i="4"/>
  <c r="H85" i="4"/>
  <c r="A85" i="4"/>
  <c r="H84" i="4"/>
  <c r="A84" i="4"/>
  <c r="H83" i="4"/>
  <c r="A83" i="4"/>
  <c r="H82" i="4"/>
  <c r="A82" i="4"/>
  <c r="H81" i="4"/>
  <c r="A81" i="4"/>
  <c r="H80" i="4"/>
  <c r="A80" i="4"/>
  <c r="H79" i="4"/>
  <c r="A79" i="4"/>
  <c r="H78" i="4"/>
  <c r="A78" i="4"/>
  <c r="H77" i="4"/>
  <c r="A77" i="4"/>
  <c r="H76" i="4"/>
  <c r="A76" i="4"/>
  <c r="H75" i="4"/>
  <c r="A75" i="4"/>
  <c r="H74" i="4"/>
  <c r="A74" i="4"/>
  <c r="H73" i="4"/>
  <c r="A73" i="4"/>
  <c r="H72" i="4"/>
  <c r="A72" i="4"/>
  <c r="H71" i="4"/>
  <c r="A71" i="4"/>
  <c r="H70" i="4"/>
  <c r="A70" i="4"/>
  <c r="H69" i="4"/>
  <c r="A69" i="4"/>
  <c r="H68" i="4"/>
  <c r="A68" i="4"/>
  <c r="H67" i="4"/>
  <c r="A67" i="4"/>
  <c r="H66" i="4"/>
  <c r="A66" i="4"/>
  <c r="H65" i="4"/>
  <c r="A65" i="4"/>
  <c r="H64" i="4"/>
  <c r="A64" i="4"/>
  <c r="H63" i="4"/>
  <c r="A63" i="4"/>
  <c r="H62" i="4"/>
  <c r="A62" i="4"/>
  <c r="H61" i="4"/>
  <c r="A61" i="4"/>
  <c r="H60" i="4"/>
  <c r="A60" i="4"/>
  <c r="H59" i="4"/>
  <c r="A59" i="4"/>
  <c r="H58" i="4"/>
  <c r="A58" i="4"/>
  <c r="H57" i="4"/>
  <c r="A57" i="4"/>
  <c r="H56" i="4"/>
  <c r="A56" i="4"/>
  <c r="H55" i="4"/>
  <c r="A55" i="4"/>
  <c r="H54" i="4"/>
  <c r="A54" i="4"/>
  <c r="H53" i="4"/>
  <c r="A53" i="4"/>
  <c r="H52" i="4"/>
  <c r="A52" i="4"/>
  <c r="H51" i="4"/>
  <c r="A51" i="4"/>
  <c r="H50" i="4"/>
  <c r="A50" i="4"/>
  <c r="H49" i="4"/>
  <c r="A49" i="4"/>
  <c r="H48" i="4"/>
  <c r="A48" i="4"/>
  <c r="H47" i="4"/>
  <c r="A47" i="4"/>
  <c r="H46" i="4"/>
  <c r="A46" i="4"/>
  <c r="H45" i="4"/>
  <c r="A45" i="4"/>
  <c r="H44" i="4"/>
  <c r="A44" i="4"/>
  <c r="H43" i="4"/>
  <c r="A43" i="4"/>
  <c r="H42" i="4"/>
  <c r="A42" i="4"/>
  <c r="H41" i="4"/>
  <c r="A41" i="4"/>
  <c r="H40" i="4"/>
  <c r="A40" i="4"/>
  <c r="H39" i="4"/>
  <c r="A39" i="4"/>
  <c r="H38" i="4"/>
  <c r="A38" i="4"/>
  <c r="H37" i="4"/>
  <c r="A37" i="4"/>
  <c r="H36" i="4"/>
  <c r="A36" i="4"/>
  <c r="H35" i="4"/>
  <c r="A35" i="4"/>
  <c r="H34" i="4"/>
  <c r="A34" i="4"/>
  <c r="H33" i="4"/>
  <c r="A33" i="4"/>
  <c r="H32" i="4"/>
  <c r="A32" i="4"/>
  <c r="H31" i="4"/>
  <c r="A31" i="4"/>
  <c r="H30" i="4"/>
  <c r="A30" i="4"/>
  <c r="H29" i="4"/>
  <c r="A29" i="4"/>
  <c r="H28" i="4"/>
  <c r="A28" i="4"/>
  <c r="H27" i="4"/>
  <c r="A27" i="4"/>
  <c r="H26" i="4"/>
  <c r="A26" i="4"/>
  <c r="H25" i="4"/>
  <c r="A25" i="4"/>
  <c r="H24" i="4"/>
  <c r="A24" i="4"/>
  <c r="H23" i="4"/>
  <c r="A23" i="4"/>
  <c r="H22" i="4"/>
  <c r="A22" i="4"/>
  <c r="C17" i="4"/>
  <c r="C14" i="4"/>
  <c r="C13" i="4"/>
  <c r="Q4" i="1"/>
  <c r="Q5" i="1"/>
  <c r="Q6" i="1"/>
  <c r="Q8" i="1"/>
  <c r="D17" i="1"/>
  <c r="E49" i="2"/>
  <c r="F12" i="3"/>
  <c r="C17" i="3"/>
  <c r="F17" i="3"/>
  <c r="F72" i="3"/>
  <c r="F15" i="3"/>
  <c r="C16" i="3"/>
  <c r="F16" i="3"/>
  <c r="C18" i="3"/>
  <c r="F18" i="3"/>
  <c r="F36" i="3"/>
  <c r="F49" i="3"/>
  <c r="C26" i="3"/>
  <c r="F26" i="3"/>
  <c r="F28" i="3"/>
  <c r="F29" i="3"/>
  <c r="F43" i="3"/>
  <c r="F45" i="3"/>
  <c r="F46" i="3"/>
  <c r="F53" i="3"/>
  <c r="F71" i="3"/>
  <c r="F73" i="3"/>
  <c r="F96" i="3"/>
  <c r="D21" i="1"/>
  <c r="D22" i="1"/>
  <c r="D23" i="1"/>
  <c r="D24" i="1"/>
  <c r="D25" i="1"/>
  <c r="D26" i="1"/>
  <c r="D27" i="1"/>
  <c r="D28" i="1"/>
  <c r="D29" i="1"/>
  <c r="D30" i="1"/>
  <c r="D31" i="1"/>
  <c r="D32" i="1"/>
  <c r="D33" i="1"/>
  <c r="D34" i="1"/>
  <c r="D35" i="1"/>
  <c r="F13" i="2"/>
  <c r="F17" i="2"/>
  <c r="F19" i="2"/>
  <c r="F18" i="2"/>
  <c r="F20" i="2"/>
  <c r="F23" i="2"/>
  <c r="F26" i="2"/>
  <c r="F27" i="2"/>
  <c r="F17" i="1"/>
  <c r="J16" i="1"/>
  <c r="F28" i="2"/>
  <c r="F30" i="2"/>
  <c r="F33" i="2"/>
  <c r="F41" i="2"/>
  <c r="F40" i="2"/>
  <c r="F43" i="2"/>
  <c r="D44" i="2"/>
  <c r="F44" i="2"/>
  <c r="F45" i="2"/>
  <c r="F46" i="2" a="1"/>
  <c r="F46" i="2"/>
  <c r="F47" i="2"/>
  <c r="R24" i="1"/>
  <c r="F48" i="2"/>
  <c r="F49" i="2"/>
  <c r="G12" i="3"/>
  <c r="G17" i="3"/>
  <c r="G72" i="3"/>
  <c r="F20" i="3"/>
  <c r="G15" i="3"/>
  <c r="G16" i="3"/>
  <c r="G18" i="3"/>
  <c r="G36" i="3"/>
  <c r="F34" i="3"/>
  <c r="F51" i="3"/>
  <c r="F35" i="3"/>
  <c r="F52" i="3"/>
  <c r="F54" i="3"/>
  <c r="G49" i="3"/>
  <c r="F56" i="3"/>
  <c r="G26" i="3"/>
  <c r="G28" i="3"/>
  <c r="G29" i="3"/>
  <c r="G43" i="3"/>
  <c r="G45" i="3"/>
  <c r="G46" i="3"/>
  <c r="G53" i="3"/>
  <c r="G71" i="3"/>
  <c r="G73" i="3"/>
  <c r="G95" i="3"/>
  <c r="G17" i="2"/>
  <c r="G18" i="2"/>
  <c r="G23" i="2"/>
  <c r="G26" i="2"/>
  <c r="G27" i="2"/>
  <c r="G28" i="2"/>
  <c r="G30" i="2"/>
  <c r="G33" i="2"/>
  <c r="G41" i="2"/>
  <c r="G40" i="2"/>
  <c r="G43" i="2"/>
  <c r="G44" i="2"/>
  <c r="G45" i="2"/>
  <c r="G46" i="2" a="1"/>
  <c r="G46" i="2"/>
  <c r="G47" i="2"/>
  <c r="G48" i="2"/>
  <c r="G49" i="2"/>
  <c r="H12" i="3"/>
  <c r="H17" i="3"/>
  <c r="H72" i="3"/>
  <c r="G20" i="3"/>
  <c r="H15" i="3"/>
  <c r="G19" i="3"/>
  <c r="H16" i="3"/>
  <c r="H18" i="3"/>
  <c r="H36" i="3"/>
  <c r="G34" i="3"/>
  <c r="G51" i="3"/>
  <c r="G35" i="3"/>
  <c r="G52" i="3"/>
  <c r="G54" i="3"/>
  <c r="H49" i="3"/>
  <c r="G56" i="3"/>
  <c r="H26" i="3"/>
  <c r="H28" i="3"/>
  <c r="H29" i="3"/>
  <c r="H43" i="3"/>
  <c r="H45" i="3"/>
  <c r="H46" i="3"/>
  <c r="H53" i="3"/>
  <c r="H71" i="3"/>
  <c r="H73" i="3"/>
  <c r="H95" i="3"/>
  <c r="H26" i="2"/>
  <c r="H27" i="2"/>
  <c r="H28" i="2"/>
  <c r="H30" i="2"/>
  <c r="H33" i="2"/>
  <c r="H43" i="2"/>
  <c r="H44" i="2"/>
  <c r="H45" i="2"/>
  <c r="H46" i="2" a="1"/>
  <c r="H46" i="2"/>
  <c r="H47" i="2"/>
  <c r="H48" i="2"/>
  <c r="H49" i="2"/>
  <c r="I12" i="3"/>
  <c r="I17" i="3"/>
  <c r="I72" i="3"/>
  <c r="H20" i="3"/>
  <c r="I15" i="3"/>
  <c r="H19" i="3"/>
  <c r="I16" i="3"/>
  <c r="I18" i="3"/>
  <c r="I36" i="3"/>
  <c r="H34" i="3"/>
  <c r="H51" i="3"/>
  <c r="H35" i="3"/>
  <c r="H52" i="3"/>
  <c r="H54" i="3"/>
  <c r="I49" i="3"/>
  <c r="H56" i="3"/>
  <c r="I26" i="3"/>
  <c r="I28" i="3"/>
  <c r="I29" i="3"/>
  <c r="I43" i="3"/>
  <c r="I45" i="3"/>
  <c r="I46" i="3"/>
  <c r="I53" i="3"/>
  <c r="I71" i="3"/>
  <c r="I73" i="3"/>
  <c r="I95" i="3"/>
  <c r="I13" i="2"/>
  <c r="I17" i="2"/>
  <c r="I18" i="2"/>
  <c r="I20" i="2"/>
  <c r="I21" i="2"/>
  <c r="I23" i="2"/>
  <c r="I26" i="2"/>
  <c r="I27" i="2"/>
  <c r="I28" i="2"/>
  <c r="I30" i="2"/>
  <c r="I33" i="2"/>
  <c r="I41" i="2"/>
  <c r="I40" i="2"/>
  <c r="I43" i="2"/>
  <c r="I44" i="2"/>
  <c r="I45" i="2"/>
  <c r="I46" i="2" a="1"/>
  <c r="I46" i="2"/>
  <c r="I47" i="2"/>
  <c r="I48" i="2"/>
  <c r="I49" i="2"/>
  <c r="J12" i="3"/>
  <c r="J17" i="3"/>
  <c r="J72" i="3"/>
  <c r="I20" i="3"/>
  <c r="J15" i="3"/>
  <c r="I19" i="3"/>
  <c r="J16" i="3"/>
  <c r="J18" i="3"/>
  <c r="J36" i="3"/>
  <c r="I34" i="3"/>
  <c r="I51" i="3"/>
  <c r="I35" i="3"/>
  <c r="I52" i="3"/>
  <c r="I54" i="3"/>
  <c r="J49" i="3"/>
  <c r="I56" i="3"/>
  <c r="J26" i="3"/>
  <c r="J28" i="3"/>
  <c r="J29" i="3"/>
  <c r="J43" i="3"/>
  <c r="J45" i="3"/>
  <c r="J46" i="3"/>
  <c r="J53" i="3"/>
  <c r="J71" i="3"/>
  <c r="J73" i="3"/>
  <c r="J95" i="3"/>
  <c r="J9" i="2"/>
  <c r="J13" i="2"/>
  <c r="J17" i="2"/>
  <c r="J18" i="2"/>
  <c r="J20" i="2"/>
  <c r="J21" i="2"/>
  <c r="J23" i="2"/>
  <c r="J26" i="2"/>
  <c r="J27" i="2"/>
  <c r="J28" i="2"/>
  <c r="J30" i="2"/>
  <c r="J33" i="2"/>
  <c r="J41" i="2"/>
  <c r="J40" i="2"/>
  <c r="J43" i="2"/>
  <c r="J44" i="2"/>
  <c r="J45" i="2"/>
  <c r="J46" i="2" a="1"/>
  <c r="J46" i="2"/>
  <c r="J47" i="2"/>
  <c r="J48" i="2"/>
  <c r="J49" i="2"/>
  <c r="K12" i="3"/>
  <c r="K17" i="3"/>
  <c r="K72" i="3"/>
  <c r="J20" i="3"/>
  <c r="K15" i="3"/>
  <c r="J19" i="3"/>
  <c r="K16" i="3"/>
  <c r="K18" i="3"/>
  <c r="K36" i="3"/>
  <c r="J34" i="3"/>
  <c r="J51" i="3"/>
  <c r="J35" i="3"/>
  <c r="J52" i="3"/>
  <c r="J54" i="3"/>
  <c r="K49" i="3"/>
  <c r="J56" i="3"/>
  <c r="K26" i="3"/>
  <c r="K28" i="3"/>
  <c r="K29" i="3"/>
  <c r="K43" i="3"/>
  <c r="K45" i="3"/>
  <c r="K46" i="3"/>
  <c r="K53" i="3"/>
  <c r="K71" i="3"/>
  <c r="K73" i="3"/>
  <c r="K95" i="3"/>
  <c r="K9" i="2"/>
  <c r="K13" i="2"/>
  <c r="K17" i="2"/>
  <c r="K18" i="2"/>
  <c r="K20" i="2"/>
  <c r="K21" i="2"/>
  <c r="K23" i="2"/>
  <c r="K26" i="2"/>
  <c r="K27" i="2"/>
  <c r="K28" i="2"/>
  <c r="K30" i="2"/>
  <c r="K33" i="2"/>
  <c r="K41" i="2"/>
  <c r="K40" i="2"/>
  <c r="K43" i="2"/>
  <c r="K44" i="2"/>
  <c r="K45" i="2"/>
  <c r="K46" i="2" a="1"/>
  <c r="K46" i="2"/>
  <c r="K47" i="2"/>
  <c r="K48" i="2"/>
  <c r="K49" i="2"/>
  <c r="L12" i="3"/>
  <c r="L17" i="3"/>
  <c r="L72" i="3"/>
  <c r="K20" i="3"/>
  <c r="L15" i="3"/>
  <c r="K19" i="3"/>
  <c r="L16" i="3"/>
  <c r="L18" i="3"/>
  <c r="L36" i="3"/>
  <c r="K34" i="3"/>
  <c r="K51" i="3"/>
  <c r="K35" i="3"/>
  <c r="K52" i="3"/>
  <c r="K54" i="3"/>
  <c r="L49" i="3"/>
  <c r="K56" i="3"/>
  <c r="L26" i="3"/>
  <c r="L28" i="3"/>
  <c r="L29" i="3"/>
  <c r="L43" i="3"/>
  <c r="L45" i="3"/>
  <c r="L46" i="3"/>
  <c r="L53" i="3"/>
  <c r="L71" i="3"/>
  <c r="L73" i="3"/>
  <c r="L95" i="3"/>
  <c r="D98" i="3"/>
  <c r="M12" i="3"/>
  <c r="M17" i="3"/>
  <c r="M72" i="3"/>
  <c r="N12" i="3"/>
  <c r="N17" i="3"/>
  <c r="N72" i="3"/>
  <c r="O12" i="3"/>
  <c r="O17" i="3"/>
  <c r="O72" i="3"/>
  <c r="P12" i="3"/>
  <c r="P17" i="3"/>
  <c r="P72" i="3"/>
  <c r="C72" i="3"/>
  <c r="L74" i="3"/>
  <c r="L97" i="3"/>
  <c r="K74" i="3"/>
  <c r="K97" i="3"/>
  <c r="J74" i="3"/>
  <c r="J97" i="3"/>
  <c r="I74" i="3"/>
  <c r="I97" i="3"/>
  <c r="H74" i="3"/>
  <c r="H97" i="3"/>
  <c r="G74" i="3"/>
  <c r="G97" i="3"/>
  <c r="D97" i="3"/>
  <c r="L20" i="3"/>
  <c r="M15" i="3"/>
  <c r="M16" i="3"/>
  <c r="M18" i="3"/>
  <c r="F32" i="3"/>
  <c r="F37" i="3"/>
  <c r="G32" i="3"/>
  <c r="G37" i="3"/>
  <c r="H32" i="3"/>
  <c r="H37" i="3"/>
  <c r="I32" i="3"/>
  <c r="I37" i="3"/>
  <c r="J32" i="3"/>
  <c r="J37" i="3"/>
  <c r="K32" i="3"/>
  <c r="K37" i="3"/>
  <c r="L32" i="3"/>
  <c r="L34" i="3"/>
  <c r="L35" i="3"/>
  <c r="L37" i="3"/>
  <c r="M32" i="3"/>
  <c r="C33" i="3"/>
  <c r="M33" i="3"/>
  <c r="M34" i="3"/>
  <c r="M35" i="3"/>
  <c r="M26" i="3"/>
  <c r="M28" i="3"/>
  <c r="M29" i="3"/>
  <c r="C36" i="3"/>
  <c r="M36" i="3"/>
  <c r="L51" i="3"/>
  <c r="L52" i="3"/>
  <c r="L54" i="3"/>
  <c r="M49" i="3"/>
  <c r="C50" i="3"/>
  <c r="M50" i="3"/>
  <c r="M51" i="3"/>
  <c r="M52" i="3"/>
  <c r="C43" i="3"/>
  <c r="M43" i="3"/>
  <c r="M45" i="3"/>
  <c r="M46" i="3"/>
  <c r="C53" i="3"/>
  <c r="M53" i="3"/>
  <c r="M71" i="3"/>
  <c r="M73" i="3"/>
  <c r="M20" i="3"/>
  <c r="N15" i="3"/>
  <c r="N16" i="3"/>
  <c r="N18" i="3"/>
  <c r="M37" i="3"/>
  <c r="N32" i="3"/>
  <c r="N33" i="3"/>
  <c r="N34" i="3"/>
  <c r="N35" i="3"/>
  <c r="N26" i="3"/>
  <c r="N28" i="3"/>
  <c r="N29" i="3"/>
  <c r="N36" i="3"/>
  <c r="M54" i="3"/>
  <c r="N49" i="3"/>
  <c r="N50" i="3"/>
  <c r="N51" i="3"/>
  <c r="N52" i="3"/>
  <c r="N43" i="3"/>
  <c r="N45" i="3"/>
  <c r="N46" i="3"/>
  <c r="N53" i="3"/>
  <c r="N71" i="3"/>
  <c r="N73" i="3"/>
  <c r="N20" i="3"/>
  <c r="O15" i="3"/>
  <c r="O16" i="3"/>
  <c r="O18" i="3"/>
  <c r="N37" i="3"/>
  <c r="O32" i="3"/>
  <c r="O33" i="3"/>
  <c r="O34" i="3"/>
  <c r="O35" i="3"/>
  <c r="O26" i="3"/>
  <c r="O28" i="3"/>
  <c r="O29" i="3"/>
  <c r="O36" i="3"/>
  <c r="N54" i="3"/>
  <c r="O49" i="3"/>
  <c r="O50" i="3"/>
  <c r="O51" i="3"/>
  <c r="O52" i="3"/>
  <c r="O43" i="3"/>
  <c r="O45" i="3"/>
  <c r="O46" i="3"/>
  <c r="O53" i="3"/>
  <c r="O71" i="3"/>
  <c r="O73" i="3"/>
  <c r="O20" i="3"/>
  <c r="P15" i="3"/>
  <c r="P16" i="3"/>
  <c r="P18" i="3"/>
  <c r="O37" i="3"/>
  <c r="P32" i="3"/>
  <c r="P33" i="3"/>
  <c r="P34" i="3"/>
  <c r="P35" i="3"/>
  <c r="P26" i="3"/>
  <c r="P28" i="3"/>
  <c r="P29" i="3"/>
  <c r="P36" i="3"/>
  <c r="O54" i="3"/>
  <c r="P49" i="3"/>
  <c r="P50" i="3"/>
  <c r="P51" i="3"/>
  <c r="P52" i="3"/>
  <c r="P43" i="3"/>
  <c r="P45" i="3"/>
  <c r="P46" i="3"/>
  <c r="P53" i="3"/>
  <c r="P71" i="3"/>
  <c r="P73" i="3"/>
  <c r="D73" i="3"/>
  <c r="D96" i="3"/>
  <c r="F91" i="3"/>
  <c r="G90" i="3"/>
  <c r="H90" i="3"/>
  <c r="I90" i="3"/>
  <c r="J90" i="3"/>
  <c r="K90" i="3"/>
  <c r="L90" i="3"/>
  <c r="D93" i="3"/>
  <c r="L92" i="3"/>
  <c r="K92" i="3"/>
  <c r="J92" i="3"/>
  <c r="I92" i="3"/>
  <c r="H92" i="3"/>
  <c r="G92" i="3"/>
  <c r="D92" i="3"/>
  <c r="D91" i="3"/>
  <c r="C82" i="3"/>
  <c r="P84" i="3"/>
  <c r="P83" i="3"/>
  <c r="P85" i="3"/>
  <c r="O84" i="3"/>
  <c r="O83" i="3"/>
  <c r="O85" i="3"/>
  <c r="N84" i="3"/>
  <c r="N83" i="3"/>
  <c r="N85" i="3"/>
  <c r="M84" i="3"/>
  <c r="M83" i="3"/>
  <c r="M85" i="3"/>
  <c r="L84" i="3"/>
  <c r="L83" i="3"/>
  <c r="L85" i="3"/>
  <c r="K84" i="3"/>
  <c r="K83" i="3"/>
  <c r="K85" i="3"/>
  <c r="J84" i="3"/>
  <c r="J83" i="3"/>
  <c r="J85" i="3"/>
  <c r="I84" i="3"/>
  <c r="I83" i="3"/>
  <c r="I85" i="3"/>
  <c r="H84" i="3"/>
  <c r="H83" i="3"/>
  <c r="H85" i="3"/>
  <c r="G84" i="3"/>
  <c r="G83" i="3"/>
  <c r="G85" i="3"/>
  <c r="F84" i="3"/>
  <c r="F83" i="3"/>
  <c r="F85" i="3"/>
  <c r="C84" i="3"/>
  <c r="C83" i="3"/>
  <c r="E85" i="3"/>
  <c r="D85" i="3"/>
  <c r="C85" i="3"/>
  <c r="C60" i="3"/>
  <c r="P60" i="3"/>
  <c r="P66" i="3"/>
  <c r="C25" i="3"/>
  <c r="F25" i="3"/>
  <c r="F67" i="3"/>
  <c r="G25" i="3"/>
  <c r="G67" i="3"/>
  <c r="H25" i="3"/>
  <c r="H67" i="3"/>
  <c r="I25" i="3"/>
  <c r="I67" i="3"/>
  <c r="J25" i="3"/>
  <c r="J67" i="3"/>
  <c r="K25" i="3"/>
  <c r="K67" i="3"/>
  <c r="L25" i="3"/>
  <c r="L67" i="3"/>
  <c r="M25" i="3"/>
  <c r="M67" i="3"/>
  <c r="N25" i="3"/>
  <c r="N67" i="3"/>
  <c r="O25" i="3"/>
  <c r="O67" i="3"/>
  <c r="P25" i="3"/>
  <c r="P67" i="3"/>
  <c r="C67" i="3"/>
  <c r="C76" i="3"/>
  <c r="P78" i="3"/>
  <c r="P77" i="3"/>
  <c r="P79" i="3"/>
  <c r="O60" i="3"/>
  <c r="O66" i="3"/>
  <c r="O78" i="3"/>
  <c r="O77" i="3"/>
  <c r="O79" i="3"/>
  <c r="N60" i="3"/>
  <c r="N66" i="3"/>
  <c r="N78" i="3"/>
  <c r="N77" i="3"/>
  <c r="N79" i="3"/>
  <c r="M60" i="3"/>
  <c r="M66" i="3"/>
  <c r="M78" i="3"/>
  <c r="M77" i="3"/>
  <c r="M79" i="3"/>
  <c r="L60" i="3"/>
  <c r="L66" i="3"/>
  <c r="L78" i="3"/>
  <c r="L77" i="3"/>
  <c r="L79" i="3"/>
  <c r="K60" i="3"/>
  <c r="K66" i="3"/>
  <c r="K78" i="3"/>
  <c r="K77" i="3"/>
  <c r="K79" i="3"/>
  <c r="J60" i="3"/>
  <c r="J66" i="3"/>
  <c r="J78" i="3"/>
  <c r="J77" i="3"/>
  <c r="J79" i="3"/>
  <c r="I60" i="3"/>
  <c r="I66" i="3"/>
  <c r="I78" i="3"/>
  <c r="I77" i="3"/>
  <c r="I79" i="3"/>
  <c r="H60" i="3"/>
  <c r="H66" i="3"/>
  <c r="H78" i="3"/>
  <c r="H77" i="3"/>
  <c r="H79" i="3"/>
  <c r="G60" i="3"/>
  <c r="R50" i="1"/>
  <c r="G66" i="3"/>
  <c r="G78" i="3"/>
  <c r="G77" i="3"/>
  <c r="G79" i="3"/>
  <c r="F60" i="3"/>
  <c r="F66" i="3"/>
  <c r="F78" i="3"/>
  <c r="F77" i="3"/>
  <c r="F79" i="3"/>
  <c r="C78" i="3"/>
  <c r="C77" i="3"/>
  <c r="E79" i="3"/>
  <c r="D79" i="3"/>
  <c r="C79" i="3"/>
  <c r="P74" i="3"/>
  <c r="O74" i="3"/>
  <c r="N74" i="3"/>
  <c r="M74" i="3"/>
  <c r="C71" i="3"/>
  <c r="E73" i="3"/>
  <c r="C73" i="3"/>
  <c r="Q71" i="3"/>
  <c r="P68" i="3"/>
  <c r="P69" i="3"/>
  <c r="O68" i="3"/>
  <c r="O69" i="3"/>
  <c r="N68" i="3"/>
  <c r="N69" i="3"/>
  <c r="M68" i="3"/>
  <c r="M69" i="3"/>
  <c r="L68" i="3"/>
  <c r="L69" i="3"/>
  <c r="K68" i="3"/>
  <c r="K69" i="3"/>
  <c r="J68" i="3"/>
  <c r="J69" i="3"/>
  <c r="I68" i="3"/>
  <c r="I69" i="3"/>
  <c r="H68" i="3"/>
  <c r="H69" i="3"/>
  <c r="G68" i="3"/>
  <c r="G69" i="3"/>
  <c r="F68" i="3"/>
  <c r="C66" i="3"/>
  <c r="E68" i="3"/>
  <c r="D68" i="3"/>
  <c r="C68" i="3"/>
  <c r="P62" i="3"/>
  <c r="P63" i="3"/>
  <c r="O62" i="3"/>
  <c r="O63" i="3"/>
  <c r="N62" i="3"/>
  <c r="N63" i="3"/>
  <c r="M62" i="3"/>
  <c r="M63" i="3"/>
  <c r="L62" i="3"/>
  <c r="L63" i="3"/>
  <c r="K62" i="3"/>
  <c r="K63" i="3"/>
  <c r="J62" i="3"/>
  <c r="J63" i="3"/>
  <c r="I62" i="3"/>
  <c r="I63" i="3"/>
  <c r="H62" i="3"/>
  <c r="H63" i="3"/>
  <c r="G62" i="3"/>
  <c r="G63" i="3"/>
  <c r="F62" i="3"/>
  <c r="F63" i="3"/>
  <c r="P42" i="3"/>
  <c r="P59" i="3"/>
  <c r="O42" i="3"/>
  <c r="O59" i="3"/>
  <c r="N42" i="3"/>
  <c r="N59" i="3"/>
  <c r="M42" i="3"/>
  <c r="M59" i="3"/>
  <c r="L42" i="3"/>
  <c r="L59" i="3"/>
  <c r="K42" i="3"/>
  <c r="K59" i="3"/>
  <c r="J42" i="3"/>
  <c r="J59" i="3"/>
  <c r="I42" i="3"/>
  <c r="I59" i="3"/>
  <c r="H42" i="3"/>
  <c r="H59" i="3"/>
  <c r="G42" i="3"/>
  <c r="G59" i="3"/>
  <c r="F42" i="3"/>
  <c r="F59" i="3"/>
  <c r="C59" i="3"/>
  <c r="L56" i="3"/>
  <c r="C57" i="3"/>
  <c r="P56" i="3"/>
  <c r="O56" i="3"/>
  <c r="N56" i="3"/>
  <c r="M56" i="3"/>
  <c r="P55" i="3"/>
  <c r="O55" i="3"/>
  <c r="N55" i="3"/>
  <c r="M55" i="3"/>
  <c r="L55" i="3"/>
  <c r="K55" i="3"/>
  <c r="J55" i="3"/>
  <c r="I55" i="3"/>
  <c r="H55" i="3"/>
  <c r="G55" i="3"/>
  <c r="F55" i="3"/>
  <c r="P54" i="3"/>
  <c r="C51" i="3"/>
  <c r="L50" i="3"/>
  <c r="K50" i="3"/>
  <c r="J50" i="3"/>
  <c r="I50" i="3"/>
  <c r="H50" i="3"/>
  <c r="G50" i="3"/>
  <c r="F50" i="3"/>
  <c r="C42" i="3"/>
  <c r="F39" i="3"/>
  <c r="G39" i="3"/>
  <c r="H39" i="3"/>
  <c r="I39" i="3"/>
  <c r="J39" i="3"/>
  <c r="K39" i="3"/>
  <c r="L39" i="3"/>
  <c r="C38" i="3"/>
  <c r="C40" i="3"/>
  <c r="P39" i="3"/>
  <c r="O39" i="3"/>
  <c r="N39" i="3"/>
  <c r="M39" i="3"/>
  <c r="P38" i="3"/>
  <c r="O38" i="3"/>
  <c r="N38" i="3"/>
  <c r="M38" i="3"/>
  <c r="L38" i="3"/>
  <c r="K38" i="3"/>
  <c r="J38" i="3"/>
  <c r="I38" i="3"/>
  <c r="H38" i="3"/>
  <c r="G38" i="3"/>
  <c r="F38" i="3"/>
  <c r="P37" i="3"/>
  <c r="C34" i="3"/>
  <c r="L33" i="3"/>
  <c r="K33" i="3"/>
  <c r="J33" i="3"/>
  <c r="I33" i="3"/>
  <c r="H33" i="3"/>
  <c r="G33" i="3"/>
  <c r="F33" i="3"/>
  <c r="F22" i="3"/>
  <c r="G22" i="3"/>
  <c r="H22" i="3"/>
  <c r="I22" i="3"/>
  <c r="J22" i="3"/>
  <c r="K22" i="3"/>
  <c r="L22" i="3"/>
  <c r="C21" i="3"/>
  <c r="C23" i="3"/>
  <c r="P22" i="3"/>
  <c r="O22" i="3"/>
  <c r="N22" i="3"/>
  <c r="M22" i="3"/>
  <c r="P21" i="3"/>
  <c r="O21" i="3"/>
  <c r="N21" i="3"/>
  <c r="M21" i="3"/>
  <c r="L21" i="3"/>
  <c r="K21" i="3"/>
  <c r="J21" i="3"/>
  <c r="I21" i="3"/>
  <c r="H21" i="3"/>
  <c r="G21" i="3"/>
  <c r="F21" i="3"/>
  <c r="P20" i="3"/>
  <c r="L19" i="3"/>
  <c r="F19" i="3"/>
  <c r="E12" i="3"/>
  <c r="D6" i="3"/>
  <c r="F10" i="2"/>
  <c r="G5" i="3"/>
  <c r="H5" i="3"/>
  <c r="I5" i="3"/>
  <c r="J5" i="3"/>
  <c r="K5" i="3"/>
  <c r="L5" i="3"/>
  <c r="M5" i="3"/>
  <c r="N5" i="3"/>
  <c r="O5" i="3"/>
  <c r="P5" i="3"/>
  <c r="F5" i="3"/>
  <c r="D5" i="3"/>
  <c r="G4" i="3"/>
  <c r="H4" i="3"/>
  <c r="I4" i="3"/>
  <c r="J4" i="3"/>
  <c r="K4" i="3"/>
  <c r="L4" i="3"/>
  <c r="M4" i="3"/>
  <c r="N4" i="3"/>
  <c r="O4" i="3"/>
  <c r="P4" i="3"/>
  <c r="D2" i="3"/>
  <c r="Q43" i="2"/>
  <c r="E54" i="2"/>
  <c r="Q44" i="2"/>
  <c r="E55" i="2"/>
  <c r="E17" i="2"/>
  <c r="E19" i="2"/>
  <c r="E18" i="2"/>
  <c r="E23" i="2"/>
  <c r="E30" i="2"/>
  <c r="Q30" i="2"/>
  <c r="E56" i="2"/>
  <c r="E33" i="2"/>
  <c r="E34" i="2"/>
  <c r="E35" i="2"/>
  <c r="E36" i="2"/>
  <c r="E37" i="2"/>
  <c r="F34" i="2"/>
  <c r="F35" i="2"/>
  <c r="F36" i="2"/>
  <c r="F37" i="2"/>
  <c r="G34" i="2"/>
  <c r="G35" i="2"/>
  <c r="G36" i="2"/>
  <c r="G37" i="2"/>
  <c r="H34" i="2"/>
  <c r="H35" i="2"/>
  <c r="H36" i="2"/>
  <c r="H37" i="2"/>
  <c r="I34" i="2"/>
  <c r="I35" i="2"/>
  <c r="I36" i="2"/>
  <c r="I37" i="2"/>
  <c r="J34" i="2"/>
  <c r="J35" i="2"/>
  <c r="J36" i="2"/>
  <c r="J37" i="2"/>
  <c r="K34" i="2"/>
  <c r="K35" i="2"/>
  <c r="K36" i="2"/>
  <c r="K37" i="2"/>
  <c r="Q37" i="2"/>
  <c r="E57" i="2"/>
  <c r="E58" i="2"/>
  <c r="R42" i="1"/>
  <c r="E59" i="2"/>
  <c r="E60" i="2"/>
  <c r="E70" i="2"/>
  <c r="E63" i="2"/>
  <c r="E68" i="2"/>
  <c r="F68" i="2"/>
  <c r="G68" i="2"/>
  <c r="F69" i="2"/>
  <c r="G69" i="2"/>
  <c r="E64" i="2"/>
  <c r="H69" i="2"/>
  <c r="I69" i="2"/>
  <c r="H68" i="2"/>
  <c r="I68" i="2"/>
  <c r="F65" i="2"/>
  <c r="E65" i="2"/>
  <c r="D65" i="2"/>
  <c r="E61" i="2"/>
  <c r="B57" i="2"/>
  <c r="E53" i="2"/>
  <c r="E52" i="2"/>
  <c r="Q49" i="2"/>
  <c r="Q48" i="2"/>
  <c r="Q47" i="2"/>
  <c r="Q45" i="2"/>
  <c r="E41" i="2"/>
  <c r="R40" i="2"/>
  <c r="Q40" i="2"/>
  <c r="E40" i="2"/>
  <c r="F39" i="2"/>
  <c r="G39" i="2"/>
  <c r="H39" i="2"/>
  <c r="I39" i="2"/>
  <c r="J39" i="2"/>
  <c r="K39" i="2"/>
  <c r="R39" i="2"/>
  <c r="Q39" i="2"/>
  <c r="Q36" i="2"/>
  <c r="Q34" i="2"/>
  <c r="Q33" i="2"/>
  <c r="R30" i="2"/>
  <c r="J17" i="1"/>
  <c r="F29" i="2"/>
  <c r="G29" i="2"/>
  <c r="H29" i="2"/>
  <c r="I29" i="2"/>
  <c r="J29" i="2"/>
  <c r="K29" i="2"/>
  <c r="Q29" i="2"/>
  <c r="R28" i="2"/>
  <c r="Q28" i="2"/>
  <c r="R27" i="2"/>
  <c r="Q27" i="2"/>
  <c r="R26" i="2"/>
  <c r="Q26" i="2"/>
  <c r="R23" i="2"/>
  <c r="Q23" i="2"/>
  <c r="R21" i="2"/>
  <c r="Q21" i="2"/>
  <c r="R20" i="2"/>
  <c r="Q20" i="2"/>
  <c r="R18" i="2"/>
  <c r="Q18" i="2"/>
  <c r="R17" i="2"/>
  <c r="Q17" i="2"/>
  <c r="E35" i="1"/>
  <c r="D6" i="2"/>
  <c r="E15" i="2"/>
  <c r="F15" i="2"/>
  <c r="G15" i="2"/>
  <c r="H15" i="2"/>
  <c r="I15" i="2"/>
  <c r="J15" i="2"/>
  <c r="K15" i="2"/>
  <c r="R15" i="2"/>
  <c r="R13" i="2"/>
  <c r="Q13" i="2"/>
  <c r="G10" i="2"/>
  <c r="H10" i="2"/>
  <c r="I10" i="2"/>
  <c r="J10" i="2"/>
  <c r="K10" i="2"/>
  <c r="L10" i="2"/>
  <c r="M10" i="2"/>
  <c r="N10" i="2"/>
  <c r="O10" i="2"/>
  <c r="L9" i="2"/>
  <c r="M9" i="2"/>
  <c r="N9" i="2"/>
  <c r="O9" i="2"/>
  <c r="D5" i="2"/>
  <c r="B2" i="2"/>
  <c r="R51" i="1"/>
  <c r="R59" i="1"/>
  <c r="R52" i="1"/>
  <c r="R36" i="1"/>
  <c r="R53" i="1"/>
  <c r="R54" i="1"/>
  <c r="R58" i="1"/>
  <c r="G56" i="1"/>
  <c r="G55" i="1"/>
  <c r="L52" i="1"/>
  <c r="L53" i="1"/>
  <c r="L54" i="1"/>
  <c r="G54" i="1"/>
  <c r="G53" i="1"/>
  <c r="G52" i="1"/>
  <c r="D38" i="1"/>
  <c r="D39" i="1"/>
  <c r="D41" i="1"/>
  <c r="J30" i="1"/>
  <c r="J31" i="1"/>
  <c r="J32" i="1"/>
  <c r="D42" i="1"/>
  <c r="D43" i="1"/>
  <c r="D52" i="1"/>
  <c r="G51" i="1"/>
  <c r="G43" i="1"/>
  <c r="J15" i="1"/>
  <c r="L15" i="1"/>
  <c r="G44" i="1"/>
  <c r="G45" i="1"/>
  <c r="G46" i="1"/>
  <c r="G50" i="1"/>
  <c r="D44" i="1"/>
  <c r="D45" i="1"/>
  <c r="D46" i="1"/>
  <c r="D50" i="1"/>
  <c r="G47" i="1"/>
  <c r="D47" i="1"/>
  <c r="R41" i="1"/>
  <c r="R43" i="1"/>
  <c r="R45" i="1"/>
  <c r="N44" i="1"/>
  <c r="F44" i="1"/>
  <c r="C44" i="1"/>
  <c r="F42" i="1"/>
  <c r="C42" i="1"/>
  <c r="R39" i="1"/>
  <c r="L35" i="1"/>
  <c r="J35" i="1"/>
  <c r="L34" i="1"/>
  <c r="J34" i="1"/>
  <c r="L33" i="1"/>
  <c r="J33" i="1"/>
  <c r="R25" i="1"/>
  <c r="R26" i="1"/>
  <c r="R27" i="1"/>
  <c r="R29" i="1"/>
  <c r="K29" i="1"/>
  <c r="I29" i="1"/>
  <c r="R28" i="1"/>
  <c r="K28" i="1"/>
  <c r="I28" i="1"/>
  <c r="K27" i="1"/>
  <c r="I27" i="1"/>
  <c r="K26" i="1"/>
  <c r="I26" i="1"/>
  <c r="K25" i="1"/>
  <c r="I25" i="1"/>
  <c r="K24" i="1"/>
  <c r="I24" i="1"/>
  <c r="K23" i="1"/>
  <c r="I23" i="1"/>
  <c r="K22" i="1"/>
  <c r="I22" i="1"/>
  <c r="I21" i="1"/>
  <c r="R16" i="1"/>
  <c r="D14" i="1"/>
  <c r="D15" i="1"/>
  <c r="J13" i="1"/>
  <c r="L13" i="1"/>
  <c r="D11" i="1"/>
  <c r="D10" i="1"/>
  <c r="R8" i="1"/>
  <c r="D7" i="1"/>
  <c r="R6" i="1"/>
  <c r="R5" i="1"/>
  <c r="D5" i="1"/>
  <c r="R4" i="1"/>
</calcChain>
</file>

<file path=xl/comments1.xml><?xml version="1.0" encoding="utf-8"?>
<comments xmlns="http://schemas.openxmlformats.org/spreadsheetml/2006/main">
  <authors>
    <author/>
  </authors>
  <commentList>
    <comment ref="A2" authorId="0">
      <text>
        <r>
          <rPr>
            <sz val="12"/>
            <color theme="1"/>
            <rFont val="Calibri"/>
            <family val="2"/>
            <scheme val="minor"/>
          </rPr>
          <t>======
ID#AAAB-rPpALI
    (2026-06-30 04:11:16)
Property: Milligan View Apartments | Analyzed: 2026-06-27</t>
        </r>
      </text>
    </comment>
    <comment ref="B4" authorId="0">
      <text>
        <r>
          <rPr>
            <sz val="12"/>
            <color theme="1"/>
            <rFont val="Calibri"/>
            <family val="2"/>
            <scheme val="minor"/>
          </rPr>
          <t>======
ID#AAAB-rPpAPE
    (2026-06-30 04:11:16)
Asking price — from OM PDF. Adjust D4 to test different offer prices.</t>
        </r>
      </text>
    </comment>
    <comment ref="D4" authorId="0">
      <text>
        <r>
          <rPr>
            <sz val="12"/>
            <color theme="1"/>
            <rFont val="Calibri"/>
            <family val="2"/>
            <scheme val="minor"/>
          </rPr>
          <t>======
ID#AAAB-rPpAO0
    (2026-06-30 04:11:16)
Offer price — change this cell to model different offer scenarios.</t>
        </r>
      </text>
    </comment>
    <comment ref="E4" authorId="0">
      <text>
        <r>
          <rPr>
            <sz val="12"/>
            <color theme="1"/>
            <rFont val="Calibri"/>
            <family val="2"/>
            <scheme val="minor"/>
          </rPr>
          <t>======
ID#AAAB-rPpALk
    (2026-06-30 04:11:16)
[Threaded comment]
 Your version of Excel allows you to read this threaded comment; however, any edits to it will get removed if the file is opened in a newer version of Excel. Learn more: https://go.microsoft.com/fwlink/?linkid=870924
Comment:
	Change Photo by right clicking and selecting Change Image</t>
        </r>
      </text>
    </comment>
    <comment ref="H4" authorId="0">
      <text>
        <r>
          <rPr>
            <sz val="12"/>
            <color theme="1"/>
            <rFont val="Calibri"/>
            <family val="2"/>
            <scheme val="minor"/>
          </rPr>
          <t>======
ID#AAAB-rPpAOQ
    (2026-06-30 04:11:16)
[Threaded comment]
 Your version of Excel allows you to read this threaded comment; however, any edits to it will get removed if the file is opened in a newer version of Excel. Learn more: https://go.microsoft.com/fwlink/?linkid=870924
Comment:
	Change Photo by right clicking and selecting Change Image</t>
        </r>
      </text>
    </comment>
    <comment ref="C5" authorId="0">
      <text>
        <r>
          <rPr>
            <sz val="12"/>
            <color theme="1"/>
            <rFont val="Calibri"/>
            <family val="2"/>
            <scheme val="minor"/>
          </rPr>
          <t>======
ID#AAAB-rPpAMU
    (2026-06-30 04:11:16)
Down payment 30% (LTV 70%). Adjust to test higher/lower leverage.</t>
        </r>
      </text>
    </comment>
    <comment ref="P5" authorId="0">
      <text>
        <r>
          <rPr>
            <sz val="12"/>
            <color theme="1"/>
            <rFont val="Calibri"/>
            <family val="2"/>
            <scheme val="minor"/>
          </rPr>
          <t>======
ID#AAAB-rPpAPA
    (2026-06-30 04:11:16)
[Threaded comment]
 Your version of Excel allows you to read this threaded comment; however, any edits to it will get removed if the file is opened in a newer version of Excel. Learn more: https://go.microsoft.com/fwlink/?linkid=870924
Comment:
	Loan to cover % of reno. Change # manually if needed.</t>
        </r>
      </text>
    </comment>
    <comment ref="D6" authorId="0">
      <text>
        <r>
          <rPr>
            <sz val="12"/>
            <color theme="1"/>
            <rFont val="Calibri"/>
            <family val="2"/>
            <scheme val="minor"/>
          </rPr>
          <t>======
ID#AAAB-rPpAM0
    (2026-06-30 04:11:16)
28 total units per OM. Rent roll shows 28 in unit mix.</t>
        </r>
      </text>
    </comment>
    <comment ref="O6" authorId="0">
      <text>
        <r>
          <rPr>
            <sz val="12"/>
            <color theme="1"/>
            <rFont val="Calibri"/>
            <family val="2"/>
            <scheme val="minor"/>
          </rPr>
          <t>======
ID#AAAB-rPpAMs
    (2026-06-30 04:11:16)
[Threaded comment]
 Your version of Excel allows you to read this threaded comment; however, any edits to it will get removed if the file is opened in a newer version of Excel. Learn more: https://go.microsoft.com/fwlink/?linkid=870924
Comment:
	Typically the lender will cover 25% closing costs for lender fees and points etc.</t>
        </r>
      </text>
    </comment>
    <comment ref="P6" authorId="0">
      <text>
        <r>
          <rPr>
            <sz val="12"/>
            <color theme="1"/>
            <rFont val="Calibri"/>
            <family val="2"/>
            <scheme val="minor"/>
          </rPr>
          <t>======
ID#AAAB-rPpAL8
    (2026-06-30 04:11:16)
[Threaded comment]
 Your version of Excel allows you to read this threaded comment; however, any edits to it will get removed if the file is opened in a newer version of Excel. Learn more: https://go.microsoft.com/fwlink/?linkid=870924
Comment:
	Loan can cover some closing costs. Change amount to the right.</t>
        </r>
      </text>
    </comment>
    <comment ref="P7" authorId="0">
      <text>
        <r>
          <rPr>
            <sz val="12"/>
            <color theme="1"/>
            <rFont val="Calibri"/>
            <family val="2"/>
            <scheme val="minor"/>
          </rPr>
          <t>======
ID#AAAB-rPpAPM
    (2026-06-30 04:11:16)
[Threaded comment]
 Your version of Excel allows you to read this threaded comment; however, any edits to it will get removed if the file is opened in a newer version of Excel. Learn more: https://go.microsoft.com/fwlink/?linkid=870924
Comment:
	This will automatically get paid off at a refinance just like the senior loan.</t>
        </r>
      </text>
    </comment>
    <comment ref="D8" authorId="0">
      <text>
        <r>
          <rPr>
            <sz val="12"/>
            <color theme="1"/>
            <rFont val="Calibri"/>
            <family val="2"/>
            <scheme val="minor"/>
          </rPr>
          <t>======
ID#AAAB-rPpAK4
    (2026-06-30 04:11:16)
Capex/repair budget — $50,000. Add estimate if value-add work required.</t>
        </r>
      </text>
    </comment>
    <comment ref="D9" authorId="0">
      <text>
        <r>
          <rPr>
            <sz val="12"/>
            <color theme="1"/>
            <rFont val="Calibri"/>
            <family val="2"/>
            <scheme val="minor"/>
          </rPr>
          <t>======
ID#AAAB-rPpALw
    (2026-06-30 04:11:16)
Set to 'no'. Change to 'yes' if renovation is included in the loan.</t>
        </r>
      </text>
    </comment>
    <comment ref="D10" authorId="0">
      <text>
        <r>
          <rPr>
            <sz val="12"/>
            <color theme="1"/>
            <rFont val="Calibri"/>
            <family val="2"/>
            <scheme val="minor"/>
          </rPr>
          <t>======
ID#AAAB-rPpAPI
    (2026-06-30 04:11:16)
[Threaded comment]
 Your version of Excel allows you to read this threaded comment; however, any edits to it will get removed if the file is opened in a newer version of Excel. Learn more: https://go.microsoft.com/fwlink/?linkid=870924
Comment:
	Current cap rate should not be more than .5 less than interest rate on loan.</t>
        </r>
      </text>
    </comment>
    <comment ref="D12" authorId="0">
      <text>
        <r>
          <rPr>
            <sz val="12"/>
            <color theme="1"/>
            <rFont val="Calibri"/>
            <family val="2"/>
            <scheme val="minor"/>
          </rPr>
          <t>======
ID#AAAB-rPpAN8
    (2026-06-30 04:11:16)
Built 1975. Older builds: higher capex reserve; check mechanical systems.</t>
        </r>
      </text>
    </comment>
    <comment ref="H12" authorId="0">
      <text>
        <r>
          <rPr>
            <sz val="12"/>
            <color theme="1"/>
            <rFont val="Calibri"/>
            <family val="2"/>
            <scheme val="minor"/>
          </rPr>
          <t>======
ID#AAAB-rPpANg
    (2026-06-30 04:11:16)
2-year interest-only period. P+I begins year 3.</t>
        </r>
      </text>
    </comment>
    <comment ref="F13" authorId="0">
      <text>
        <r>
          <rPr>
            <sz val="12"/>
            <color theme="1"/>
            <rFont val="Calibri"/>
            <family val="2"/>
            <scheme val="minor"/>
          </rPr>
          <t>======
ID#AAAB-rPpAMk
    (2026-06-30 04:11:16)
[Threaded comment]
 Your version of Excel allows you to read this threaded comment; however, any edits to it will get removed if the file is opened in a newer version of Excel. Learn more: https://go.microsoft.com/fwlink/?linkid=870924
Comment:
	Sometimes lender will include reno into a separate loan. When this happens, you will need to update this formula to add in the repair budget. So (D4+D8)*F12</t>
        </r>
      </text>
    </comment>
    <comment ref="F14" authorId="0">
      <text>
        <r>
          <rPr>
            <sz val="12"/>
            <color theme="1"/>
            <rFont val="Calibri"/>
            <family val="2"/>
            <scheme val="minor"/>
          </rPr>
          <t>======
ID#AAAB-rPpAK8
    (2026-06-30 04:11:16)
Bridge loan rate 6.75%. Update if lender quotes a different rate.</t>
        </r>
      </text>
    </comment>
    <comment ref="F15" authorId="0">
      <text>
        <r>
          <rPr>
            <sz val="12"/>
            <color theme="1"/>
            <rFont val="Calibri"/>
            <family val="2"/>
            <scheme val="minor"/>
          </rPr>
          <t>======
ID#AAAB-rPpALU
    (2026-06-30 04:11:16)
[Threaded comment]
 Your version of Excel allows you to read this threaded comment; however, any edits to it will get removed if the file is opened in a newer version of Excel. Learn more: https://go.microsoft.com/fwlink/?linkid=870924
Comment:
	if seller or 2nd loan is obtained, put the amount in here. It wil reduce your equity requirement.</t>
        </r>
      </text>
    </comment>
    <comment ref="A16" authorId="0">
      <text>
        <r>
          <rPr>
            <sz val="12"/>
            <color theme="1"/>
            <rFont val="Calibri"/>
            <family val="2"/>
            <scheme val="minor"/>
          </rPr>
          <t>======
ID#AAAB-rPpALM
    (2026-06-30 04:11:16)
[Threaded comment]
 Your version of Excel allows you to read this threaded comment; however, any edits to it will get removed if the file is opened in a newer version of Excel. Learn more: https://go.microsoft.com/fwlink/?linkid=870924
Comment:
	4-6%. This includes legal, escrow, title, AQ fee, starting capital, finance fees</t>
        </r>
      </text>
    </comment>
    <comment ref="C16" authorId="0">
      <text>
        <r>
          <rPr>
            <sz val="12"/>
            <color theme="1"/>
            <rFont val="Calibri"/>
            <family val="2"/>
            <scheme val="minor"/>
          </rPr>
          <t>======
ID#AAAB-rPpANA
    (2026-06-30 04:11:16)
Closing costs 6% of offer. Includes lender, title, and legal fees.</t>
        </r>
      </text>
    </comment>
    <comment ref="F16" authorId="0">
      <text>
        <r>
          <rPr>
            <sz val="12"/>
            <color theme="1"/>
            <rFont val="Calibri"/>
            <family val="2"/>
            <scheme val="minor"/>
          </rPr>
          <t>======
ID#AAAB-rPpANI
    (2026-06-30 04:11:16)
[Threaded comment]
 Your version of Excel allows you to read this threaded comment; however, any edits to it will get removed if the file is opened in a newer version of Excel. Learn more: https://go.microsoft.com/fwlink/?linkid=870924
Comment:
	Put in interest rate the seller or 2nd loan is charging.</t>
        </r>
      </text>
    </comment>
    <comment ref="D17" authorId="0">
      <text>
        <r>
          <rPr>
            <sz val="12"/>
            <color theme="1"/>
            <rFont val="Calibri"/>
            <family val="2"/>
            <scheme val="minor"/>
          </rPr>
          <t>======
ID#AAAB-rPpAOM
    (2026-06-30 04:11:16)
[Threaded comment]
 Your version of Excel allows you to read this threaded comment; however, any edits to it will get removed if the file is opened in a newer version of Excel. Learn more: https://go.microsoft.com/fwlink/?linkid=870924
Comment:
	This includes Downpayment plus reno plus closing costs. See the comment in the loan cell in the event the lender includes reno in your loan.</t>
        </r>
      </text>
    </comment>
    <comment ref="F17" authorId="0">
      <text>
        <r>
          <rPr>
            <sz val="12"/>
            <color theme="1"/>
            <rFont val="Calibri"/>
            <family val="2"/>
            <scheme val="minor"/>
          </rPr>
          <t>======
ID#AAAB-rPpAMM
    (2026-06-30 04:11:16)
[Threaded comment]
 Your version of Excel allows you to read this threaded comment; however, any edits to it will get removed if the file is opened in a newer version of Excel. Learn more: https://go.microsoft.com/fwlink/?linkid=870924
Comment:
	This is interest only payments which most seller finance deals will be.</t>
        </r>
      </text>
    </comment>
    <comment ref="C20" authorId="0">
      <text>
        <r>
          <rPr>
            <sz val="12"/>
            <color theme="1"/>
            <rFont val="Calibri"/>
            <family val="2"/>
            <scheme val="minor"/>
          </rPr>
          <t>======
ID#AAAB-rPpANU
    (2026-06-30 04:11:16)
[Threaded comment]
 Your version of Excel allows you to read this threaded comment; however, any edits to it will get removed if the file is opened in a newer version of Excel. Learn more: https://go.microsoft.com/fwlink/?linkid=870924
Comment:
	Current rents for unit types. Don't need to put all units here. Just summarize with unit types and average rents.</t>
        </r>
      </text>
    </comment>
    <comment ref="F20" authorId="0">
      <text>
        <r>
          <rPr>
            <sz val="12"/>
            <color theme="1"/>
            <rFont val="Calibri"/>
            <family val="2"/>
            <scheme val="minor"/>
          </rPr>
          <t>======
ID#AAAB-rPpAMg
    (2026-06-30 04:11:16)
[Threaded comment]
 Your version of Excel allows you to read this threaded comment; however, any edits to it will get removed if the file is opened in a newer version of Excel. Learn more: https://go.microsoft.com/fwlink/?linkid=870924
Comment:
	What rents can be within 12 months or less.</t>
        </r>
      </text>
    </comment>
    <comment ref="J21" authorId="0">
      <text>
        <r>
          <rPr>
            <sz val="12"/>
            <color theme="1"/>
            <rFont val="Calibri"/>
            <family val="2"/>
            <scheme val="minor"/>
          </rPr>
          <t>======
ID#AAAB-rPpAOc
    (2026-06-30 04:11:16)
Taxes ESTIMATE (1.24% x ask, zip default). TN/GA/AL tax the county APPRAISED value, not your price — replace with OM/T-12 actual.</t>
        </r>
      </text>
    </comment>
    <comment ref="L21" authorId="0">
      <text>
        <r>
          <rPr>
            <sz val="12"/>
            <color theme="1"/>
            <rFont val="Calibri"/>
            <family val="2"/>
            <scheme val="minor"/>
          </rPr>
          <t>======
ID#AAAB-rPpAOE
    (2026-06-30 04:11:16)
Proforma taxes = current x 1.03 (no sale reassessment in TN/GA/AL). ESTIMATE — confirm in DD.</t>
        </r>
      </text>
    </comment>
    <comment ref="J22" authorId="0">
      <text>
        <r>
          <rPr>
            <sz val="12"/>
            <color theme="1"/>
            <rFont val="Calibri"/>
            <family val="2"/>
            <scheme val="minor"/>
          </rPr>
          <t>======
ID#AAAB-rPpAM4
    (2026-06-30 04:11:16)
Insurance $42,000 = $1,500/unit KB floor. Replace with OM actual / live quote.</t>
        </r>
      </text>
    </comment>
    <comment ref="L22" authorId="0">
      <text>
        <r>
          <rPr>
            <sz val="12"/>
            <color theme="1"/>
            <rFont val="Calibri"/>
            <family val="2"/>
            <scheme val="minor"/>
          </rPr>
          <t>======
ID#AAAB-rPpAPw
    (2026-06-30 04:11:16)
Insurance KB floor — replace with live quote in DD.</t>
        </r>
      </text>
    </comment>
    <comment ref="K23" authorId="0">
      <text>
        <r>
          <rPr>
            <sz val="12"/>
            <color theme="1"/>
            <rFont val="Calibri"/>
            <family val="2"/>
            <scheme val="minor"/>
          </rPr>
          <t>======
ID#AAAB-rPpAMA
    (2026-06-30 04:11:16)
[Threaded comment]
 Your version of Excel allows you to read this threaded comment; however, any edits to it will get removed if the file is opened in a newer version of Excel. Learn more: https://go.microsoft.com/fwlink/?linkid=870924
Comment:
	$700 - $800/Unit</t>
        </r>
      </text>
    </comment>
    <comment ref="K24" authorId="0">
      <text>
        <r>
          <rPr>
            <sz val="12"/>
            <color theme="1"/>
            <rFont val="Calibri"/>
            <family val="2"/>
            <scheme val="minor"/>
          </rPr>
          <t>======
ID#AAAB-rPpAN4
    (2026-06-30 04:11:16)
[Threaded comment]
 Your version of Excel allows you to read this threaded comment; however, any edits to it will get removed if the file is opened in a newer version of Excel. Learn more: https://go.microsoft.com/fwlink/?linkid=870924
Comment:
	To calculate this number, take 30% of units x $1500. 
Avg tunover cost is $1,500/unit that leaves. Turnover is likely 20-30% yr.</t>
        </r>
      </text>
    </comment>
    <comment ref="K25" authorId="0">
      <text>
        <r>
          <rPr>
            <sz val="12"/>
            <color theme="1"/>
            <rFont val="Calibri"/>
            <family val="2"/>
            <scheme val="minor"/>
          </rPr>
          <t>======
ID#AAAB-rPpALs
    (2026-06-30 04:11:16)
[Threaded comment]
 Your version of Excel allows you to read this threaded comment; however, any edits to it will get removed if the file is opened in a newer version of Excel. Learn more: https://go.microsoft.com/fwlink/?linkid=870924
Comment:
	Use numbers from OM</t>
        </r>
      </text>
    </comment>
    <comment ref="K26" authorId="0">
      <text>
        <r>
          <rPr>
            <sz val="12"/>
            <color theme="1"/>
            <rFont val="Calibri"/>
            <family val="2"/>
            <scheme val="minor"/>
          </rPr>
          <t>======
ID#AAAB-rPpAMw
    (2026-06-30 04:11:16)
[Threaded comment]
 Your version of Excel allows you to read this threaded comment; however, any edits to it will get removed if the file is opened in a newer version of Excel. Learn more: https://go.microsoft.com/fwlink/?linkid=870924
Comment:
	Use numbers from OM</t>
        </r>
      </text>
    </comment>
    <comment ref="K27" authorId="0">
      <text>
        <r>
          <rPr>
            <sz val="12"/>
            <color theme="1"/>
            <rFont val="Calibri"/>
            <family val="2"/>
            <scheme val="minor"/>
          </rPr>
          <t>======
ID#AAAB-rPpAOU
    (2026-06-30 04:11:16)
[Threaded comment]
 Your version of Excel allows you to read this threaded comment; however, any edits to it will get removed if the file is opened in a newer version of Excel. Learn more: https://go.microsoft.com/fwlink/?linkid=870924
Comment:
	Use numbers from OM.</t>
        </r>
      </text>
    </comment>
    <comment ref="K28" authorId="0">
      <text>
        <r>
          <rPr>
            <sz val="12"/>
            <color theme="1"/>
            <rFont val="Calibri"/>
            <family val="2"/>
            <scheme val="minor"/>
          </rPr>
          <t>======
ID#AAAB-rPpAM8
    (2026-06-30 04:11:16)
[Threaded comment]
 Your version of Excel allows you to read this threaded comment; however, any edits to it will get removed if the file is opened in a newer version of Excel. Learn more: https://go.microsoft.com/fwlink/?linkid=870924
Comment:
	Use numbers from OM.</t>
        </r>
      </text>
    </comment>
    <comment ref="I30" authorId="0">
      <text>
        <r>
          <rPr>
            <sz val="12"/>
            <color theme="1"/>
            <rFont val="Calibri"/>
            <family val="2"/>
            <scheme val="minor"/>
          </rPr>
          <t>======
ID#AAAB-rPpAOY
    (2026-06-30 04:11:16)
[Threaded comment]
 Your version of Excel allows you to read this threaded comment; however, any edits to it will get removed if the file is opened in a newer version of Excel. Learn more: https://go.microsoft.com/fwlink/?linkid=870924
Comment:
	6-8% to account for leasing fees too.</t>
        </r>
      </text>
    </comment>
    <comment ref="I31" authorId="0">
      <text>
        <r>
          <rPr>
            <sz val="12"/>
            <color theme="1"/>
            <rFont val="Calibri"/>
            <family val="2"/>
            <scheme val="minor"/>
          </rPr>
          <t>======
ID#AAAB-rPpAQA
    (2026-06-30 04:11:16)
[Threaded comment]
 Your version of Excel allows you to read this threaded comment; however, any edits to it will get removed if the file is opened in a newer version of Excel. Learn more: https://go.microsoft.com/fwlink/?linkid=870924
Comment:
	$250 - $300 per unit</t>
        </r>
      </text>
    </comment>
    <comment ref="J33" authorId="0">
      <text>
        <r>
          <rPr>
            <sz val="12"/>
            <color theme="1"/>
            <rFont val="Calibri"/>
            <family val="2"/>
            <scheme val="minor"/>
          </rPr>
          <t>======
ID#AAAB-rPpALo
    (2026-06-30 04:11:16)
[Threaded comment]
 Your version of Excel allows you to read this threaded comment; however, any edits to it will get removed if the file is opened in a newer version of Excel. Learn more: https://go.microsoft.com/fwlink/?linkid=870924
Comment:
	1980 and older should be 40%-50%
1980 -2010 should be 35%-45%
2010 or newer should be 30% -40%</t>
        </r>
      </text>
    </comment>
    <comment ref="L33" authorId="0">
      <text>
        <r>
          <rPr>
            <sz val="12"/>
            <color theme="1"/>
            <rFont val="Calibri"/>
            <family val="2"/>
            <scheme val="minor"/>
          </rPr>
          <t>======
ID#AAAB-rPpAOg
    (2026-06-30 04:11:16)
[Threaded comment]
 Your version of Excel allows you to read this threaded comment; however, any edits to it will get removed if the file is opened in a newer version of Excel. Learn more: https://go.microsoft.com/fwlink/?linkid=870924
Comment:
	1980 and older should be 40%-50%
1980 -2010 should be 35%-45%
2010 or newer should be 30% -40%</t>
        </r>
      </text>
    </comment>
    <comment ref="R35" authorId="0">
      <text>
        <r>
          <rPr>
            <sz val="12"/>
            <color theme="1"/>
            <rFont val="Calibri"/>
            <family val="2"/>
            <scheme val="minor"/>
          </rPr>
          <t>======
ID#AAAB-rPpAPc
    (2026-06-30 04:11:16)
6-year hold period. Sale modeled at year 6.</t>
        </r>
      </text>
    </comment>
    <comment ref="R37" authorId="0">
      <text>
        <r>
          <rPr>
            <sz val="12"/>
            <color theme="1"/>
            <rFont val="Calibri"/>
            <family val="2"/>
            <scheme val="minor"/>
          </rPr>
          <t>======
ID#AAAB-rPpAL4
    (2026-06-30 04:11:16)
Exit cap 6.50% from OM pro-forma. May expand if market softens — model conservatively.</t>
        </r>
      </text>
    </comment>
    <comment ref="R38" authorId="0">
      <text>
        <r>
          <rPr>
            <sz val="12"/>
            <color theme="1"/>
            <rFont val="Calibri"/>
            <family val="2"/>
            <scheme val="minor"/>
          </rPr>
          <t>======
ID#AAAB-rPpAO8
    (2026-06-30 04:11:16)
Selling costs 5% (broker + closing costs at exit).</t>
        </r>
      </text>
    </comment>
    <comment ref="C39" authorId="0">
      <text>
        <r>
          <rPr>
            <sz val="12"/>
            <color theme="1"/>
            <rFont val="Calibri"/>
            <family val="2"/>
            <scheme val="minor"/>
          </rPr>
          <t>======
ID#AAAB-rPpANE
    (2026-06-30 04:11:16)
Current vacancy 10%. Based on rent roll / market assumption.</t>
        </r>
      </text>
    </comment>
    <comment ref="F39" authorId="0">
      <text>
        <r>
          <rPr>
            <sz val="12"/>
            <color theme="1"/>
            <rFont val="Calibri"/>
            <family val="2"/>
            <scheme val="minor"/>
          </rPr>
          <t>======
ID#AAAB-rPpAP4
    (2026-06-30 04:11:16)
Proforma vacancy 10%. Adjust down if market is tight.</t>
        </r>
      </text>
    </comment>
    <comment ref="D40" authorId="0">
      <text>
        <r>
          <rPr>
            <sz val="12"/>
            <color theme="1"/>
            <rFont val="Calibri"/>
            <family val="2"/>
            <scheme val="minor"/>
          </rPr>
          <t>======
ID#AAAB-rPpAOo
    (2026-06-30 04:11:16)
[Threaded comment]
 Your version of Excel allows you to read this threaded comment; however, any edits to it will get removed if the file is opened in a newer version of Excel. Learn more: https://go.microsoft.com/fwlink/?linkid=870924
Comment:
	look at the OM for other income, pet rent, late fees, etc etc. that goes here</t>
        </r>
      </text>
    </comment>
    <comment ref="G40" authorId="0">
      <text>
        <r>
          <rPr>
            <sz val="12"/>
            <color theme="1"/>
            <rFont val="Calibri"/>
            <family val="2"/>
            <scheme val="minor"/>
          </rPr>
          <t>======
ID#AAAB-rPpANw
    (2026-06-30 04:11:16)
[Threaded comment]
 Your version of Excel allows you to read this threaded comment; however, any edits to it will get removed if the file is opened in a newer version of Excel. Learn more: https://go.microsoft.com/fwlink/?linkid=870924
Comment:
	look at the OM for other income, pet rent, late fees, etc etc. that goes here</t>
        </r>
      </text>
    </comment>
    <comment ref="B44" authorId="0">
      <text>
        <r>
          <rPr>
            <sz val="12"/>
            <color theme="1"/>
            <rFont val="Calibri"/>
            <family val="2"/>
            <scheme val="minor"/>
          </rPr>
          <t>======
ID#AAAB-rPpAQI
    (2026-06-30 04:11:16)
[Threaded comment]
 Your version of Excel allows you to read this threaded comment; however, any edits to it will get removed if the file is opened in a newer version of Excel. Learn more: https://go.microsoft.com/fwlink/?linkid=870924
Comment:
	Debt Coverage Ratio. This number needs to be 1.25 or greater.</t>
        </r>
      </text>
    </comment>
    <comment ref="C44" authorId="0">
      <text>
        <r>
          <rPr>
            <sz val="12"/>
            <color theme="1"/>
            <rFont val="Calibri"/>
            <family val="2"/>
            <scheme val="minor"/>
          </rPr>
          <t>======
ID#AAAB-rPpANc
    (2026-06-30 04:11:16)
[Threaded comment]
 Your version of Excel allows you to read this threaded comment; however, any edits to it will get removed if the file is opened in a newer version of Excel. Learn more: https://go.microsoft.com/fwlink/?linkid=870924
Comment:
	Debt Coverage Ratio. This number needs to be 1.25 or greater.</t>
        </r>
      </text>
    </comment>
    <comment ref="F44" authorId="0">
      <text>
        <r>
          <rPr>
            <sz val="12"/>
            <color theme="1"/>
            <rFont val="Calibri"/>
            <family val="2"/>
            <scheme val="minor"/>
          </rPr>
          <t>======
ID#AAAB-rPpAPo
    (2026-06-30 04:11:16)
[Threaded comment]
 Your version of Excel allows you to read this threaded comment; however, any edits to it will get removed if the file is opened in a newer version of Excel. Learn more: https://go.microsoft.com/fwlink/?linkid=870924
Comment:
	Needs to be 1.25 or greater.</t>
        </r>
      </text>
    </comment>
    <comment ref="Q50" authorId="0">
      <text>
        <r>
          <rPr>
            <sz val="12"/>
            <color theme="1"/>
            <rFont val="Calibri"/>
            <family val="2"/>
            <scheme val="minor"/>
          </rPr>
          <t>======
ID#AAAB-rPpANk
    (2026-06-30 04:11:16)
[Threaded comment]
 Your version of Excel allows you to read this threaded comment; however, any edits to it will get removed if the file is opened in a newer version of Excel. Learn more: https://go.microsoft.com/fwlink/?linkid=870924
Comment:
	% of purchase price
2-3% usually</t>
        </r>
      </text>
    </comment>
    <comment ref="G51" authorId="0">
      <text>
        <r>
          <rPr>
            <sz val="12"/>
            <color theme="1"/>
            <rFont val="Calibri"/>
            <family val="2"/>
            <scheme val="minor"/>
          </rPr>
          <t>======
ID#AAAB-rPpAQE
    (2026-06-30 04:11:16)
[Threaded comment]
 Your version of Excel allows you to read this threaded comment; however, any edits to it will get removed if the file is opened in a newer version of Excel. Learn more: https://go.microsoft.com/fwlink/?linkid=870924
Comment:
	Needs to be 6-10% or more.</t>
        </r>
      </text>
    </comment>
    <comment ref="Q51" authorId="0">
      <text>
        <r>
          <rPr>
            <sz val="12"/>
            <color theme="1"/>
            <rFont val="Calibri"/>
            <family val="2"/>
            <scheme val="minor"/>
          </rPr>
          <t>======
ID#AAAB-rPpAPg
    (2026-06-30 04:11:16)
[Threaded comment]
 Your version of Excel allows you to read this threaded comment; however, any edits to it will get removed if the file is opened in a newer version of Excel. Learn more: https://go.microsoft.com/fwlink/?linkid=870924
Comment:
	% of Monthly Gross Income.
1-2% usually</t>
        </r>
      </text>
    </comment>
    <comment ref="G52" authorId="0">
      <text>
        <r>
          <rPr>
            <sz val="12"/>
            <color theme="1"/>
            <rFont val="Calibri"/>
            <family val="2"/>
            <scheme val="minor"/>
          </rPr>
          <t>======
ID#AAAB-rPpAMI
    (2026-06-30 04:11:16)
[Threaded comment]
 Your version of Excel allows you to read this threaded comment; however, any edits to it will get removed if the file is opened in a newer version of Excel. Learn more: https://go.microsoft.com/fwlink/?linkid=870924
Comment:
	This is the cap rate you are selling down at. Ideally you want their to be a 2% difference between yr 5 cap at the right &gt; 
and sale cap.</t>
        </r>
      </text>
    </comment>
    <comment ref="L52" authorId="0">
      <text>
        <r>
          <rPr>
            <sz val="12"/>
            <color theme="1"/>
            <rFont val="Calibri"/>
            <family val="2"/>
            <scheme val="minor"/>
          </rPr>
          <t>======
ID#AAAB-rPpAMc
    (2026-06-30 04:11:16)
[Threaded comment]
 Your version of Excel allows you to read this threaded comment; however, any edits to it will get removed if the file is opened in a newer version of Excel. Learn more: https://go.microsoft.com/fwlink/?linkid=870924
Comment:
	This is the cap rate you are improving the property to. 
Yr 6 NOI/Purchase Price</t>
        </r>
      </text>
    </comment>
    <comment ref="Q52" authorId="0">
      <text>
        <r>
          <rPr>
            <sz val="12"/>
            <color theme="1"/>
            <rFont val="Calibri"/>
            <family val="2"/>
            <scheme val="minor"/>
          </rPr>
          <t>======
ID#AAAB-rPpAN0
    (2026-06-30 04:11:16)
[Threaded comment]
 Your version of Excel allows you to read this threaded comment; however, any edits to it will get removed if the file is opened in a newer version of Excel. Learn more: https://go.microsoft.com/fwlink/?linkid=870924
Comment:
	% of Refi loan
.5% - 1%</t>
        </r>
      </text>
    </comment>
    <comment ref="G53" authorId="0">
      <text>
        <r>
          <rPr>
            <sz val="12"/>
            <color theme="1"/>
            <rFont val="Calibri"/>
            <family val="2"/>
            <scheme val="minor"/>
          </rPr>
          <t>======
ID#AAAB-rPpAL0
    (2026-06-30 04:11:16)
[Threaded comment]
 Your version of Excel allows you to read this threaded comment; however, any edits to it will get removed if the file is opened in a newer version of Excel. Learn more: https://go.microsoft.com/fwlink/?linkid=870924
Comment:
	Needs to be 1.8X or more.</t>
        </r>
      </text>
    </comment>
    <comment ref="Q53" authorId="0">
      <text>
        <r>
          <rPr>
            <sz val="12"/>
            <color theme="1"/>
            <rFont val="Calibri"/>
            <family val="2"/>
            <scheme val="minor"/>
          </rPr>
          <t>======
ID#AAAB-rPpAOA
    (2026-06-30 04:11:16)
[Threaded comment]
 Your version of Excel allows you to read this threaded comment; however, any edits to it will get removed if the file is opened in a newer version of Excel. Learn more: https://go.microsoft.com/fwlink/?linkid=870924
Comment:
	% of future sale $
.5% to 1%</t>
        </r>
      </text>
    </comment>
    <comment ref="G54" authorId="0">
      <text>
        <r>
          <rPr>
            <sz val="12"/>
            <color theme="1"/>
            <rFont val="Calibri"/>
            <family val="2"/>
            <scheme val="minor"/>
          </rPr>
          <t>======
ID#AAAB-rPpAOk
    (2026-06-30 04:11:16)
[Threaded comment]
 Your version of Excel allows you to read this threaded comment; however, any edits to it will get removed if the file is opened in a newer version of Excel. Learn more: https://go.microsoft.com/fwlink/?linkid=870924
Comment:
	Ideally needs to be 15% or greater. 14-20% will due but 15% or greater for investors.</t>
        </r>
      </text>
    </comment>
    <comment ref="Q54" authorId="0">
      <text>
        <r>
          <rPr>
            <sz val="12"/>
            <color theme="1"/>
            <rFont val="Calibri"/>
            <family val="2"/>
            <scheme val="minor"/>
          </rPr>
          <t>======
ID#AAAB-rPpALY
    (2026-06-30 04:11:16)
[Threaded comment]
 Your version of Excel allows you to read this threaded comment; however, any edits to it will get removed if the file is opened in a newer version of Excel. Learn more: https://go.microsoft.com/fwlink/?linkid=870924
Comment:
	% of Renonvation Budget. Paid when drawn.
8%-10%</t>
        </r>
      </text>
    </comment>
    <comment ref="G55" authorId="0">
      <text>
        <r>
          <rPr>
            <sz val="12"/>
            <color theme="1"/>
            <rFont val="Calibri"/>
            <family val="2"/>
            <scheme val="minor"/>
          </rPr>
          <t>======
ID#AAAB-rPpALA
    (2026-06-30 04:11:16)
[Threaded comment]
 Your version of Excel allows you to read this threaded comment; however, any edits to it will get removed if the file is opened in a newer version of Excel. Learn more: https://go.microsoft.com/fwlink/?linkid=870924
Comment:
	The rule: A property's monthly gross rentshould be at least 1% of the purchase price(or total acquisition cost).</t>
        </r>
      </text>
    </comment>
    <comment ref="A56" authorId="0">
      <text>
        <r>
          <rPr>
            <sz val="12"/>
            <color theme="1"/>
            <rFont val="Calibri"/>
            <family val="2"/>
            <scheme val="minor"/>
          </rPr>
          <t>======
ID#AAAB-rPpANM
    (2026-06-30 04:11:16)
[Threaded comment]
 Your version of Excel allows you to read this threaded comment; however, any edits to it will get removed if the file is opened in a newer version of Excel. Learn more: https://go.microsoft.com/fwlink/?linkid=870924
Comment:
	(18% annual return or greater) — good return on renovation costs).</t>
        </r>
      </text>
    </comment>
    <comment ref="G56" authorId="0">
      <text>
        <r>
          <rPr>
            <sz val="12"/>
            <color theme="1"/>
            <rFont val="Calibri"/>
            <family val="2"/>
            <scheme val="minor"/>
          </rPr>
          <t>======
ID#AAAB-rPpANY
    (2026-06-30 04:11:16)
[Threaded comment]
 Your version of Excel allows you to read this threaded comment; however, any edits to it will get removed if the file is opened in a newer version of Excel. Learn more: https://go.microsoft.com/fwlink/?linkid=870924
Comment:
	(18% annual return or greater) — good return on renovation costs).</t>
        </r>
      </text>
    </comment>
  </commentList>
  <extLst>
    <ext xmlns:r="http://schemas.openxmlformats.org/officeDocument/2006/relationships" uri="GoogleSheetsCustomDataVersion2">
      <go:sheetsCustomData xmlns:go="http://customooxmlschemas.google.com/" r:id="rId1" roundtripDataSignature="AMtx7mhBz+K/I9aD5VScLo/1jQ2RF3t71g=="/>
    </ext>
  </extLst>
</comments>
</file>

<file path=xl/comments2.xml><?xml version="1.0" encoding="utf-8"?>
<comments xmlns="http://schemas.openxmlformats.org/spreadsheetml/2006/main">
  <authors>
    <author/>
  </authors>
  <commentList>
    <comment ref="F13" authorId="0">
      <text>
        <r>
          <rPr>
            <sz val="12"/>
            <color theme="1"/>
            <rFont val="Calibri"/>
            <family val="2"/>
            <scheme val="minor"/>
          </rPr>
          <t>======
ID#AAAB-rPpAP8
    (2026-06-30 04:11:16)
[Threaded comment]
 Your version of Excel allows you to read this threaded comment; however, any edits to it will get removed if the file is opened in a newer version of Excel. Learn more: https://go.microsoft.com/fwlink/?linkid=870924
Comment:
	Current Rents</t>
        </r>
      </text>
    </comment>
    <comment ref="G13" authorId="0">
      <text>
        <r>
          <rPr>
            <sz val="12"/>
            <color theme="1"/>
            <rFont val="Calibri"/>
            <family val="2"/>
            <scheme val="minor"/>
          </rPr>
          <t>======
ID#AAAB-rPpAPk
    (2026-06-30 04:11:16)
[Threaded comment]
 Your version of Excel allows you to read this threaded comment; however, any edits to it will get removed if the file is opened in a newer version of Excel. Learn more: https://go.microsoft.com/fwlink/?linkid=870924
Comment:
	Beg yr 2 rents
Proforma Rents</t>
        </r>
      </text>
    </comment>
    <comment ref="B14" authorId="0">
      <text>
        <r>
          <rPr>
            <sz val="12"/>
            <color theme="1"/>
            <rFont val="Calibri"/>
            <family val="2"/>
            <scheme val="minor"/>
          </rPr>
          <t>======
ID#AAAB-rPpAOw
    (2026-06-30 04:11:16)
[Threaded comment]
 Your version of Excel allows you to read this threaded comment; however, any edits to it will get removed if the file is opened in a newer version of Excel. Learn more: https://go.microsoft.com/fwlink/?linkid=870924
Comment:
	3-6% depending on market.</t>
        </r>
      </text>
    </comment>
    <comment ref="B19" authorId="0">
      <text>
        <r>
          <rPr>
            <sz val="12"/>
            <color theme="1"/>
            <rFont val="Calibri"/>
            <family val="2"/>
            <scheme val="minor"/>
          </rPr>
          <t>======
ID#AAAB-rPpAMY
    (2026-06-30 04:11:16)
[Threaded comment]
 Your version of Excel allows you to read this threaded comment; however, any edits to it will get removed if the file is opened in a newer version of Excel. Learn more: https://go.microsoft.com/fwlink/?linkid=870924
Comment:
	economic loss includes physical vacancy, bad debt, concessions and los to lease. 6-15% depending on market</t>
        </r>
      </text>
    </comment>
    <comment ref="F20" authorId="0">
      <text>
        <r>
          <rPr>
            <sz val="12"/>
            <color theme="1"/>
            <rFont val="Calibri"/>
            <family val="2"/>
            <scheme val="minor"/>
          </rPr>
          <t>======
ID#AAAB-rPpALE
    (2026-06-30 04:11:16)
[Threaded comment]
 Your version of Excel allows you to read this threaded comment; however, any edits to it will get removed if the file is opened in a newer version of Excel. Learn more: https://go.microsoft.com/fwlink/?linkid=870924
Comment:
	represents current other income for yr 1 takeover.</t>
        </r>
      </text>
    </comment>
    <comment ref="G20" authorId="0">
      <text>
        <r>
          <rPr>
            <sz val="12"/>
            <color theme="1"/>
            <rFont val="Calibri"/>
            <family val="2"/>
            <scheme val="minor"/>
          </rPr>
          <t>======
ID#AAAB-rPpAOs
    (2026-06-30 04:11:16)
[Threaded comment]
 Your version of Excel allows you to read this threaded comment; however, any edits to it will get removed if the file is opened in a newer version of Excel. Learn more: https://go.microsoft.com/fwlink/?linkid=870924
Comment:
	Represents beginning yr 2 proforma other income.</t>
        </r>
      </text>
    </comment>
    <comment ref="B22" authorId="0">
      <text>
        <r>
          <rPr>
            <sz val="12"/>
            <color theme="1"/>
            <rFont val="Calibri"/>
            <family val="2"/>
            <scheme val="minor"/>
          </rPr>
          <t>======
ID#AAAB-rPpAMo
    (2026-06-30 04:11:16)
[Threaded comment]
 Your version of Excel allows you to read this threaded comment; however, any edits to it will get removed if the file is opened in a newer version of Excel. Learn more: https://go.microsoft.com/fwlink/?linkid=870924
Comment:
	2-3% is standard</t>
        </r>
      </text>
    </comment>
    <comment ref="B41" authorId="0">
      <text>
        <r>
          <rPr>
            <sz val="12"/>
            <color theme="1"/>
            <rFont val="Calibri"/>
            <family val="2"/>
            <scheme val="minor"/>
          </rPr>
          <t>======
ID#AAAB-rPpAOI
    (2026-06-30 04:11:16)
[Threaded comment]
 Your version of Excel allows you to read this threaded comment; however, any edits to it will get removed if the file is opened in a newer version of Excel. Learn more: https://go.microsoft.com/fwlink/?linkid=870924
Comment:
	Exit cap rates can range. 4% for high growth markets. 8% for tough markets. 5-6% is average</t>
        </r>
      </text>
    </comment>
    <comment ref="B44" authorId="0">
      <text>
        <r>
          <rPr>
            <sz val="12"/>
            <color theme="1"/>
            <rFont val="Calibri"/>
            <family val="2"/>
            <scheme val="minor"/>
          </rPr>
          <t>======
ID#AAAB-rPpAPU
    (2026-06-30 04:11:16)
[Threaded comment]
 Your version of Excel allows you to read this threaded comment; however, any edits to it will get removed if the file is opened in a newer version of Excel. Learn more: https://go.microsoft.com/fwlink/?linkid=870924
Comment:
	4-6%</t>
        </r>
      </text>
    </comment>
    <comment ref="Q45" authorId="0">
      <text>
        <r>
          <rPr>
            <sz val="12"/>
            <color theme="1"/>
            <rFont val="Calibri"/>
            <family val="2"/>
            <scheme val="minor"/>
          </rPr>
          <t>======
ID#AAAB-rPpALc
    (2026-06-30 04:11:16)
[Threaded comment]
 Your version of Excel allows you to read this threaded comment; however, any edits to it will get removed if the file is opened in a newer version of Excel. Learn more: https://go.microsoft.com/fwlink/?linkid=870924
Comment:
	Yr 5 Balance. Senior Loan.</t>
        </r>
      </text>
    </comment>
  </commentList>
  <extLst>
    <ext xmlns:r="http://schemas.openxmlformats.org/officeDocument/2006/relationships" uri="GoogleSheetsCustomDataVersion2">
      <go:sheetsCustomData xmlns:go="http://customooxmlschemas.google.com/" r:id="rId1" roundtripDataSignature="AMtx7mhx9MQpEfn9c/hLEVs4HEsrKEYygQ=="/>
    </ext>
  </extLst>
</comments>
</file>

<file path=xl/comments3.xml><?xml version="1.0" encoding="utf-8"?>
<comments xmlns="http://schemas.openxmlformats.org/spreadsheetml/2006/main">
  <authors>
    <author/>
  </authors>
  <commentList>
    <comment ref="C8" authorId="0">
      <text>
        <r>
          <rPr>
            <sz val="12"/>
            <color theme="1"/>
            <rFont val="Calibri"/>
            <family val="2"/>
            <scheme val="minor"/>
          </rPr>
          <t>======
ID#AAAB-rPpANQ
    (2026-06-30 04:11:16)
[Threaded comment]
 Your version of Excel allows you to read this threaded comment; however, any edits to it will get removed if the file is opened in a newer version of Excel. Learn more: https://go.microsoft.com/fwlink/?linkid=870924
Comment:
	investors (LP) get this % preferred return. Once they get the preferred return it goes to the split.</t>
        </r>
      </text>
    </comment>
    <comment ref="D8" authorId="0">
      <text>
        <r>
          <rPr>
            <sz val="12"/>
            <color theme="1"/>
            <rFont val="Calibri"/>
            <family val="2"/>
            <scheme val="minor"/>
          </rPr>
          <t>======
ID#AAAB-rPpAPQ
    (2026-06-30 04:11:16)
[Threaded comment]
 Your version of Excel allows you to read this threaded comment; however, any edits to it will get removed if the file is opened in a newer version of Excel. Learn more: https://go.microsoft.com/fwlink/?linkid=870924
Comment:
	Typically 0% to GP and 100% to LP until pref is met.</t>
        </r>
      </text>
    </comment>
    <comment ref="E8" authorId="0">
      <text>
        <r>
          <rPr>
            <sz val="12"/>
            <color theme="1"/>
            <rFont val="Calibri"/>
            <family val="2"/>
            <scheme val="minor"/>
          </rPr>
          <t>======
ID#AAAB-rPpAO4
    (2026-06-30 04:11:16)
[Threaded comment]
 Your version of Excel allows you to read this threaded comment; however, any edits to it will get removed if the file is opened in a newer version of Excel. Learn more: https://go.microsoft.com/fwlink/?linkid=870924
Comment:
	Typically 100% until the pref return is met.</t>
        </r>
      </text>
    </comment>
    <comment ref="C9" authorId="0">
      <text>
        <r>
          <rPr>
            <sz val="12"/>
            <color theme="1"/>
            <rFont val="Calibri"/>
            <family val="2"/>
            <scheme val="minor"/>
          </rPr>
          <t>======
ID#AAAB-rPpANs
    (2026-06-30 04:11:16)
[Threaded comment]
 Your version of Excel allows you to read this threaded comment; however, any edits to it will get removed if the file is opened in a newer version of Excel. Learn more: https://go.microsoft.com/fwlink/?linkid=870924
Comment:
	keep this at same % rate as hurdle 1, unless you are paying a different pref once hurdle 1 is met. In 99% of cases this will stay the same as hurdle 1</t>
        </r>
      </text>
    </comment>
    <comment ref="D9" authorId="0">
      <text>
        <r>
          <rPr>
            <sz val="12"/>
            <color theme="1"/>
            <rFont val="Calibri"/>
            <family val="2"/>
            <scheme val="minor"/>
          </rPr>
          <t>======
ID#AAAB-rPpALQ
    (2026-06-30 04:11:16)
[Threaded comment]
 Your version of Excel allows you to read this threaded comment; however, any edits to it will get removed if the file is opened in a newer version of Excel. Learn more: https://go.microsoft.com/fwlink/?linkid=870924
Comment:
	Typically 0% to GP and 100% to LP until pref is met.</t>
        </r>
      </text>
    </comment>
    <comment ref="E9" authorId="0">
      <text>
        <r>
          <rPr>
            <sz val="12"/>
            <color theme="1"/>
            <rFont val="Calibri"/>
            <family val="2"/>
            <scheme val="minor"/>
          </rPr>
          <t>======
ID#AAAB-rPpALg
    (2026-06-30 04:11:16)
[Threaded comment]
 Your version of Excel allows you to read this threaded comment; however, any edits to it will get removed if the file is opened in a newer version of Excel. Learn more: https://go.microsoft.com/fwlink/?linkid=870924
Comment:
	Typically 100% until the pref return is met.</t>
        </r>
      </text>
    </comment>
    <comment ref="B11" authorId="0">
      <text>
        <r>
          <rPr>
            <sz val="12"/>
            <color theme="1"/>
            <rFont val="Calibri"/>
            <family val="2"/>
            <scheme val="minor"/>
          </rPr>
          <t>======
ID#AAAB-rPpAMQ
    (2026-06-30 04:11:16)
[Threaded comment]
 Your version of Excel allows you to read this threaded comment; however, any edits to it will get removed if the file is opened in a newer version of Excel. Learn more: https://go.microsoft.com/fwlink/?linkid=870924
Comment:
	This allows you to take out investors once their IRR return (annual return) hits this %. 
Two conditions:
1. IRR% is met
2. All Initial Capital Is Returned</t>
        </r>
      </text>
    </comment>
    <comment ref="C11" authorId="0">
      <text>
        <r>
          <rPr>
            <sz val="12"/>
            <color theme="1"/>
            <rFont val="Calibri"/>
            <family val="2"/>
            <scheme val="minor"/>
          </rPr>
          <t>======
ID#AAAB-rPpAME
    (2026-06-30 04:11:16)
[Threaded comment]
 Your version of Excel allows you to read this threaded comment; however, any edits to it will get removed if the file is opened in a newer version of Excel. Learn more: https://go.microsoft.com/fwlink/?linkid=870924
Comment:
	Input an annual % return max for your investors. This way once they receive this AND get their initial capital back they are out of the deal.</t>
        </r>
      </text>
    </comment>
    <comment ref="B65" authorId="0">
      <text>
        <r>
          <rPr>
            <sz val="12"/>
            <color theme="1"/>
            <rFont val="Calibri"/>
            <family val="2"/>
            <scheme val="minor"/>
          </rPr>
          <t>======
ID#AAAB-rPpAPY
    (2026-06-30 04:11:16)
[Threaded comment]
 Your version of Excel allows you to read this threaded comment; however, any edits to it will get removed if the file is opened in a newer version of Excel. Learn more: https://go.microsoft.com/fwlink/?linkid=870924
Comment:
	If you want to see what your returns are including your LP returns, then use the LP returns Example below and put in the amount of money you are investing. 
Remember, your GP money goes into the deal as your own LP investor in your own deal.</t>
        </r>
      </text>
    </comment>
    <comment ref="G71" authorId="0">
      <text>
        <r>
          <rPr>
            <sz val="12"/>
            <color theme="1"/>
            <rFont val="Calibri"/>
            <family val="2"/>
            <scheme val="minor"/>
          </rPr>
          <t>======
ID#AAAB-rPpAQM
    (2026-06-30 04:11:16)
[Threaded comment]
 Your version of Excel allows you to read this threaded comment; however, any edits to it will get removed if the file is opened in a newer version of Excel. Learn more: https://go.microsoft.com/fwlink/?linkid=870924
Comment:
	includes preferred return and cash flow and any capital event.</t>
        </r>
      </text>
    </comment>
    <comment ref="D73" authorId="0">
      <text>
        <r>
          <rPr>
            <sz val="12"/>
            <color theme="1"/>
            <rFont val="Calibri"/>
            <family val="2"/>
            <scheme val="minor"/>
          </rPr>
          <t>======
ID#AAAB-rPpAPs
    (2026-06-30 04:11:16)
[Threaded comment]
 Your version of Excel allows you to read this threaded comment; however, any edits to it will get removed if the file is opened in a newer version of Excel. Learn more: https://go.microsoft.com/fwlink/?linkid=870924
Comment:
	Ideally want this at 14%+</t>
        </r>
      </text>
    </comment>
    <comment ref="F91" authorId="0">
      <text>
        <r>
          <rPr>
            <sz val="12"/>
            <color theme="1"/>
            <rFont val="Calibri"/>
            <family val="2"/>
            <scheme val="minor"/>
          </rPr>
          <t>======
ID#AAAB-rPpAP0
    (2026-06-30 04:11:16)
[Threaded comment]
 Your version of Excel allows you to read this threaded comment; however, any edits to it will get removed if the file is opened in a newer version of Excel. Learn more: https://go.microsoft.com/fwlink/?linkid=870924
Comment:
	% of total LP equity</t>
        </r>
      </text>
    </comment>
    <comment ref="F96" authorId="0">
      <text>
        <r>
          <rPr>
            <sz val="12"/>
            <color theme="1"/>
            <rFont val="Calibri"/>
            <family val="2"/>
            <scheme val="minor"/>
          </rPr>
          <t>======
ID#AAAB-rPpANo
    (2026-06-30 04:11:16)
[Threaded comment]
 Your version of Excel allows you to read this threaded comment; however, any edits to it will get removed if the file is opened in a newer version of Excel. Learn more: https://go.microsoft.com/fwlink/?linkid=870924
Comment:
	% of total LP equity</t>
        </r>
      </text>
    </comment>
  </commentList>
  <extLst>
    <ext xmlns:r="http://schemas.openxmlformats.org/officeDocument/2006/relationships" uri="GoogleSheetsCustomDataVersion2">
      <go:sheetsCustomData xmlns:go="http://customooxmlschemas.google.com/" r:id="rId1" roundtripDataSignature="AMtx7mixUULAr2RVu3wOPpMZdF5NfpJu7w=="/>
    </ext>
  </extLst>
</comments>
</file>

<file path=xl/sharedStrings.xml><?xml version="1.0" encoding="utf-8"?>
<sst xmlns="http://schemas.openxmlformats.org/spreadsheetml/2006/main" count="391" uniqueCount="287">
  <si>
    <t>1547 Milligan Hwy, Johnson City, TN 37604</t>
  </si>
  <si>
    <t>Sources &amp; Uses</t>
  </si>
  <si>
    <t>SUMMARY</t>
  </si>
  <si>
    <t>PHOTOS</t>
  </si>
  <si>
    <t>Loans</t>
  </si>
  <si>
    <t>Equity</t>
  </si>
  <si>
    <t>Total</t>
  </si>
  <si>
    <t>Asking Price</t>
  </si>
  <si>
    <t>Offer Price</t>
  </si>
  <si>
    <t>Price</t>
  </si>
  <si>
    <t>Down Payment</t>
  </si>
  <si>
    <t>Renovation</t>
  </si>
  <si>
    <t>Number Of Units</t>
  </si>
  <si>
    <t>Closing Costs</t>
  </si>
  <si>
    <t>Price Per Unit</t>
  </si>
  <si>
    <t>Seller Financing</t>
  </si>
  <si>
    <t>Repair Budget</t>
  </si>
  <si>
    <t>Reno In Loan?</t>
  </si>
  <si>
    <t>no</t>
  </si>
  <si>
    <t>Purchase CAP</t>
  </si>
  <si>
    <t>Yr 1 Proforma CAP</t>
  </si>
  <si>
    <t>FINANCING</t>
  </si>
  <si>
    <t>Building Age</t>
  </si>
  <si>
    <t>LTV</t>
  </si>
  <si>
    <t>Senior I/O</t>
  </si>
  <si>
    <t>Month</t>
  </si>
  <si>
    <t>Year</t>
  </si>
  <si>
    <t>Lot Size</t>
  </si>
  <si>
    <t>Senior Loan</t>
  </si>
  <si>
    <t>Principle &amp; Int</t>
  </si>
  <si>
    <t>Refinancing</t>
  </si>
  <si>
    <t>Net RSF</t>
  </si>
  <si>
    <t>Interest Rate</t>
  </si>
  <si>
    <t>Refinancing?</t>
  </si>
  <si>
    <t>Yes</t>
  </si>
  <si>
    <t>Cost Per Net RSF</t>
  </si>
  <si>
    <t>Interest Only</t>
  </si>
  <si>
    <t>Refinance Year (2-6, or enter "0" for no refinance)</t>
  </si>
  <si>
    <t>Seller Rate</t>
  </si>
  <si>
    <t>Seller financing</t>
  </si>
  <si>
    <t>paid</t>
  </si>
  <si>
    <t>Refinance Cap Rate</t>
  </si>
  <si>
    <t>Total Equity</t>
  </si>
  <si>
    <t>Pmt i/o</t>
  </si>
  <si>
    <t>Pay %</t>
  </si>
  <si>
    <t>Accrue</t>
  </si>
  <si>
    <t>Market Value</t>
  </si>
  <si>
    <t>SCHEDULED INCOME</t>
  </si>
  <si>
    <t>ANNUALIZED EXPENSES</t>
  </si>
  <si>
    <t>Refinance LTV (%)</t>
  </si>
  <si>
    <t>CURRENT RENTS</t>
  </si>
  <si>
    <t>PROFORMA RENTS</t>
  </si>
  <si>
    <t>Current</t>
  </si>
  <si>
    <t>Proforma</t>
  </si>
  <si>
    <t>Loan Amount</t>
  </si>
  <si>
    <t>UNITS</t>
  </si>
  <si>
    <t>UNIT TYPE</t>
  </si>
  <si>
    <t>Monthly Rent/Unit</t>
  </si>
  <si>
    <t>Monthly Income</t>
  </si>
  <si>
    <t>SQFT</t>
  </si>
  <si>
    <t>Estimated</t>
  </si>
  <si>
    <t>/unit</t>
  </si>
  <si>
    <t>/Unit</t>
  </si>
  <si>
    <t>Years Interest Only (0-9)</t>
  </si>
  <si>
    <t>1BD1BA</t>
  </si>
  <si>
    <t>Taxes</t>
  </si>
  <si>
    <t>2BD1BA</t>
  </si>
  <si>
    <t>Insurance</t>
  </si>
  <si>
    <t>Loan Amortization (YRS)</t>
  </si>
  <si>
    <t>2BD1.5BA</t>
  </si>
  <si>
    <t>Maint/Repair</t>
  </si>
  <si>
    <t>Turnover</t>
  </si>
  <si>
    <t>Costs of Refinance</t>
  </si>
  <si>
    <t>Utilities</t>
  </si>
  <si>
    <t>Senior Loan Pay-Off</t>
  </si>
  <si>
    <t>Gen/Admin</t>
  </si>
  <si>
    <t>Cash Out Amount (Net Cash from REFI)</t>
  </si>
  <si>
    <t>Contract Serv</t>
  </si>
  <si>
    <t>Amount to investors</t>
  </si>
  <si>
    <t>Marketing</t>
  </si>
  <si>
    <t>Profits (if any)</t>
  </si>
  <si>
    <t>Landscape / Pest</t>
  </si>
  <si>
    <t>Remaining Investor Capital</t>
  </si>
  <si>
    <t>Management</t>
  </si>
  <si>
    <t>Reserves</t>
  </si>
  <si>
    <t>Expense Ratio</t>
  </si>
  <si>
    <t>Sale Inputs</t>
  </si>
  <si>
    <t>Per Unit</t>
  </si>
  <si>
    <t>Per RSF</t>
  </si>
  <si>
    <t>Sale Year</t>
  </si>
  <si>
    <t>APOD (ANNUAL PROPERTY OPERATING DATA</t>
  </si>
  <si>
    <t>Sales Price</t>
  </si>
  <si>
    <t>Exit/Refi Cap Rate</t>
  </si>
  <si>
    <t>Gross Income:</t>
  </si>
  <si>
    <t>Sales Costs</t>
  </si>
  <si>
    <t>(less) Vacancy/Credit loss:</t>
  </si>
  <si>
    <t>Price per unit</t>
  </si>
  <si>
    <t>Other Income:</t>
  </si>
  <si>
    <t>SALE - DETAILS</t>
  </si>
  <si>
    <t>EGI (Operating Income):</t>
  </si>
  <si>
    <t>Sale Price</t>
  </si>
  <si>
    <t>(Less) Expenses:</t>
  </si>
  <si>
    <t>Less: Principal Remaining On Loan</t>
  </si>
  <si>
    <t>Net Operating Income NOI:</t>
  </si>
  <si>
    <t>Less: Disposition Fee</t>
  </si>
  <si>
    <t>(Less) Loan:</t>
  </si>
  <si>
    <t>DCR</t>
  </si>
  <si>
    <t>(Less) seller/2nd loan</t>
  </si>
  <si>
    <t xml:space="preserve">Gross Profit </t>
  </si>
  <si>
    <t>Cash Flow:</t>
  </si>
  <si>
    <t>TOTAL RETURN BEFORE TAX:</t>
  </si>
  <si>
    <t>METRICS</t>
  </si>
  <si>
    <t>GP Fees</t>
  </si>
  <si>
    <t xml:space="preserve">Cash/Cash yr1: </t>
  </si>
  <si>
    <t>AQ Fee</t>
  </si>
  <si>
    <t>Avg COC</t>
  </si>
  <si>
    <t>Asset Management Fee (Monthly)</t>
  </si>
  <si>
    <t>Cap Rate</t>
  </si>
  <si>
    <t>Purchase Cap</t>
  </si>
  <si>
    <t>Sale Cap</t>
  </si>
  <si>
    <t>Yr 6 Cap Rate</t>
  </si>
  <si>
    <t>Refi Fee</t>
  </si>
  <si>
    <t>Equity Multiple</t>
  </si>
  <si>
    <t>Disposition Fee</t>
  </si>
  <si>
    <t>IRR</t>
  </si>
  <si>
    <t>N/A</t>
  </si>
  <si>
    <t>Diff</t>
  </si>
  <si>
    <t>Renovation Fee.</t>
  </si>
  <si>
    <t>1% Rule</t>
  </si>
  <si>
    <t>Return On Cost (% Return On Renovation)</t>
  </si>
  <si>
    <t>NOTES</t>
  </si>
  <si>
    <t>*ALL THE AREAS IN BLUE ARE FILLABLE CELLS. OTHER CELLS ARE FORMULAS.</t>
  </si>
  <si>
    <t>Total One Time Fees</t>
  </si>
  <si>
    <t>* WORKBOOK IS NOT PROTECTED SO YOU CAN EDIT ALL YOU WANT.</t>
  </si>
  <si>
    <t>Total Monthly Fees</t>
  </si>
  <si>
    <t>PROFORMA</t>
  </si>
  <si>
    <t># of Units</t>
  </si>
  <si>
    <t>Total Area</t>
  </si>
  <si>
    <t>Avg</t>
  </si>
  <si>
    <t>Profit &amp; Loss</t>
  </si>
  <si>
    <t>Gross Monthly Rent</t>
  </si>
  <si>
    <t>Rent Bump Increases</t>
  </si>
  <si>
    <t>n/a</t>
  </si>
  <si>
    <t>rent/sqft</t>
  </si>
  <si>
    <t>Gross Annual Rent</t>
  </si>
  <si>
    <t>Less: Economic Loss</t>
  </si>
  <si>
    <t>Econ Loss Allowance %</t>
  </si>
  <si>
    <t>Other Income</t>
  </si>
  <si>
    <t>Less: Operating expenses</t>
  </si>
  <si>
    <t>Expense Bump Increases</t>
  </si>
  <si>
    <t>NOI</t>
  </si>
  <si>
    <t>Less: Debt Service P+ I (Senior Loan)</t>
  </si>
  <si>
    <t>Less: Debt Service P+ I (REFI Loan)</t>
  </si>
  <si>
    <t xml:space="preserve">Less: Seller Financing (paid) </t>
  </si>
  <si>
    <t>Accrued Interest (if any)</t>
  </si>
  <si>
    <t>Free Cashflows</t>
  </si>
  <si>
    <t xml:space="preserve">   </t>
  </si>
  <si>
    <t>Net Cash from Refinance</t>
  </si>
  <si>
    <t>REFI Proceeds</t>
  </si>
  <si>
    <t xml:space="preserve"> </t>
  </si>
  <si>
    <t>Less: Senior Loan Pay-off</t>
  </si>
  <si>
    <t>Less: Seller Financing+Int</t>
  </si>
  <si>
    <t>Less: Costs of REFI (if any)</t>
  </si>
  <si>
    <t>Net Cash</t>
  </si>
  <si>
    <t xml:space="preserve">Cash/ Cash Return  </t>
  </si>
  <si>
    <t>Estimated Market Value</t>
  </si>
  <si>
    <t>Exit Cap Rate</t>
  </si>
  <si>
    <t>Gross Sale Proceeds</t>
  </si>
  <si>
    <t>Less: Selling costs</t>
  </si>
  <si>
    <t>Less: REFI Loan Pay-off (if any)</t>
  </si>
  <si>
    <t>Levered Cashflows</t>
  </si>
  <si>
    <t>Leveraged IRR</t>
  </si>
  <si>
    <t>Net Proceeds From Sale</t>
  </si>
  <si>
    <t>Gross Proceeds From Sale</t>
  </si>
  <si>
    <t>Selling Costs</t>
  </si>
  <si>
    <t xml:space="preserve">Total Free Cashflow </t>
  </si>
  <si>
    <t xml:space="preserve">Initial Investment </t>
  </si>
  <si>
    <t>Loan Pay-Offs</t>
  </si>
  <si>
    <t xml:space="preserve">Net Total Profits </t>
  </si>
  <si>
    <t>ROI</t>
  </si>
  <si>
    <t>Profit Split</t>
  </si>
  <si>
    <t>EQUITY PARTNER</t>
  </si>
  <si>
    <t>SPONSOR</t>
  </si>
  <si>
    <t>PREFERRED RETURN</t>
  </si>
  <si>
    <t>PROFIT</t>
  </si>
  <si>
    <t>TOTAL</t>
  </si>
  <si>
    <t>IRR - Annual Return</t>
  </si>
  <si>
    <t xml:space="preserve">Equity Partner </t>
  </si>
  <si>
    <t>Sponsor</t>
  </si>
  <si>
    <t>Check</t>
  </si>
  <si>
    <t>Equity Waterfall</t>
  </si>
  <si>
    <t>Equity Structure</t>
  </si>
  <si>
    <t>%</t>
  </si>
  <si>
    <t>GP Equity Contribution</t>
  </si>
  <si>
    <t>LP Equity Contribution</t>
  </si>
  <si>
    <t>Return Hurdles</t>
  </si>
  <si>
    <t>Preferred Return</t>
  </si>
  <si>
    <t>GP Return</t>
  </si>
  <si>
    <t>LP Return</t>
  </si>
  <si>
    <t>Hurdle 1: (Preferred Return)</t>
  </si>
  <si>
    <t>Hurdle 2 split:</t>
  </si>
  <si>
    <t>Hurdle 3 split:</t>
  </si>
  <si>
    <t>Profits Splits</t>
  </si>
  <si>
    <t>LP IRR Take Out %</t>
  </si>
  <si>
    <t>Project Level Levered Cash Flow</t>
  </si>
  <si>
    <t>Hurdle 1 Pref Return</t>
  </si>
  <si>
    <t>Beginning Balance (LP)</t>
  </si>
  <si>
    <t>LP Preferred Balance</t>
  </si>
  <si>
    <t>LP Contributions</t>
  </si>
  <si>
    <t xml:space="preserve">LP Pref Distributions </t>
  </si>
  <si>
    <t>Unpaid Pref</t>
  </si>
  <si>
    <t>Ending Balance (LP)</t>
  </si>
  <si>
    <t>LP Pref % Cash Distribution</t>
  </si>
  <si>
    <t>LP Net Cash Flows</t>
  </si>
  <si>
    <t>LP IRR Check</t>
  </si>
  <si>
    <t>Contributions from GP</t>
  </si>
  <si>
    <t>Distributions to GP</t>
  </si>
  <si>
    <t>Total Distributions Hurdle 1</t>
  </si>
  <si>
    <t>Cash Flow Remaining for Distribution</t>
  </si>
  <si>
    <t>Hurdle 2 (splits 1)</t>
  </si>
  <si>
    <t>LP Distribution</t>
  </si>
  <si>
    <t>Contributions from LP</t>
  </si>
  <si>
    <t>Prior Distributions to LP</t>
  </si>
  <si>
    <t>Distributions to LP in Hurdle 2</t>
  </si>
  <si>
    <t>LP Cummulative IRR</t>
  </si>
  <si>
    <t>LP Cumm IRR Check</t>
  </si>
  <si>
    <t>Total Distributions Hurdle 2</t>
  </si>
  <si>
    <t>Cash Flow Remaining</t>
  </si>
  <si>
    <t>Hurdle 3 (splits 2)</t>
  </si>
  <si>
    <t>LP Cumulative IRR</t>
  </si>
  <si>
    <t>Distributions to LP in Hurdle 3</t>
  </si>
  <si>
    <t>LP Cash/Cash</t>
  </si>
  <si>
    <t>Total Distributions Hurdle 3</t>
  </si>
  <si>
    <t>GP Cash Flow</t>
  </si>
  <si>
    <t>Distributions</t>
  </si>
  <si>
    <t>Contributions</t>
  </si>
  <si>
    <t>EM</t>
  </si>
  <si>
    <t>Net Cash Flow</t>
  </si>
  <si>
    <t>LP Cash Flow</t>
  </si>
  <si>
    <t>LP Cash-on-cash</t>
  </si>
  <si>
    <t>GP 10k Invested Cash Flow</t>
  </si>
  <si>
    <t>Contribution %</t>
  </si>
  <si>
    <t>Contribution</t>
  </si>
  <si>
    <t>Distribution</t>
  </si>
  <si>
    <t>LP 10k Invested Cash Flow</t>
  </si>
  <si>
    <t>EXAMPLE RETURNS FOR AN INVESTOR. (INPUT INVESTMENT AMOUNT)</t>
  </si>
  <si>
    <t>$25,000 Investor Example</t>
  </si>
  <si>
    <t>Cashflow</t>
  </si>
  <si>
    <t>Cash/Cash</t>
  </si>
  <si>
    <t>ROI/ARR</t>
  </si>
  <si>
    <t>$100,000 Investor Example</t>
  </si>
  <si>
    <t>Amortization Table</t>
  </si>
  <si>
    <t>A simple amortization table covering 36 payment periods of a loan.</t>
  </si>
  <si>
    <t>1) To use the table, simply change any of the values in the "inital data" area of the worksheet.</t>
  </si>
  <si>
    <t>2) To print the table, just choose "Print" from the "File" menu. The print area is already defined.</t>
  </si>
  <si>
    <t>Initial Data</t>
  </si>
  <si>
    <t>LOAN DATA</t>
  </si>
  <si>
    <t>TABLE DATA</t>
  </si>
  <si>
    <t>Loan amount:</t>
  </si>
  <si>
    <t>Table starts at date:</t>
  </si>
  <si>
    <t>Annual interest rate:</t>
  </si>
  <si>
    <t>or at payment number:</t>
  </si>
  <si>
    <t>Amortization:</t>
  </si>
  <si>
    <t>I/O Period (months):</t>
  </si>
  <si>
    <t>Payments per year:</t>
  </si>
  <si>
    <t>First payment due:</t>
  </si>
  <si>
    <t>PERIODIC PAYMENT</t>
  </si>
  <si>
    <t xml:space="preserve">  The table uses the calculated periodic payment amount</t>
  </si>
  <si>
    <t>Full payment:</t>
  </si>
  <si>
    <t xml:space="preserve">  unless you enter a value for "Entered payment".</t>
  </si>
  <si>
    <t>CALCULATIONS</t>
  </si>
  <si>
    <t>Post-I/O payment:</t>
  </si>
  <si>
    <t>1st payment in table:</t>
  </si>
  <si>
    <t>Table</t>
  </si>
  <si>
    <t>Payment</t>
  </si>
  <si>
    <t>Beginning</t>
  </si>
  <si>
    <t>Ending</t>
  </si>
  <si>
    <t>Cumulative</t>
  </si>
  <si>
    <t>No.</t>
  </si>
  <si>
    <t>Date</t>
  </si>
  <si>
    <t>Balance</t>
  </si>
  <si>
    <t>Interest</t>
  </si>
  <si>
    <t>Principal</t>
  </si>
  <si>
    <t>Term in years:</t>
  </si>
  <si>
    <t>Calculated payment:</t>
  </si>
  <si>
    <t>Use payment of:</t>
  </si>
  <si>
    <t>No</t>
  </si>
</sst>
</file>

<file path=xl/styles.xml><?xml version="1.0" encoding="utf-8"?>
<styleSheet xmlns="http://schemas.openxmlformats.org/spreadsheetml/2006/main" xmlns:mc="http://schemas.openxmlformats.org/markup-compatibility/2006" xmlns:x14ac="http://schemas.microsoft.com/office/spreadsheetml/2009/9/ac" mc:Ignorable="x14ac">
  <numFmts count="19">
    <numFmt numFmtId="7" formatCode="&quot;$&quot;#,##0.00_);\(&quot;$&quot;#,##0.00\)"/>
    <numFmt numFmtId="8" formatCode="&quot;$&quot;#,##0.00_);[Red]\(&quot;$&quot;#,##0.00\)"/>
    <numFmt numFmtId="44" formatCode="_(&quot;$&quot;* #,##0.00_);_(&quot;$&quot;* \(#,##0.00\);_(&quot;$&quot;* &quot;-&quot;??_);_(@_)"/>
    <numFmt numFmtId="43" formatCode="_(* #,##0.00_);_(* \(#,##0.00\);_(* &quot;-&quot;??_);_(@_)"/>
    <numFmt numFmtId="164" formatCode="_(* #,##0_);_(* \(#,##0\);_(* &quot;-&quot;??_);_(@_)"/>
    <numFmt numFmtId="165" formatCode="&quot;Year &quot;0"/>
    <numFmt numFmtId="166" formatCode="_(&quot;$&quot;* #,##0_);_(&quot;$&quot;* \(#,##0\);_(&quot;$&quot;* &quot;-&quot;??_);_(@_)"/>
    <numFmt numFmtId="167" formatCode="#,##0\ &quot;SqFt&quot;"/>
    <numFmt numFmtId="168" formatCode="0\ &quot;Start&quot;"/>
    <numFmt numFmtId="169" formatCode="0.000000%"/>
    <numFmt numFmtId="170" formatCode="[$$-540A]#,##0_);[Red]\([$$-540A]#,##0\)"/>
    <numFmt numFmtId="171" formatCode="0.0%"/>
    <numFmt numFmtId="172" formatCode="[$$-540A]#,##0.00_);[Red]\([$$-540A]#,##0.00\)"/>
    <numFmt numFmtId="173" formatCode="[$$-540A]#,##0_);\([$$-540A]#,##0\)"/>
    <numFmt numFmtId="174" formatCode="_-* #,##0_-;\-* #,##0_-;_-* &quot;-&quot;??_-;_-@"/>
    <numFmt numFmtId="175" formatCode="&quot;Year&quot;\ 0"/>
    <numFmt numFmtId="176" formatCode="&quot;Month&quot;\ 0"/>
    <numFmt numFmtId="177" formatCode="0.000%"/>
    <numFmt numFmtId="178" formatCode="0.0000%"/>
  </numFmts>
  <fonts count="71" x14ac:knownFonts="1">
    <font>
      <sz val="12"/>
      <color theme="1"/>
      <name val="Calibri"/>
      <family val="2"/>
      <scheme val="minor"/>
    </font>
    <font>
      <sz val="12"/>
      <color theme="1"/>
      <name val="Calibri"/>
    </font>
    <font>
      <sz val="26"/>
      <color rgb="FFFFFFFF"/>
      <name val="Calibri"/>
    </font>
    <font>
      <sz val="12"/>
      <name val="Calibri"/>
    </font>
    <font>
      <sz val="26"/>
      <color theme="0"/>
      <name val="Calibri"/>
    </font>
    <font>
      <b/>
      <sz val="12"/>
      <color theme="1"/>
      <name val="Calibri"/>
    </font>
    <font>
      <sz val="12"/>
      <color rgb="FF0070C0"/>
      <name val="Calibri"/>
    </font>
    <font>
      <sz val="12"/>
      <color theme="1"/>
      <name val="Calibri"/>
    </font>
    <font>
      <b/>
      <sz val="14"/>
      <color theme="0"/>
      <name val="Calibri"/>
    </font>
    <font>
      <u/>
      <sz val="12"/>
      <color theme="1"/>
      <name val="Calibri"/>
    </font>
    <font>
      <u/>
      <sz val="12"/>
      <color theme="1"/>
      <name val="Calibri"/>
    </font>
    <font>
      <sz val="12"/>
      <color rgb="FF000000"/>
      <name val="Calibri"/>
    </font>
    <font>
      <b/>
      <u/>
      <sz val="12"/>
      <color theme="1"/>
      <name val="Calibri"/>
    </font>
    <font>
      <b/>
      <sz val="10"/>
      <color theme="1"/>
      <name val="Calibri"/>
    </font>
    <font>
      <sz val="12"/>
      <color theme="4"/>
      <name val="Calibri"/>
    </font>
    <font>
      <b/>
      <sz val="14"/>
      <color theme="1"/>
      <name val="Calibri"/>
    </font>
    <font>
      <b/>
      <u/>
      <sz val="12"/>
      <color theme="1"/>
      <name val="Calibri"/>
    </font>
    <font>
      <b/>
      <sz val="12"/>
      <color rgb="FF000000"/>
      <name val="Calibri"/>
    </font>
    <font>
      <b/>
      <i/>
      <sz val="12"/>
      <color theme="1"/>
      <name val="Calibri"/>
    </font>
    <font>
      <b/>
      <u/>
      <sz val="12"/>
      <color theme="1"/>
      <name val="Calibri"/>
    </font>
    <font>
      <sz val="10"/>
      <color theme="1"/>
      <name val="Arial"/>
    </font>
    <font>
      <sz val="8"/>
      <color theme="1"/>
      <name val="Arial"/>
    </font>
    <font>
      <sz val="26"/>
      <color rgb="FFFFFFFF"/>
      <name val="Arial"/>
    </font>
    <font>
      <b/>
      <sz val="10"/>
      <color theme="1"/>
      <name val="Arial"/>
    </font>
    <font>
      <sz val="16"/>
      <color theme="1"/>
      <name val="Arial"/>
    </font>
    <font>
      <i/>
      <sz val="16"/>
      <color theme="1"/>
      <name val="Arial"/>
    </font>
    <font>
      <b/>
      <sz val="16"/>
      <color theme="1"/>
      <name val="Arial"/>
    </font>
    <font>
      <b/>
      <sz val="8"/>
      <color theme="1"/>
      <name val="Arial"/>
    </font>
    <font>
      <b/>
      <sz val="10"/>
      <color rgb="FF0000FF"/>
      <name val="Arial"/>
    </font>
    <font>
      <b/>
      <u/>
      <sz val="10"/>
      <color theme="1"/>
      <name val="Arial"/>
    </font>
    <font>
      <i/>
      <sz val="10"/>
      <color theme="1"/>
      <name val="Arial"/>
    </font>
    <font>
      <sz val="10"/>
      <color rgb="FF0000FF"/>
      <name val="Arial"/>
    </font>
    <font>
      <b/>
      <i/>
      <sz val="10"/>
      <color theme="1"/>
      <name val="Arial"/>
    </font>
    <font>
      <b/>
      <u/>
      <sz val="10"/>
      <color theme="1"/>
      <name val="Arial"/>
    </font>
    <font>
      <sz val="12"/>
      <color theme="1"/>
      <name val="Arial"/>
    </font>
    <font>
      <sz val="11"/>
      <color theme="1"/>
      <name val="Arial"/>
    </font>
    <font>
      <sz val="10"/>
      <color rgb="FF3366FF"/>
      <name val="Arial"/>
    </font>
    <font>
      <b/>
      <sz val="11"/>
      <color theme="1"/>
      <name val="Arial"/>
    </font>
    <font>
      <sz val="10"/>
      <color rgb="FF00B0F0"/>
      <name val="Arial"/>
    </font>
    <font>
      <i/>
      <sz val="8"/>
      <color theme="1"/>
      <name val="Arial"/>
    </font>
    <font>
      <sz val="10"/>
      <color theme="1"/>
      <name val="Calibri"/>
    </font>
    <font>
      <sz val="12"/>
      <color theme="0"/>
      <name val="Calibri"/>
    </font>
    <font>
      <b/>
      <sz val="16"/>
      <color theme="0"/>
      <name val="Calibri"/>
    </font>
    <font>
      <sz val="11"/>
      <color theme="0"/>
      <name val="Calibri"/>
    </font>
    <font>
      <b/>
      <sz val="10"/>
      <color theme="0"/>
      <name val="Calibri"/>
    </font>
    <font>
      <sz val="11"/>
      <color theme="1"/>
      <name val="Calibri"/>
    </font>
    <font>
      <b/>
      <u/>
      <sz val="10"/>
      <color theme="1"/>
      <name val="Calibri"/>
    </font>
    <font>
      <b/>
      <u/>
      <sz val="10"/>
      <color theme="1"/>
      <name val="Calibri"/>
    </font>
    <font>
      <b/>
      <sz val="11"/>
      <color rgb="FF000000"/>
      <name val="Calibri"/>
    </font>
    <font>
      <b/>
      <sz val="11"/>
      <color theme="1"/>
      <name val="Calibri"/>
    </font>
    <font>
      <i/>
      <sz val="10"/>
      <color theme="1"/>
      <name val="Calibri"/>
    </font>
    <font>
      <sz val="10"/>
      <color rgb="FF0000FF"/>
      <name val="Calibri"/>
    </font>
    <font>
      <b/>
      <sz val="13"/>
      <color theme="0"/>
      <name val="Calibri"/>
    </font>
    <font>
      <b/>
      <u/>
      <sz val="10"/>
      <color theme="1"/>
      <name val="Calibri"/>
    </font>
    <font>
      <b/>
      <i/>
      <sz val="10"/>
      <color theme="1"/>
      <name val="Calibri"/>
    </font>
    <font>
      <b/>
      <u/>
      <sz val="10"/>
      <color theme="0"/>
      <name val="Calibri"/>
    </font>
    <font>
      <sz val="10"/>
      <color rgb="FF141413"/>
      <name val="Calibri"/>
    </font>
    <font>
      <b/>
      <sz val="10"/>
      <color rgb="FF141413"/>
      <name val="Calibri"/>
    </font>
    <font>
      <sz val="9"/>
      <color theme="1"/>
      <name val="Calibri"/>
    </font>
    <font>
      <sz val="11"/>
      <color rgb="FF0000FF"/>
      <name val="Calibri"/>
    </font>
    <font>
      <b/>
      <sz val="11"/>
      <color theme="0"/>
      <name val="Calibri"/>
    </font>
    <font>
      <sz val="10"/>
      <color rgb="FF002060"/>
      <name val="Calibri"/>
    </font>
    <font>
      <b/>
      <sz val="18"/>
      <color theme="1"/>
      <name val="Arimo"/>
    </font>
    <font>
      <sz val="10"/>
      <color theme="1"/>
      <name val="Arimo"/>
    </font>
    <font>
      <b/>
      <sz val="13"/>
      <color theme="1"/>
      <name val="Arimo"/>
    </font>
    <font>
      <b/>
      <sz val="10"/>
      <color theme="1"/>
      <name val="Arimo"/>
    </font>
    <font>
      <sz val="10"/>
      <color rgb="FF002060"/>
      <name val="Arimo"/>
    </font>
    <font>
      <b/>
      <sz val="8"/>
      <color theme="1"/>
      <name val="Arimo"/>
    </font>
    <font>
      <i/>
      <sz val="10"/>
      <color theme="1"/>
      <name val="Arimo"/>
    </font>
    <font>
      <sz val="12"/>
      <color theme="1"/>
      <name val="Arimo"/>
    </font>
    <font>
      <b/>
      <i/>
      <sz val="11"/>
      <color theme="1"/>
      <name val="Arimo"/>
    </font>
  </fonts>
  <fills count="21">
    <fill>
      <patternFill patternType="none"/>
    </fill>
    <fill>
      <patternFill patternType="gray125"/>
    </fill>
    <fill>
      <patternFill patternType="solid">
        <fgColor theme="0"/>
        <bgColor theme="0"/>
      </patternFill>
    </fill>
    <fill>
      <patternFill patternType="solid">
        <fgColor theme="4"/>
        <bgColor theme="4"/>
      </patternFill>
    </fill>
    <fill>
      <patternFill patternType="solid">
        <fgColor rgb="FFBFBFBF"/>
        <bgColor rgb="FFBFBFBF"/>
      </patternFill>
    </fill>
    <fill>
      <patternFill patternType="solid">
        <fgColor rgb="FFDEEAF6"/>
        <bgColor rgb="FFDEEAF6"/>
      </patternFill>
    </fill>
    <fill>
      <patternFill patternType="solid">
        <fgColor rgb="FFFFFF00"/>
        <bgColor rgb="FFFFFF00"/>
      </patternFill>
    </fill>
    <fill>
      <patternFill patternType="solid">
        <fgColor rgb="FFDDEBF7"/>
        <bgColor rgb="FFDDEBF7"/>
      </patternFill>
    </fill>
    <fill>
      <patternFill patternType="solid">
        <fgColor rgb="FFD9E2F3"/>
        <bgColor rgb="FFD9E2F3"/>
      </patternFill>
    </fill>
    <fill>
      <patternFill patternType="solid">
        <fgColor rgb="FFECECEC"/>
        <bgColor rgb="FFECECEC"/>
      </patternFill>
    </fill>
    <fill>
      <patternFill patternType="solid">
        <fgColor rgb="FFF2F2F2"/>
        <bgColor rgb="FFF2F2F2"/>
      </patternFill>
    </fill>
    <fill>
      <patternFill patternType="solid">
        <fgColor rgb="FFD8D8D8"/>
        <bgColor rgb="FFD8D8D8"/>
      </patternFill>
    </fill>
    <fill>
      <patternFill patternType="solid">
        <fgColor rgb="FFD0CECE"/>
        <bgColor rgb="FFD0CECE"/>
      </patternFill>
    </fill>
    <fill>
      <patternFill patternType="solid">
        <fgColor rgb="FFDADADA"/>
        <bgColor rgb="FFDADADA"/>
      </patternFill>
    </fill>
    <fill>
      <patternFill patternType="solid">
        <fgColor rgb="FFD6DCE4"/>
        <bgColor rgb="FFD6DCE4"/>
      </patternFill>
    </fill>
    <fill>
      <patternFill patternType="solid">
        <fgColor rgb="FFC0C0C0"/>
        <bgColor rgb="FFC0C0C0"/>
      </patternFill>
    </fill>
    <fill>
      <patternFill patternType="solid">
        <fgColor rgb="FFFFFFFF"/>
        <bgColor rgb="FFFFFFFF"/>
      </patternFill>
    </fill>
    <fill>
      <patternFill patternType="solid">
        <fgColor rgb="FF0070C0"/>
        <bgColor rgb="FF0070C0"/>
      </patternFill>
    </fill>
    <fill>
      <patternFill patternType="solid">
        <fgColor rgb="FFAEABAB"/>
        <bgColor rgb="FFAEABAB"/>
      </patternFill>
    </fill>
    <fill>
      <patternFill patternType="solid">
        <fgColor rgb="FFC5E0B3"/>
        <bgColor rgb="FFC5E0B3"/>
      </patternFill>
    </fill>
    <fill>
      <patternFill patternType="solid">
        <fgColor rgb="FFBDD6EE"/>
        <bgColor rgb="FFBDD6EE"/>
      </patternFill>
    </fill>
  </fills>
  <borders count="69">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top/>
      <bottom/>
      <diagonal/>
    </border>
    <border>
      <left/>
      <right style="thin">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right/>
      <top/>
      <bottom/>
      <diagonal/>
    </border>
    <border>
      <left/>
      <right/>
      <top/>
      <bottom/>
      <diagonal/>
    </border>
    <border>
      <left/>
      <right style="thin">
        <color rgb="FF000000"/>
      </right>
      <top/>
      <bottom/>
      <diagonal/>
    </border>
    <border>
      <left style="thin">
        <color rgb="FF000000"/>
      </left>
      <right/>
      <top/>
      <bottom/>
      <diagonal/>
    </border>
    <border>
      <left/>
      <right style="medium">
        <color rgb="FF000000"/>
      </right>
      <top/>
      <bottom/>
      <diagonal/>
    </border>
    <border>
      <left/>
      <right/>
      <top/>
      <bottom/>
      <diagonal/>
    </border>
    <border>
      <left/>
      <right style="thin">
        <color rgb="FF000000"/>
      </right>
      <top/>
      <bottom/>
      <diagonal/>
    </border>
    <border>
      <left style="thin">
        <color rgb="FF000000"/>
      </left>
      <right/>
      <top/>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medium">
        <color rgb="FF000000"/>
      </left>
      <right/>
      <top style="medium">
        <color rgb="FF000000"/>
      </top>
      <bottom/>
      <diagonal/>
    </border>
    <border>
      <left/>
      <right/>
      <top style="medium">
        <color rgb="FF000000"/>
      </top>
      <bottom/>
      <diagonal/>
    </border>
    <border>
      <left/>
      <right/>
      <top/>
      <bottom style="medium">
        <color rgb="FF000000"/>
      </bottom>
      <diagonal/>
    </border>
    <border>
      <left/>
      <right style="medium">
        <color rgb="FF000000"/>
      </right>
      <top style="medium">
        <color rgb="FF000000"/>
      </top>
      <bottom/>
      <diagonal/>
    </border>
    <border>
      <left style="medium">
        <color rgb="FF000000"/>
      </left>
      <right/>
      <top/>
      <bottom/>
      <diagonal/>
    </border>
    <border>
      <left style="thin">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style="thin">
        <color rgb="FF000000"/>
      </bottom>
      <diagonal/>
    </border>
    <border>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medium">
        <color rgb="FF000000"/>
      </top>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right/>
      <top style="thin">
        <color rgb="FF000000"/>
      </top>
      <bottom style="medium">
        <color rgb="FF000000"/>
      </bottom>
      <diagonal/>
    </border>
    <border>
      <left style="medium">
        <color rgb="FF000000"/>
      </left>
      <right/>
      <top style="medium">
        <color rgb="FF000000"/>
      </top>
      <bottom/>
      <diagonal/>
    </border>
    <border>
      <left/>
      <right/>
      <top/>
      <bottom/>
      <diagonal/>
    </border>
    <border>
      <left/>
      <right style="medium">
        <color rgb="FF000000"/>
      </right>
      <top style="thin">
        <color rgb="FF000000"/>
      </top>
      <bottom style="medium">
        <color rgb="FF000000"/>
      </bottom>
      <diagonal/>
    </border>
    <border>
      <left/>
      <right/>
      <top style="thin">
        <color rgb="FF000000"/>
      </top>
      <bottom/>
      <diagonal/>
    </border>
    <border>
      <left style="hair">
        <color rgb="FF000000"/>
      </left>
      <right style="hair">
        <color rgb="FF000000"/>
      </right>
      <top style="hair">
        <color rgb="FF000000"/>
      </top>
      <bottom style="hair">
        <color rgb="FF000000"/>
      </bottom>
      <diagonal/>
    </border>
    <border>
      <left/>
      <right/>
      <top/>
      <bottom style="hair">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2">
    <xf numFmtId="0" fontId="0" fillId="0" borderId="0" xfId="0" applyFont="1" applyAlignment="1"/>
    <xf numFmtId="0" fontId="1" fillId="2" borderId="1" xfId="0" applyFont="1" applyFill="1" applyBorder="1"/>
    <xf numFmtId="0" fontId="1" fillId="0" borderId="0" xfId="0" applyFont="1"/>
    <xf numFmtId="0" fontId="5" fillId="4" borderId="5" xfId="0" applyFont="1" applyFill="1" applyBorder="1"/>
    <xf numFmtId="0" fontId="5" fillId="4" borderId="6" xfId="0" applyFont="1" applyFill="1" applyBorder="1"/>
    <xf numFmtId="0" fontId="5" fillId="4" borderId="7" xfId="0" applyFont="1" applyFill="1" applyBorder="1"/>
    <xf numFmtId="0" fontId="1" fillId="0" borderId="11" xfId="0" applyFont="1" applyBorder="1"/>
    <xf numFmtId="0" fontId="1" fillId="0" borderId="12" xfId="0" applyFont="1" applyBorder="1"/>
    <xf numFmtId="0" fontId="5" fillId="0" borderId="12" xfId="0" applyFont="1" applyBorder="1"/>
    <xf numFmtId="0" fontId="5" fillId="0" borderId="13" xfId="0" applyFont="1" applyBorder="1"/>
    <xf numFmtId="0" fontId="1" fillId="0" borderId="14" xfId="0" applyFont="1" applyBorder="1"/>
    <xf numFmtId="164" fontId="6" fillId="5" borderId="1" xfId="0" applyNumberFormat="1" applyFont="1" applyFill="1" applyBorder="1"/>
    <xf numFmtId="0" fontId="7" fillId="0" borderId="0" xfId="0" applyFont="1"/>
    <xf numFmtId="164" fontId="6" fillId="6" borderId="15" xfId="0" applyNumberFormat="1" applyFont="1" applyFill="1" applyBorder="1" applyAlignment="1"/>
    <xf numFmtId="43" fontId="1" fillId="0" borderId="0" xfId="0" applyNumberFormat="1" applyFont="1"/>
    <xf numFmtId="43" fontId="1" fillId="0" borderId="20" xfId="0" applyNumberFormat="1" applyFont="1" applyBorder="1"/>
    <xf numFmtId="9" fontId="6" fillId="6" borderId="1" xfId="0" applyNumberFormat="1" applyFont="1" applyFill="1" applyBorder="1" applyAlignment="1"/>
    <xf numFmtId="164" fontId="1" fillId="0" borderId="20" xfId="0" applyNumberFormat="1" applyFont="1" applyBorder="1"/>
    <xf numFmtId="9" fontId="6" fillId="5" borderId="1" xfId="0" applyNumberFormat="1" applyFont="1" applyFill="1" applyBorder="1"/>
    <xf numFmtId="0" fontId="6" fillId="5" borderId="15" xfId="0" applyFont="1" applyFill="1" applyBorder="1"/>
    <xf numFmtId="44" fontId="1" fillId="0" borderId="0" xfId="0" applyNumberFormat="1" applyFont="1"/>
    <xf numFmtId="0" fontId="1" fillId="0" borderId="20" xfId="0" applyFont="1" applyBorder="1"/>
    <xf numFmtId="164" fontId="6" fillId="5" borderId="15" xfId="0" applyNumberFormat="1" applyFont="1" applyFill="1" applyBorder="1"/>
    <xf numFmtId="43" fontId="1" fillId="0" borderId="24" xfId="0" applyNumberFormat="1" applyFont="1" applyBorder="1"/>
    <xf numFmtId="164" fontId="1" fillId="0" borderId="24" xfId="0" applyNumberFormat="1" applyFont="1" applyBorder="1"/>
    <xf numFmtId="43" fontId="1" fillId="0" borderId="25" xfId="0" applyNumberFormat="1" applyFont="1" applyBorder="1"/>
    <xf numFmtId="0" fontId="6" fillId="5" borderId="15" xfId="0" applyFont="1" applyFill="1" applyBorder="1" applyAlignment="1">
      <alignment horizontal="right"/>
    </xf>
    <xf numFmtId="164" fontId="1" fillId="0" borderId="0" xfId="0" applyNumberFormat="1" applyFont="1"/>
    <xf numFmtId="10" fontId="1" fillId="0" borderId="20" xfId="0" applyNumberFormat="1" applyFont="1" applyBorder="1"/>
    <xf numFmtId="0" fontId="1" fillId="0" borderId="31" xfId="0" applyFont="1" applyBorder="1"/>
    <xf numFmtId="0" fontId="1" fillId="0" borderId="27" xfId="0" applyFont="1" applyBorder="1"/>
    <xf numFmtId="43" fontId="1" fillId="0" borderId="32" xfId="0" applyNumberFormat="1" applyFont="1" applyBorder="1"/>
    <xf numFmtId="0" fontId="1" fillId="0" borderId="11" xfId="0" applyFont="1" applyBorder="1" applyAlignment="1">
      <alignment horizontal="right"/>
    </xf>
    <xf numFmtId="9" fontId="1" fillId="0" borderId="12" xfId="0" applyNumberFormat="1" applyFont="1" applyBorder="1"/>
    <xf numFmtId="0" fontId="1" fillId="0" borderId="12" xfId="0" applyFont="1" applyBorder="1" applyAlignment="1">
      <alignment horizontal="right"/>
    </xf>
    <xf numFmtId="1" fontId="6" fillId="7" borderId="33" xfId="0" applyNumberFormat="1" applyFont="1" applyFill="1" applyBorder="1" applyAlignment="1">
      <alignment horizontal="center"/>
    </xf>
    <xf numFmtId="0" fontId="9" fillId="0" borderId="12" xfId="0" applyFont="1" applyBorder="1"/>
    <xf numFmtId="0" fontId="10" fillId="0" borderId="13" xfId="0" applyFont="1" applyBorder="1"/>
    <xf numFmtId="0" fontId="1" fillId="0" borderId="14" xfId="0" applyFont="1" applyBorder="1" applyAlignment="1">
      <alignment horizontal="right"/>
    </xf>
    <xf numFmtId="37" fontId="1" fillId="0" borderId="0" xfId="0" applyNumberFormat="1" applyFont="1"/>
    <xf numFmtId="37" fontId="1" fillId="0" borderId="20" xfId="0" applyNumberFormat="1" applyFont="1" applyBorder="1"/>
    <xf numFmtId="0" fontId="1" fillId="0" borderId="31" xfId="0" applyFont="1" applyBorder="1" applyAlignment="1">
      <alignment horizontal="right"/>
    </xf>
    <xf numFmtId="10" fontId="6" fillId="5" borderId="36" xfId="0" applyNumberFormat="1" applyFont="1" applyFill="1" applyBorder="1"/>
    <xf numFmtId="2" fontId="1" fillId="0" borderId="0" xfId="0" applyNumberFormat="1" applyFont="1"/>
    <xf numFmtId="2" fontId="1" fillId="0" borderId="20" xfId="0" applyNumberFormat="1" applyFont="1" applyBorder="1"/>
    <xf numFmtId="0" fontId="6" fillId="8" borderId="37" xfId="0" applyFont="1" applyFill="1" applyBorder="1" applyAlignment="1">
      <alignment horizontal="right"/>
    </xf>
    <xf numFmtId="0" fontId="1" fillId="9" borderId="38" xfId="0" applyFont="1" applyFill="1" applyBorder="1" applyAlignment="1">
      <alignment horizontal="right"/>
    </xf>
    <xf numFmtId="0" fontId="1" fillId="0" borderId="29" xfId="0" applyFont="1" applyBorder="1"/>
    <xf numFmtId="164" fontId="1" fillId="0" borderId="27" xfId="0" applyNumberFormat="1" applyFont="1" applyBorder="1"/>
    <xf numFmtId="0" fontId="11" fillId="0" borderId="14" xfId="0" applyFont="1" applyBorder="1" applyAlignment="1">
      <alignment vertical="center"/>
    </xf>
    <xf numFmtId="165" fontId="6" fillId="8" borderId="15" xfId="0" applyNumberFormat="1" applyFont="1" applyFill="1" applyBorder="1"/>
    <xf numFmtId="166" fontId="1" fillId="0" borderId="20" xfId="0" applyNumberFormat="1" applyFont="1" applyBorder="1"/>
    <xf numFmtId="10" fontId="6" fillId="5" borderId="1" xfId="0" applyNumberFormat="1" applyFont="1" applyFill="1" applyBorder="1"/>
    <xf numFmtId="0" fontId="1" fillId="9" borderId="1" xfId="0" applyFont="1" applyFill="1" applyBorder="1"/>
    <xf numFmtId="164" fontId="1" fillId="9" borderId="1" xfId="0" applyNumberFormat="1" applyFont="1" applyFill="1" applyBorder="1"/>
    <xf numFmtId="0" fontId="1" fillId="0" borderId="23" xfId="0" applyFont="1" applyBorder="1"/>
    <xf numFmtId="9" fontId="6" fillId="0" borderId="0" xfId="0" applyNumberFormat="1" applyFont="1"/>
    <xf numFmtId="37" fontId="1" fillId="9" borderId="1" xfId="0" applyNumberFormat="1" applyFont="1" applyFill="1" applyBorder="1"/>
    <xf numFmtId="164" fontId="1" fillId="9" borderId="1" xfId="0" applyNumberFormat="1" applyFont="1" applyFill="1" applyBorder="1" applyAlignment="1">
      <alignment horizontal="right"/>
    </xf>
    <xf numFmtId="10" fontId="6" fillId="5" borderId="1" xfId="0" applyNumberFormat="1" applyFont="1" applyFill="1" applyBorder="1" applyAlignment="1">
      <alignment horizontal="left"/>
    </xf>
    <xf numFmtId="0" fontId="1" fillId="9" borderId="1" xfId="0" applyFont="1" applyFill="1" applyBorder="1" applyAlignment="1">
      <alignment horizontal="right"/>
    </xf>
    <xf numFmtId="0" fontId="5" fillId="4" borderId="39" xfId="0" applyFont="1" applyFill="1" applyBorder="1"/>
    <xf numFmtId="10" fontId="6" fillId="8" borderId="15" xfId="0" applyNumberFormat="1" applyFont="1" applyFill="1" applyBorder="1"/>
    <xf numFmtId="0" fontId="1" fillId="0" borderId="13" xfId="0" applyFont="1" applyBorder="1"/>
    <xf numFmtId="0" fontId="5" fillId="0" borderId="40" xfId="0" applyFont="1" applyBorder="1"/>
    <xf numFmtId="0" fontId="5" fillId="4" borderId="38" xfId="0" applyFont="1" applyFill="1" applyBorder="1"/>
    <xf numFmtId="0" fontId="5" fillId="4" borderId="15" xfId="0" applyFont="1" applyFill="1" applyBorder="1" applyAlignment="1">
      <alignment wrapText="1"/>
    </xf>
    <xf numFmtId="0" fontId="5" fillId="4" borderId="1" xfId="0" applyFont="1" applyFill="1" applyBorder="1" applyAlignment="1">
      <alignment wrapText="1"/>
    </xf>
    <xf numFmtId="0" fontId="5" fillId="4" borderId="41" xfId="0" applyFont="1" applyFill="1" applyBorder="1"/>
    <xf numFmtId="0" fontId="5" fillId="0" borderId="14" xfId="0" applyFont="1" applyBorder="1"/>
    <xf numFmtId="0" fontId="5" fillId="0" borderId="0" xfId="0" applyFont="1"/>
    <xf numFmtId="0" fontId="13" fillId="0" borderId="0" xfId="0" applyFont="1"/>
    <xf numFmtId="0" fontId="6" fillId="5" borderId="38" xfId="0" applyFont="1" applyFill="1" applyBorder="1"/>
    <xf numFmtId="164" fontId="6" fillId="5" borderId="41" xfId="0" applyNumberFormat="1" applyFont="1" applyFill="1" applyBorder="1" applyAlignment="1">
      <alignment horizontal="right"/>
    </xf>
    <xf numFmtId="10" fontId="1" fillId="0" borderId="0" xfId="0" applyNumberFormat="1" applyFont="1"/>
    <xf numFmtId="0" fontId="6" fillId="8" borderId="15" xfId="0" applyFont="1" applyFill="1" applyBorder="1"/>
    <xf numFmtId="0" fontId="6" fillId="5" borderId="38" xfId="0" applyFont="1" applyFill="1" applyBorder="1" applyAlignment="1">
      <alignment horizontal="right"/>
    </xf>
    <xf numFmtId="164" fontId="6" fillId="5" borderId="1" xfId="0" applyNumberFormat="1" applyFont="1" applyFill="1" applyBorder="1" applyAlignment="1">
      <alignment horizontal="right"/>
    </xf>
    <xf numFmtId="166" fontId="1" fillId="0" borderId="0" xfId="0" applyNumberFormat="1" applyFont="1"/>
    <xf numFmtId="0" fontId="1" fillId="0" borderId="42" xfId="0" applyFont="1" applyBorder="1"/>
    <xf numFmtId="166" fontId="14" fillId="5" borderId="43" xfId="0" applyNumberFormat="1" applyFont="1" applyFill="1" applyBorder="1"/>
    <xf numFmtId="164" fontId="1" fillId="0" borderId="44" xfId="0" applyNumberFormat="1" applyFont="1" applyBorder="1"/>
    <xf numFmtId="164" fontId="1" fillId="0" borderId="45" xfId="0" applyNumberFormat="1" applyFont="1" applyBorder="1"/>
    <xf numFmtId="0" fontId="1" fillId="0" borderId="32" xfId="0" applyFont="1" applyBorder="1"/>
    <xf numFmtId="0" fontId="1" fillId="0" borderId="46" xfId="0" applyFont="1" applyBorder="1"/>
    <xf numFmtId="0" fontId="1" fillId="0" borderId="47" xfId="0" applyFont="1" applyBorder="1"/>
    <xf numFmtId="164" fontId="1" fillId="0" borderId="47" xfId="0" applyNumberFormat="1" applyFont="1" applyBorder="1"/>
    <xf numFmtId="164" fontId="1" fillId="0" borderId="48" xfId="0" applyNumberFormat="1" applyFont="1" applyBorder="1"/>
    <xf numFmtId="0" fontId="15" fillId="0" borderId="14" xfId="0" applyFont="1" applyBorder="1"/>
    <xf numFmtId="0" fontId="15" fillId="0" borderId="0" xfId="0" applyFont="1"/>
    <xf numFmtId="9" fontId="15" fillId="0" borderId="0" xfId="0" applyNumberFormat="1" applyFont="1"/>
    <xf numFmtId="9" fontId="15" fillId="0" borderId="20" xfId="0" applyNumberFormat="1" applyFont="1" applyBorder="1"/>
    <xf numFmtId="0" fontId="6" fillId="5" borderId="50" xfId="0" applyFont="1" applyFill="1" applyBorder="1" applyAlignment="1">
      <alignment horizontal="right"/>
    </xf>
    <xf numFmtId="0" fontId="6" fillId="5" borderId="51" xfId="0" applyFont="1" applyFill="1" applyBorder="1"/>
    <xf numFmtId="164" fontId="6" fillId="5" borderId="43" xfId="0" applyNumberFormat="1" applyFont="1" applyFill="1" applyBorder="1"/>
    <xf numFmtId="164" fontId="6" fillId="5" borderId="52" xfId="0" applyNumberFormat="1" applyFont="1" applyFill="1" applyBorder="1" applyAlignment="1">
      <alignment horizontal="right"/>
    </xf>
    <xf numFmtId="0" fontId="6" fillId="0" borderId="13" xfId="0" applyFont="1" applyBorder="1"/>
    <xf numFmtId="164" fontId="1" fillId="0" borderId="32" xfId="0" applyNumberFormat="1" applyFont="1" applyBorder="1"/>
    <xf numFmtId="164" fontId="1" fillId="0" borderId="53" xfId="0" applyNumberFormat="1" applyFont="1" applyBorder="1"/>
    <xf numFmtId="164" fontId="1" fillId="0" borderId="25" xfId="0" applyNumberFormat="1" applyFont="1" applyBorder="1"/>
    <xf numFmtId="43" fontId="1" fillId="0" borderId="27" xfId="0" applyNumberFormat="1" applyFont="1" applyBorder="1"/>
    <xf numFmtId="0" fontId="16" fillId="0" borderId="0" xfId="0" applyFont="1"/>
    <xf numFmtId="10" fontId="6" fillId="0" borderId="20" xfId="0" applyNumberFormat="1" applyFont="1" applyBorder="1"/>
    <xf numFmtId="9" fontId="1" fillId="0" borderId="0" xfId="0" applyNumberFormat="1" applyFont="1"/>
    <xf numFmtId="164" fontId="5" fillId="4" borderId="54" xfId="0" applyNumberFormat="1" applyFont="1" applyFill="1" applyBorder="1"/>
    <xf numFmtId="0" fontId="1" fillId="0" borderId="0" xfId="0" applyFont="1" applyAlignment="1">
      <alignment horizontal="right"/>
    </xf>
    <xf numFmtId="166" fontId="5" fillId="0" borderId="20" xfId="0" applyNumberFormat="1" applyFont="1" applyBorder="1"/>
    <xf numFmtId="0" fontId="18" fillId="0" borderId="14" xfId="0" applyFont="1" applyBorder="1"/>
    <xf numFmtId="0" fontId="19" fillId="10" borderId="55" xfId="0" applyFont="1" applyFill="1" applyBorder="1"/>
    <xf numFmtId="0" fontId="1" fillId="10" borderId="33" xfId="0" applyFont="1" applyFill="1" applyBorder="1"/>
    <xf numFmtId="0" fontId="1" fillId="11" borderId="33" xfId="0" applyFont="1" applyFill="1" applyBorder="1"/>
    <xf numFmtId="164" fontId="1" fillId="11" borderId="33" xfId="0" applyNumberFormat="1" applyFont="1" applyFill="1" applyBorder="1"/>
    <xf numFmtId="0" fontId="1" fillId="11" borderId="37" xfId="0" applyFont="1" applyFill="1" applyBorder="1"/>
    <xf numFmtId="0" fontId="5" fillId="10" borderId="38" xfId="0" applyFont="1" applyFill="1" applyBorder="1"/>
    <xf numFmtId="0" fontId="5" fillId="10" borderId="1" xfId="0" applyFont="1" applyFill="1" applyBorder="1"/>
    <xf numFmtId="0" fontId="5" fillId="11" borderId="1" xfId="0" applyFont="1" applyFill="1" applyBorder="1"/>
    <xf numFmtId="10" fontId="5" fillId="11" borderId="1" xfId="0" applyNumberFormat="1" applyFont="1" applyFill="1" applyBorder="1"/>
    <xf numFmtId="0" fontId="5" fillId="11" borderId="1" xfId="0" applyFont="1" applyFill="1" applyBorder="1" applyAlignment="1">
      <alignment horizontal="right"/>
    </xf>
    <xf numFmtId="0" fontId="1" fillId="10" borderId="1" xfId="0" applyFont="1" applyFill="1" applyBorder="1"/>
    <xf numFmtId="0" fontId="1" fillId="11" borderId="1" xfId="0" applyFont="1" applyFill="1" applyBorder="1"/>
    <xf numFmtId="0" fontId="1" fillId="11" borderId="15" xfId="0" applyFont="1" applyFill="1" applyBorder="1"/>
    <xf numFmtId="10" fontId="6" fillId="8" borderId="1" xfId="0" applyNumberFormat="1" applyFont="1" applyFill="1" applyBorder="1"/>
    <xf numFmtId="10" fontId="1" fillId="11" borderId="15" xfId="0" applyNumberFormat="1" applyFont="1" applyFill="1" applyBorder="1"/>
    <xf numFmtId="44" fontId="1" fillId="0" borderId="20" xfId="0" applyNumberFormat="1" applyFont="1" applyBorder="1"/>
    <xf numFmtId="43" fontId="5" fillId="11" borderId="1" xfId="0" applyNumberFormat="1" applyFont="1" applyFill="1" applyBorder="1"/>
    <xf numFmtId="10" fontId="1" fillId="11" borderId="57" xfId="0" applyNumberFormat="1" applyFont="1" applyFill="1" applyBorder="1"/>
    <xf numFmtId="10" fontId="6" fillId="0" borderId="0" xfId="0" applyNumberFormat="1" applyFont="1"/>
    <xf numFmtId="0" fontId="20" fillId="3" borderId="1" xfId="0" applyFont="1" applyFill="1" applyBorder="1"/>
    <xf numFmtId="10" fontId="21" fillId="3" borderId="1" xfId="0" applyNumberFormat="1" applyFont="1" applyFill="1" applyBorder="1"/>
    <xf numFmtId="39" fontId="20" fillId="3" borderId="1" xfId="0" applyNumberFormat="1" applyFont="1" applyFill="1" applyBorder="1"/>
    <xf numFmtId="0" fontId="20" fillId="0" borderId="0" xfId="0" applyFont="1"/>
    <xf numFmtId="0" fontId="22" fillId="3" borderId="1" xfId="0" applyFont="1" applyFill="1" applyBorder="1"/>
    <xf numFmtId="0" fontId="23" fillId="0" borderId="0" xfId="0" applyFont="1"/>
    <xf numFmtId="0" fontId="24" fillId="12" borderId="1" xfId="0" applyFont="1" applyFill="1" applyBorder="1"/>
    <xf numFmtId="0" fontId="25" fillId="12" borderId="1" xfId="0" applyFont="1" applyFill="1" applyBorder="1"/>
    <xf numFmtId="0" fontId="26" fillId="0" borderId="0" xfId="0" applyFont="1"/>
    <xf numFmtId="10" fontId="27" fillId="0" borderId="0" xfId="0" applyNumberFormat="1" applyFont="1"/>
    <xf numFmtId="39" fontId="23" fillId="0" borderId="0" xfId="0" applyNumberFormat="1" applyFont="1"/>
    <xf numFmtId="167" fontId="23" fillId="0" borderId="0" xfId="0" applyNumberFormat="1" applyFont="1" applyAlignment="1">
      <alignment horizontal="right"/>
    </xf>
    <xf numFmtId="0" fontId="21" fillId="0" borderId="58" xfId="0" applyFont="1" applyBorder="1"/>
    <xf numFmtId="165" fontId="23" fillId="0" borderId="58" xfId="0" applyNumberFormat="1" applyFont="1" applyBorder="1" applyAlignment="1">
      <alignment horizontal="right"/>
    </xf>
    <xf numFmtId="0" fontId="23" fillId="0" borderId="27" xfId="0" applyFont="1" applyBorder="1"/>
    <xf numFmtId="168" fontId="28" fillId="5" borderId="36" xfId="0" applyNumberFormat="1" applyFont="1" applyFill="1" applyBorder="1"/>
    <xf numFmtId="168" fontId="23" fillId="0" borderId="27" xfId="0" applyNumberFormat="1" applyFont="1" applyBorder="1"/>
    <xf numFmtId="0" fontId="29" fillId="0" borderId="0" xfId="0" applyFont="1"/>
    <xf numFmtId="169" fontId="20" fillId="0" borderId="0" xfId="0" applyNumberFormat="1" applyFont="1"/>
    <xf numFmtId="170" fontId="20" fillId="0" borderId="0" xfId="0" applyNumberFormat="1" applyFont="1" applyAlignment="1">
      <alignment horizontal="right"/>
    </xf>
    <xf numFmtId="170" fontId="20" fillId="0" borderId="0" xfId="0" applyNumberFormat="1" applyFont="1"/>
    <xf numFmtId="164" fontId="20" fillId="0" borderId="0" xfId="0" applyNumberFormat="1" applyFont="1"/>
    <xf numFmtId="166" fontId="23" fillId="0" borderId="0" xfId="0" applyNumberFormat="1" applyFont="1"/>
    <xf numFmtId="169" fontId="30" fillId="0" borderId="0" xfId="0" applyNumberFormat="1" applyFont="1"/>
    <xf numFmtId="171" fontId="31" fillId="5" borderId="1" xfId="0" applyNumberFormat="1" applyFont="1" applyFill="1" applyBorder="1" applyAlignment="1">
      <alignment horizontal="right"/>
    </xf>
    <xf numFmtId="164" fontId="30" fillId="0" borderId="0" xfId="0" applyNumberFormat="1" applyFont="1" applyAlignment="1">
      <alignment horizontal="left"/>
    </xf>
    <xf numFmtId="172" fontId="20" fillId="0" borderId="0" xfId="0" applyNumberFormat="1" applyFont="1" applyAlignment="1">
      <alignment horizontal="right"/>
    </xf>
    <xf numFmtId="44" fontId="30" fillId="0" borderId="0" xfId="0" applyNumberFormat="1" applyFont="1"/>
    <xf numFmtId="166" fontId="32" fillId="0" borderId="0" xfId="0" applyNumberFormat="1" applyFont="1"/>
    <xf numFmtId="44" fontId="32" fillId="0" borderId="0" xfId="0" applyNumberFormat="1" applyFont="1"/>
    <xf numFmtId="173" fontId="20" fillId="0" borderId="0" xfId="0" applyNumberFormat="1" applyFont="1"/>
    <xf numFmtId="171" fontId="20" fillId="0" borderId="0" xfId="0" applyNumberFormat="1" applyFont="1" applyAlignment="1">
      <alignment horizontal="right"/>
    </xf>
    <xf numFmtId="0" fontId="23" fillId="12" borderId="1" xfId="0" applyFont="1" applyFill="1" applyBorder="1"/>
    <xf numFmtId="0" fontId="20" fillId="12" borderId="1" xfId="0" applyFont="1" applyFill="1" applyBorder="1"/>
    <xf numFmtId="170" fontId="23" fillId="12" borderId="54" xfId="0" applyNumberFormat="1" applyFont="1" applyFill="1" applyBorder="1" applyAlignment="1">
      <alignment horizontal="right"/>
    </xf>
    <xf numFmtId="164" fontId="20" fillId="12" borderId="54" xfId="0" applyNumberFormat="1" applyFont="1" applyFill="1" applyBorder="1"/>
    <xf numFmtId="173" fontId="23" fillId="0" borderId="0" xfId="0" applyNumberFormat="1" applyFont="1"/>
    <xf numFmtId="169" fontId="33" fillId="0" borderId="0" xfId="0" applyNumberFormat="1" applyFont="1"/>
    <xf numFmtId="173" fontId="23" fillId="0" borderId="24" xfId="0" applyNumberFormat="1" applyFont="1" applyBorder="1"/>
    <xf numFmtId="170" fontId="23" fillId="0" borderId="24" xfId="0" applyNumberFormat="1" applyFont="1" applyBorder="1" applyAlignment="1">
      <alignment horizontal="right"/>
    </xf>
    <xf numFmtId="10" fontId="23" fillId="0" borderId="0" xfId="0" applyNumberFormat="1" applyFont="1"/>
    <xf numFmtId="0" fontId="30" fillId="0" borderId="0" xfId="0" applyFont="1"/>
    <xf numFmtId="171" fontId="30" fillId="0" borderId="0" xfId="0" applyNumberFormat="1" applyFont="1" applyAlignment="1">
      <alignment horizontal="right"/>
    </xf>
    <xf numFmtId="0" fontId="32" fillId="0" borderId="0" xfId="0" applyFont="1"/>
    <xf numFmtId="171" fontId="20" fillId="0" borderId="59" xfId="0" applyNumberFormat="1" applyFont="1" applyBorder="1" applyAlignment="1">
      <alignment horizontal="right"/>
    </xf>
    <xf numFmtId="166" fontId="23" fillId="0" borderId="24" xfId="0" applyNumberFormat="1" applyFont="1" applyBorder="1"/>
    <xf numFmtId="39" fontId="20" fillId="0" borderId="0" xfId="0" applyNumberFormat="1" applyFont="1"/>
    <xf numFmtId="164" fontId="34" fillId="0" borderId="0" xfId="0" applyNumberFormat="1" applyFont="1"/>
    <xf numFmtId="39" fontId="23" fillId="13" borderId="1" xfId="0" applyNumberFormat="1" applyFont="1" applyFill="1" applyBorder="1"/>
    <xf numFmtId="0" fontId="20" fillId="13" borderId="1" xfId="0" applyFont="1" applyFill="1" applyBorder="1"/>
    <xf numFmtId="0" fontId="35" fillId="0" borderId="0" xfId="0" applyFont="1"/>
    <xf numFmtId="171" fontId="36" fillId="0" borderId="0" xfId="0" applyNumberFormat="1" applyFont="1" applyAlignment="1">
      <alignment horizontal="right"/>
    </xf>
    <xf numFmtId="10" fontId="23" fillId="0" borderId="0" xfId="0" applyNumberFormat="1" applyFont="1" applyAlignment="1">
      <alignment horizontal="right"/>
    </xf>
    <xf numFmtId="10" fontId="20" fillId="0" borderId="0" xfId="0" applyNumberFormat="1" applyFont="1" applyAlignment="1">
      <alignment horizontal="right"/>
    </xf>
    <xf numFmtId="173" fontId="23" fillId="0" borderId="0" xfId="0" applyNumberFormat="1" applyFont="1" applyAlignment="1">
      <alignment horizontal="right"/>
    </xf>
    <xf numFmtId="166" fontId="20" fillId="0" borderId="0" xfId="0" applyNumberFormat="1" applyFont="1" applyAlignment="1">
      <alignment horizontal="right"/>
    </xf>
    <xf numFmtId="0" fontId="20" fillId="0" borderId="0" xfId="0" applyFont="1" applyAlignment="1">
      <alignment wrapText="1"/>
    </xf>
    <xf numFmtId="173" fontId="20" fillId="0" borderId="0" xfId="0" applyNumberFormat="1" applyFont="1" applyAlignment="1">
      <alignment horizontal="right"/>
    </xf>
    <xf numFmtId="39" fontId="23" fillId="0" borderId="60" xfId="0" applyNumberFormat="1" applyFont="1" applyBorder="1"/>
    <xf numFmtId="0" fontId="23" fillId="0" borderId="60" xfId="0" applyFont="1" applyBorder="1"/>
    <xf numFmtId="171" fontId="23" fillId="0" borderId="60" xfId="0" applyNumberFormat="1" applyFont="1" applyBorder="1"/>
    <xf numFmtId="10" fontId="21" fillId="0" borderId="0" xfId="0" applyNumberFormat="1" applyFont="1"/>
    <xf numFmtId="39" fontId="37" fillId="13" borderId="1" xfId="0" applyNumberFormat="1" applyFont="1" applyFill="1" applyBorder="1"/>
    <xf numFmtId="0" fontId="37" fillId="13" borderId="1" xfId="0" applyFont="1" applyFill="1" applyBorder="1"/>
    <xf numFmtId="9" fontId="38" fillId="14" borderId="1" xfId="0" applyNumberFormat="1" applyFont="1" applyFill="1" applyBorder="1" applyAlignment="1">
      <alignment horizontal="right"/>
    </xf>
    <xf numFmtId="9" fontId="34" fillId="0" borderId="24" xfId="0" applyNumberFormat="1" applyFont="1" applyBorder="1"/>
    <xf numFmtId="164" fontId="34" fillId="0" borderId="24" xfId="0" applyNumberFormat="1" applyFont="1" applyBorder="1"/>
    <xf numFmtId="174" fontId="20" fillId="0" borderId="0" xfId="0" applyNumberFormat="1" applyFont="1"/>
    <xf numFmtId="37" fontId="20" fillId="0" borderId="0" xfId="0" applyNumberFormat="1" applyFont="1"/>
    <xf numFmtId="10" fontId="34" fillId="0" borderId="0" xfId="0" applyNumberFormat="1" applyFont="1"/>
    <xf numFmtId="9" fontId="34" fillId="0" borderId="0" xfId="0" applyNumberFormat="1" applyFont="1"/>
    <xf numFmtId="0" fontId="39" fillId="0" borderId="0" xfId="0" applyFont="1"/>
    <xf numFmtId="170" fontId="39" fillId="0" borderId="0" xfId="0" applyNumberFormat="1" applyFont="1"/>
    <xf numFmtId="10" fontId="39" fillId="0" borderId="0" xfId="0" applyNumberFormat="1" applyFont="1"/>
    <xf numFmtId="39" fontId="39" fillId="0" borderId="0" xfId="0" applyNumberFormat="1" applyFont="1"/>
    <xf numFmtId="0" fontId="40" fillId="15" borderId="55" xfId="0" applyFont="1" applyFill="1" applyBorder="1"/>
    <xf numFmtId="0" fontId="40" fillId="15" borderId="33" xfId="0" applyFont="1" applyFill="1" applyBorder="1"/>
    <xf numFmtId="0" fontId="40" fillId="15" borderId="37" xfId="0" applyFont="1" applyFill="1" applyBorder="1"/>
    <xf numFmtId="0" fontId="40" fillId="0" borderId="0" xfId="0" applyFont="1"/>
    <xf numFmtId="0" fontId="40" fillId="15" borderId="38" xfId="0" applyFont="1" applyFill="1" applyBorder="1"/>
    <xf numFmtId="0" fontId="41" fillId="3" borderId="55" xfId="0" applyFont="1" applyFill="1" applyBorder="1"/>
    <xf numFmtId="0" fontId="42" fillId="3" borderId="33" xfId="0" applyFont="1" applyFill="1" applyBorder="1" applyAlignment="1">
      <alignment horizontal="left" vertical="center"/>
    </xf>
    <xf numFmtId="0" fontId="43" fillId="3" borderId="33" xfId="0" applyFont="1" applyFill="1" applyBorder="1"/>
    <xf numFmtId="0" fontId="44" fillId="3" borderId="33" xfId="0" applyFont="1" applyFill="1" applyBorder="1" applyAlignment="1">
      <alignment horizontal="center"/>
    </xf>
    <xf numFmtId="0" fontId="41" fillId="3" borderId="37" xfId="0" applyFont="1" applyFill="1" applyBorder="1"/>
    <xf numFmtId="0" fontId="45" fillId="16" borderId="33" xfId="0" applyFont="1" applyFill="1" applyBorder="1"/>
    <xf numFmtId="0" fontId="45" fillId="16" borderId="37" xfId="0" applyFont="1" applyFill="1" applyBorder="1"/>
    <xf numFmtId="0" fontId="40" fillId="15" borderId="41" xfId="0" applyFont="1" applyFill="1" applyBorder="1"/>
    <xf numFmtId="0" fontId="45" fillId="0" borderId="0" xfId="0" applyFont="1"/>
    <xf numFmtId="0" fontId="42" fillId="3" borderId="61" xfId="0" applyFont="1" applyFill="1" applyBorder="1"/>
    <xf numFmtId="0" fontId="43" fillId="3" borderId="36" xfId="0" applyFont="1" applyFill="1" applyBorder="1"/>
    <xf numFmtId="0" fontId="42" fillId="3" borderId="36" xfId="0" applyFont="1" applyFill="1" applyBorder="1" applyAlignment="1">
      <alignment horizontal="left" vertical="center"/>
    </xf>
    <xf numFmtId="0" fontId="44" fillId="3" borderId="36" xfId="0" applyFont="1" applyFill="1" applyBorder="1" applyAlignment="1">
      <alignment horizontal="center"/>
    </xf>
    <xf numFmtId="0" fontId="41" fillId="3" borderId="62" xfId="0" applyFont="1" applyFill="1" applyBorder="1"/>
    <xf numFmtId="0" fontId="45" fillId="16" borderId="36" xfId="0" applyFont="1" applyFill="1" applyBorder="1"/>
    <xf numFmtId="0" fontId="45" fillId="16" borderId="62" xfId="0" applyFont="1" applyFill="1" applyBorder="1"/>
    <xf numFmtId="0" fontId="46" fillId="9" borderId="38" xfId="0" applyFont="1" applyFill="1" applyBorder="1" applyAlignment="1">
      <alignment horizontal="left"/>
    </xf>
    <xf numFmtId="10" fontId="47" fillId="9" borderId="1" xfId="0" applyNumberFormat="1" applyFont="1" applyFill="1" applyBorder="1" applyAlignment="1">
      <alignment horizontal="center"/>
    </xf>
    <xf numFmtId="0" fontId="48" fillId="9" borderId="1" xfId="0" applyFont="1" applyFill="1" applyBorder="1" applyAlignment="1">
      <alignment horizontal="right"/>
    </xf>
    <xf numFmtId="175" fontId="49" fillId="9" borderId="1" xfId="0" applyNumberFormat="1" applyFont="1" applyFill="1" applyBorder="1" applyAlignment="1">
      <alignment horizontal="center"/>
    </xf>
    <xf numFmtId="175" fontId="49" fillId="9" borderId="15" xfId="0" applyNumberFormat="1" applyFont="1" applyFill="1" applyBorder="1" applyAlignment="1">
      <alignment horizontal="center"/>
    </xf>
    <xf numFmtId="0" fontId="50" fillId="9" borderId="38" xfId="0" applyFont="1" applyFill="1" applyBorder="1" applyAlignment="1">
      <alignment horizontal="left"/>
    </xf>
    <xf numFmtId="10" fontId="51" fillId="8" borderId="1" xfId="0" applyNumberFormat="1" applyFont="1" applyFill="1" applyBorder="1" applyAlignment="1">
      <alignment horizontal="center"/>
    </xf>
    <xf numFmtId="166" fontId="40" fillId="9" borderId="1" xfId="0" applyNumberFormat="1" applyFont="1" applyFill="1" applyBorder="1"/>
    <xf numFmtId="168" fontId="49" fillId="9" borderId="1" xfId="0" applyNumberFormat="1" applyFont="1" applyFill="1" applyBorder="1" applyAlignment="1">
      <alignment horizontal="center"/>
    </xf>
    <xf numFmtId="168" fontId="49" fillId="9" borderId="15" xfId="0" applyNumberFormat="1" applyFont="1" applyFill="1" applyBorder="1" applyAlignment="1">
      <alignment horizontal="center"/>
    </xf>
    <xf numFmtId="0" fontId="50" fillId="9" borderId="50" xfId="0" applyFont="1" applyFill="1" applyBorder="1" applyAlignment="1">
      <alignment horizontal="left"/>
    </xf>
    <xf numFmtId="10" fontId="51" fillId="8" borderId="43" xfId="0" applyNumberFormat="1" applyFont="1" applyFill="1" applyBorder="1" applyAlignment="1">
      <alignment horizontal="center"/>
    </xf>
    <xf numFmtId="166" fontId="40" fillId="9" borderId="43" xfId="0" applyNumberFormat="1" applyFont="1" applyFill="1" applyBorder="1"/>
    <xf numFmtId="0" fontId="48" fillId="9" borderId="43" xfId="0" applyFont="1" applyFill="1" applyBorder="1" applyAlignment="1">
      <alignment horizontal="right"/>
    </xf>
    <xf numFmtId="14" fontId="49" fillId="9" borderId="1" xfId="0" applyNumberFormat="1" applyFont="1" applyFill="1" applyBorder="1" applyAlignment="1">
      <alignment horizontal="center"/>
    </xf>
    <xf numFmtId="14" fontId="49" fillId="9" borderId="15" xfId="0" applyNumberFormat="1" applyFont="1" applyFill="1" applyBorder="1" applyAlignment="1">
      <alignment horizontal="center"/>
    </xf>
    <xf numFmtId="0" fontId="13" fillId="9" borderId="1" xfId="0" applyFont="1" applyFill="1" applyBorder="1" applyAlignment="1">
      <alignment horizontal="center"/>
    </xf>
    <xf numFmtId="166" fontId="13" fillId="9" borderId="1" xfId="0" applyNumberFormat="1" applyFont="1" applyFill="1" applyBorder="1" applyAlignment="1">
      <alignment horizontal="center"/>
    </xf>
    <xf numFmtId="0" fontId="45" fillId="9" borderId="1" xfId="0" applyFont="1" applyFill="1" applyBorder="1"/>
    <xf numFmtId="9" fontId="40" fillId="9" borderId="1" xfId="0" applyNumberFormat="1" applyFont="1" applyFill="1" applyBorder="1" applyAlignment="1">
      <alignment horizontal="right"/>
    </xf>
    <xf numFmtId="9" fontId="40" fillId="9" borderId="15" xfId="0" applyNumberFormat="1" applyFont="1" applyFill="1" applyBorder="1" applyAlignment="1">
      <alignment horizontal="right"/>
    </xf>
    <xf numFmtId="0" fontId="13" fillId="9" borderId="38" xfId="0" applyFont="1" applyFill="1" applyBorder="1" applyAlignment="1">
      <alignment horizontal="left"/>
    </xf>
    <xf numFmtId="9" fontId="51" fillId="8" borderId="1" xfId="0" applyNumberFormat="1" applyFont="1" applyFill="1" applyBorder="1" applyAlignment="1">
      <alignment horizontal="center"/>
    </xf>
    <xf numFmtId="0" fontId="45" fillId="9" borderId="15" xfId="0" applyFont="1" applyFill="1" applyBorder="1"/>
    <xf numFmtId="0" fontId="13" fillId="9" borderId="1" xfId="0" applyFont="1" applyFill="1" applyBorder="1"/>
    <xf numFmtId="9" fontId="40" fillId="9" borderId="1" xfId="0" applyNumberFormat="1" applyFont="1" applyFill="1" applyBorder="1" applyAlignment="1">
      <alignment horizontal="center"/>
    </xf>
    <xf numFmtId="9" fontId="13" fillId="9" borderId="1" xfId="0" applyNumberFormat="1" applyFont="1" applyFill="1" applyBorder="1" applyAlignment="1">
      <alignment horizontal="center"/>
    </xf>
    <xf numFmtId="9" fontId="51" fillId="8" borderId="1" xfId="0" applyNumberFormat="1" applyFont="1" applyFill="1" applyBorder="1" applyAlignment="1">
      <alignment horizontal="center"/>
    </xf>
    <xf numFmtId="0" fontId="48" fillId="9" borderId="1" xfId="0" applyFont="1" applyFill="1" applyBorder="1"/>
    <xf numFmtId="176" fontId="45" fillId="9" borderId="1" xfId="0" applyNumberFormat="1" applyFont="1" applyFill="1" applyBorder="1"/>
    <xf numFmtId="176" fontId="45" fillId="9" borderId="15" xfId="0" applyNumberFormat="1" applyFont="1" applyFill="1" applyBorder="1"/>
    <xf numFmtId="0" fontId="52" fillId="17" borderId="38" xfId="0" applyFont="1" applyFill="1" applyBorder="1" applyAlignment="1">
      <alignment horizontal="left"/>
    </xf>
    <xf numFmtId="0" fontId="52" fillId="17" borderId="1" xfId="0" applyFont="1" applyFill="1" applyBorder="1"/>
    <xf numFmtId="0" fontId="53" fillId="18" borderId="5" xfId="0" applyFont="1" applyFill="1" applyBorder="1" applyAlignment="1">
      <alignment horizontal="center"/>
    </xf>
    <xf numFmtId="9" fontId="40" fillId="18" borderId="6" xfId="0" applyNumberFormat="1" applyFont="1" applyFill="1" applyBorder="1"/>
    <xf numFmtId="164" fontId="13" fillId="18" borderId="6" xfId="0" applyNumberFormat="1" applyFont="1" applyFill="1" applyBorder="1" applyAlignment="1">
      <alignment horizontal="right"/>
    </xf>
    <xf numFmtId="164" fontId="13" fillId="18" borderId="7" xfId="0" applyNumberFormat="1" applyFont="1" applyFill="1" applyBorder="1" applyAlignment="1">
      <alignment horizontal="right"/>
    </xf>
    <xf numFmtId="164" fontId="13" fillId="15" borderId="1" xfId="0" applyNumberFormat="1" applyFont="1" applyFill="1" applyBorder="1" applyAlignment="1">
      <alignment horizontal="right"/>
    </xf>
    <xf numFmtId="164" fontId="13" fillId="15" borderId="15" xfId="0" applyNumberFormat="1" applyFont="1" applyFill="1" applyBorder="1" applyAlignment="1">
      <alignment horizontal="right"/>
    </xf>
    <xf numFmtId="0" fontId="45" fillId="0" borderId="14" xfId="0" applyFont="1" applyBorder="1" applyAlignment="1">
      <alignment horizontal="left"/>
    </xf>
    <xf numFmtId="0" fontId="45" fillId="0" borderId="0" xfId="0" applyFont="1" applyAlignment="1">
      <alignment horizontal="right"/>
    </xf>
    <xf numFmtId="10" fontId="54" fillId="0" borderId="0" xfId="0" applyNumberFormat="1" applyFont="1"/>
    <xf numFmtId="166" fontId="40" fillId="0" borderId="0" xfId="0" applyNumberFormat="1" applyFont="1"/>
    <xf numFmtId="0" fontId="45" fillId="0" borderId="20" xfId="0" applyFont="1" applyBorder="1"/>
    <xf numFmtId="0" fontId="55" fillId="17" borderId="50" xfId="0" applyFont="1" applyFill="1" applyBorder="1" applyAlignment="1">
      <alignment horizontal="left"/>
    </xf>
    <xf numFmtId="9" fontId="13" fillId="0" borderId="44" xfId="0" applyNumberFormat="1" applyFont="1" applyBorder="1" applyAlignment="1">
      <alignment horizontal="center" vertical="center"/>
    </xf>
    <xf numFmtId="0" fontId="45" fillId="0" borderId="44" xfId="0" applyFont="1" applyBorder="1"/>
    <xf numFmtId="0" fontId="13" fillId="0" borderId="44" xfId="0" applyFont="1" applyBorder="1" applyAlignment="1">
      <alignment horizontal="center"/>
    </xf>
    <xf numFmtId="0" fontId="13" fillId="0" borderId="45" xfId="0" applyFont="1" applyBorder="1" applyAlignment="1">
      <alignment horizontal="center"/>
    </xf>
    <xf numFmtId="0" fontId="40" fillId="0" borderId="14" xfId="0" applyFont="1" applyBorder="1" applyAlignment="1">
      <alignment horizontal="left"/>
    </xf>
    <xf numFmtId="10" fontId="40" fillId="0" borderId="0" xfId="0" applyNumberFormat="1" applyFont="1"/>
    <xf numFmtId="166" fontId="13" fillId="0" borderId="0" xfId="0" applyNumberFormat="1" applyFont="1"/>
    <xf numFmtId="0" fontId="13" fillId="15" borderId="38" xfId="0" applyFont="1" applyFill="1" applyBorder="1"/>
    <xf numFmtId="0" fontId="13" fillId="0" borderId="14" xfId="0" applyFont="1" applyBorder="1" applyAlignment="1">
      <alignment horizontal="left"/>
    </xf>
    <xf numFmtId="10" fontId="13" fillId="0" borderId="0" xfId="0" applyNumberFormat="1" applyFont="1"/>
    <xf numFmtId="166" fontId="13" fillId="12" borderId="1" xfId="0" applyNumberFormat="1" applyFont="1" applyFill="1" applyBorder="1"/>
    <xf numFmtId="0" fontId="13" fillId="15" borderId="41" xfId="0" applyFont="1" applyFill="1" applyBorder="1"/>
    <xf numFmtId="0" fontId="49" fillId="0" borderId="0" xfId="0" applyFont="1"/>
    <xf numFmtId="10" fontId="50" fillId="0" borderId="0" xfId="0" applyNumberFormat="1" applyFont="1"/>
    <xf numFmtId="10" fontId="13" fillId="0" borderId="0" xfId="0" applyNumberFormat="1" applyFont="1" applyAlignment="1">
      <alignment horizontal="right"/>
    </xf>
    <xf numFmtId="0" fontId="50" fillId="0" borderId="0" xfId="0" applyFont="1"/>
    <xf numFmtId="0" fontId="54" fillId="0" borderId="0" xfId="0" applyFont="1"/>
    <xf numFmtId="166" fontId="13" fillId="0" borderId="20" xfId="0" applyNumberFormat="1" applyFont="1" applyBorder="1"/>
    <xf numFmtId="10" fontId="13" fillId="0" borderId="44" xfId="0" applyNumberFormat="1" applyFont="1" applyBorder="1" applyAlignment="1">
      <alignment horizontal="center" vertical="center"/>
    </xf>
    <xf numFmtId="10" fontId="45" fillId="0" borderId="0" xfId="0" applyNumberFormat="1" applyFont="1"/>
    <xf numFmtId="0" fontId="56" fillId="0" borderId="0" xfId="0" applyFont="1"/>
    <xf numFmtId="164" fontId="40" fillId="0" borderId="0" xfId="0" applyNumberFormat="1" applyFont="1"/>
    <xf numFmtId="0" fontId="57" fillId="0" borderId="0" xfId="0" applyFont="1" applyAlignment="1">
      <alignment horizontal="right"/>
    </xf>
    <xf numFmtId="166" fontId="13" fillId="0" borderId="44" xfId="0" applyNumberFormat="1" applyFont="1" applyBorder="1" applyAlignment="1">
      <alignment horizontal="center"/>
    </xf>
    <xf numFmtId="166" fontId="13" fillId="0" borderId="45" xfId="0" applyNumberFormat="1" applyFont="1" applyBorder="1" applyAlignment="1">
      <alignment horizontal="center"/>
    </xf>
    <xf numFmtId="166" fontId="56" fillId="0" borderId="0" xfId="0" applyNumberFormat="1" applyFont="1"/>
    <xf numFmtId="9" fontId="58" fillId="0" borderId="0" xfId="0" applyNumberFormat="1" applyFont="1"/>
    <xf numFmtId="166" fontId="40" fillId="0" borderId="20" xfId="0" applyNumberFormat="1" applyFont="1" applyBorder="1"/>
    <xf numFmtId="9" fontId="13" fillId="15" borderId="43" xfId="0" applyNumberFormat="1" applyFont="1" applyFill="1" applyBorder="1" applyAlignment="1">
      <alignment horizontal="center" vertical="center"/>
    </xf>
    <xf numFmtId="0" fontId="48" fillId="15" borderId="43" xfId="0" applyFont="1" applyFill="1" applyBorder="1" applyAlignment="1">
      <alignment horizontal="center"/>
    </xf>
    <xf numFmtId="0" fontId="13" fillId="15" borderId="43" xfId="0" applyFont="1" applyFill="1" applyBorder="1" applyAlignment="1">
      <alignment horizontal="center"/>
    </xf>
    <xf numFmtId="0" fontId="13" fillId="15" borderId="51" xfId="0" applyFont="1" applyFill="1" applyBorder="1" applyAlignment="1">
      <alignment horizontal="center"/>
    </xf>
    <xf numFmtId="0" fontId="40" fillId="15" borderId="38" xfId="0" applyFont="1" applyFill="1" applyBorder="1" applyAlignment="1">
      <alignment horizontal="left"/>
    </xf>
    <xf numFmtId="166" fontId="13" fillId="15" borderId="1" xfId="0" applyNumberFormat="1" applyFont="1" applyFill="1" applyBorder="1"/>
    <xf numFmtId="0" fontId="40" fillId="15" borderId="1" xfId="0" applyFont="1" applyFill="1" applyBorder="1"/>
    <xf numFmtId="166" fontId="13" fillId="15" borderId="1" xfId="0" applyNumberFormat="1" applyFont="1" applyFill="1" applyBorder="1" applyAlignment="1">
      <alignment horizontal="center"/>
    </xf>
    <xf numFmtId="166" fontId="13" fillId="19" borderId="1" xfId="0" applyNumberFormat="1" applyFont="1" applyFill="1" applyBorder="1" applyAlignment="1">
      <alignment horizontal="center"/>
    </xf>
    <xf numFmtId="166" fontId="13" fillId="15" borderId="15" xfId="0" applyNumberFormat="1" applyFont="1" applyFill="1" applyBorder="1" applyAlignment="1">
      <alignment horizontal="center"/>
    </xf>
    <xf numFmtId="166" fontId="13" fillId="15" borderId="43" xfId="0" applyNumberFormat="1" applyFont="1" applyFill="1" applyBorder="1"/>
    <xf numFmtId="166" fontId="13" fillId="15" borderId="43" xfId="0" applyNumberFormat="1" applyFont="1" applyFill="1" applyBorder="1" applyAlignment="1">
      <alignment horizontal="center"/>
    </xf>
    <xf numFmtId="166" fontId="13" fillId="15" borderId="51" xfId="0" applyNumberFormat="1" applyFont="1" applyFill="1" applyBorder="1" applyAlignment="1">
      <alignment horizontal="center"/>
    </xf>
    <xf numFmtId="10" fontId="13" fillId="15" borderId="1" xfId="0" applyNumberFormat="1" applyFont="1" applyFill="1" applyBorder="1" applyAlignment="1">
      <alignment horizontal="center"/>
    </xf>
    <xf numFmtId="2" fontId="13" fillId="15" borderId="1" xfId="0" applyNumberFormat="1" applyFont="1" applyFill="1" applyBorder="1" applyAlignment="1">
      <alignment horizontal="center"/>
    </xf>
    <xf numFmtId="166" fontId="13" fillId="0" borderId="0" xfId="0" applyNumberFormat="1" applyFont="1" applyAlignment="1">
      <alignment horizontal="center"/>
    </xf>
    <xf numFmtId="0" fontId="45" fillId="15" borderId="43" xfId="0" applyFont="1" applyFill="1" applyBorder="1"/>
    <xf numFmtId="166" fontId="40" fillId="15" borderId="41" xfId="0" applyNumberFormat="1" applyFont="1" applyFill="1" applyBorder="1"/>
    <xf numFmtId="10" fontId="45" fillId="0" borderId="20" xfId="0" applyNumberFormat="1" applyFont="1" applyBorder="1"/>
    <xf numFmtId="0" fontId="48" fillId="0" borderId="42" xfId="0" applyFont="1" applyBorder="1" applyAlignment="1">
      <alignment horizontal="left"/>
    </xf>
    <xf numFmtId="0" fontId="48" fillId="0" borderId="44" xfId="0" applyFont="1" applyBorder="1"/>
    <xf numFmtId="177" fontId="45" fillId="0" borderId="0" xfId="0" applyNumberFormat="1" applyFont="1"/>
    <xf numFmtId="166" fontId="59" fillId="0" borderId="0" xfId="0" applyNumberFormat="1" applyFont="1"/>
    <xf numFmtId="0" fontId="45" fillId="0" borderId="42" xfId="0" applyFont="1" applyBorder="1" applyAlignment="1">
      <alignment horizontal="left"/>
    </xf>
    <xf numFmtId="166" fontId="40" fillId="0" borderId="44" xfId="0" applyNumberFormat="1" applyFont="1" applyBorder="1"/>
    <xf numFmtId="0" fontId="45" fillId="0" borderId="44" xfId="0" applyFont="1" applyBorder="1" applyAlignment="1">
      <alignment horizontal="center"/>
    </xf>
    <xf numFmtId="166" fontId="40" fillId="0" borderId="45" xfId="0" applyNumberFormat="1" applyFont="1" applyBorder="1"/>
    <xf numFmtId="10" fontId="40" fillId="0" borderId="0" xfId="0" applyNumberFormat="1" applyFont="1" applyAlignment="1">
      <alignment horizontal="center"/>
    </xf>
    <xf numFmtId="2" fontId="40" fillId="0" borderId="0" xfId="0" applyNumberFormat="1" applyFont="1" applyAlignment="1">
      <alignment horizontal="center"/>
    </xf>
    <xf numFmtId="10" fontId="13" fillId="0" borderId="0" xfId="0" applyNumberFormat="1" applyFont="1" applyAlignment="1">
      <alignment horizontal="center"/>
    </xf>
    <xf numFmtId="2" fontId="13" fillId="0" borderId="0" xfId="0" applyNumberFormat="1" applyFont="1" applyAlignment="1">
      <alignment horizontal="center"/>
    </xf>
    <xf numFmtId="178" fontId="45" fillId="0" borderId="0" xfId="0" applyNumberFormat="1" applyFont="1"/>
    <xf numFmtId="0" fontId="45" fillId="0" borderId="31" xfId="0" applyFont="1" applyBorder="1" applyAlignment="1">
      <alignment horizontal="left"/>
    </xf>
    <xf numFmtId="166" fontId="40" fillId="0" borderId="27" xfId="0" applyNumberFormat="1" applyFont="1" applyBorder="1"/>
    <xf numFmtId="10" fontId="40" fillId="0" borderId="27" xfId="0" applyNumberFormat="1" applyFont="1" applyBorder="1" applyAlignment="1">
      <alignment horizontal="center"/>
    </xf>
    <xf numFmtId="2" fontId="40" fillId="0" borderId="27" xfId="0" applyNumberFormat="1" applyFont="1" applyBorder="1" applyAlignment="1">
      <alignment horizontal="center"/>
    </xf>
    <xf numFmtId="166" fontId="40" fillId="0" borderId="32" xfId="0" applyNumberFormat="1" applyFont="1" applyBorder="1"/>
    <xf numFmtId="0" fontId="40" fillId="15" borderId="61" xfId="0" applyFont="1" applyFill="1" applyBorder="1"/>
    <xf numFmtId="0" fontId="40" fillId="15" borderId="6" xfId="0" applyFont="1" applyFill="1" applyBorder="1"/>
    <xf numFmtId="0" fontId="40" fillId="15" borderId="62" xfId="0" applyFont="1" applyFill="1" applyBorder="1"/>
    <xf numFmtId="0" fontId="45" fillId="0" borderId="0" xfId="0" applyFont="1" applyAlignment="1">
      <alignment horizontal="left"/>
    </xf>
    <xf numFmtId="8" fontId="45" fillId="0" borderId="0" xfId="0" applyNumberFormat="1" applyFont="1"/>
    <xf numFmtId="0" fontId="40" fillId="4" borderId="5" xfId="0" applyFont="1" applyFill="1" applyBorder="1"/>
    <xf numFmtId="0" fontId="60" fillId="17" borderId="6" xfId="0" applyFont="1" applyFill="1" applyBorder="1" applyAlignment="1">
      <alignment horizontal="left"/>
    </xf>
    <xf numFmtId="0" fontId="43" fillId="17" borderId="6" xfId="0" applyFont="1" applyFill="1" applyBorder="1"/>
    <xf numFmtId="0" fontId="45" fillId="4" borderId="6" xfId="0" applyFont="1" applyFill="1" applyBorder="1"/>
    <xf numFmtId="0" fontId="45" fillId="0" borderId="3" xfId="0" applyFont="1" applyBorder="1"/>
    <xf numFmtId="0" fontId="40" fillId="4" borderId="7" xfId="0" applyFont="1" applyFill="1" applyBorder="1"/>
    <xf numFmtId="0" fontId="40" fillId="0" borderId="11" xfId="0" applyFont="1" applyBorder="1"/>
    <xf numFmtId="0" fontId="40" fillId="0" borderId="12" xfId="0" applyFont="1" applyBorder="1" applyAlignment="1">
      <alignment horizontal="left"/>
    </xf>
    <xf numFmtId="0" fontId="40" fillId="0" borderId="12" xfId="0" applyFont="1" applyBorder="1"/>
    <xf numFmtId="0" fontId="40" fillId="0" borderId="13" xfId="0" applyFont="1" applyBorder="1"/>
    <xf numFmtId="0" fontId="40" fillId="0" borderId="14" xfId="0" applyFont="1" applyBorder="1"/>
    <xf numFmtId="0" fontId="13" fillId="0" borderId="0" xfId="0" applyFont="1" applyAlignment="1">
      <alignment horizontal="left"/>
    </xf>
    <xf numFmtId="43" fontId="61" fillId="8" borderId="1" xfId="0" applyNumberFormat="1" applyFont="1" applyFill="1" applyBorder="1"/>
    <xf numFmtId="44" fontId="40" fillId="0" borderId="0" xfId="0" applyNumberFormat="1" applyFont="1"/>
    <xf numFmtId="0" fontId="40" fillId="0" borderId="20" xfId="0" applyFont="1" applyBorder="1"/>
    <xf numFmtId="0" fontId="40" fillId="0" borderId="0" xfId="0" applyFont="1" applyAlignment="1">
      <alignment horizontal="left"/>
    </xf>
    <xf numFmtId="10" fontId="40" fillId="15" borderId="1" xfId="0" applyNumberFormat="1" applyFont="1" applyFill="1" applyBorder="1" applyAlignment="1">
      <alignment horizontal="right"/>
    </xf>
    <xf numFmtId="9" fontId="40" fillId="0" borderId="0" xfId="0" applyNumberFormat="1" applyFont="1"/>
    <xf numFmtId="0" fontId="40" fillId="0" borderId="31" xfId="0" applyFont="1" applyBorder="1"/>
    <xf numFmtId="0" fontId="40" fillId="0" borderId="27" xfId="0" applyFont="1" applyBorder="1" applyAlignment="1">
      <alignment horizontal="left"/>
    </xf>
    <xf numFmtId="0" fontId="40" fillId="0" borderId="27" xfId="0" applyFont="1" applyBorder="1"/>
    <xf numFmtId="0" fontId="40" fillId="0" borderId="32" xfId="0" applyFont="1" applyBorder="1"/>
    <xf numFmtId="0" fontId="62" fillId="0" borderId="44" xfId="0" applyFont="1" applyBorder="1"/>
    <xf numFmtId="0" fontId="63" fillId="0" borderId="44" xfId="0" applyFont="1" applyBorder="1"/>
    <xf numFmtId="0" fontId="64" fillId="0" borderId="44" xfId="0" applyFont="1" applyBorder="1"/>
    <xf numFmtId="0" fontId="63" fillId="0" borderId="0" xfId="0" applyFont="1"/>
    <xf numFmtId="0" fontId="65" fillId="0" borderId="44" xfId="0" applyFont="1" applyBorder="1"/>
    <xf numFmtId="0" fontId="63" fillId="0" borderId="44" xfId="0" applyFont="1" applyBorder="1" applyAlignment="1">
      <alignment horizontal="right"/>
    </xf>
    <xf numFmtId="7" fontId="65" fillId="0" borderId="44" xfId="0" applyNumberFormat="1" applyFont="1" applyBorder="1" applyAlignment="1">
      <alignment horizontal="left"/>
    </xf>
    <xf numFmtId="0" fontId="63" fillId="0" borderId="0" xfId="0" applyFont="1" applyAlignment="1">
      <alignment horizontal="right"/>
    </xf>
    <xf numFmtId="43" fontId="63" fillId="0" borderId="23" xfId="0" applyNumberFormat="1" applyFont="1" applyBorder="1"/>
    <xf numFmtId="14" fontId="63" fillId="0" borderId="23" xfId="0" applyNumberFormat="1" applyFont="1" applyBorder="1" applyAlignment="1">
      <alignment horizontal="left"/>
    </xf>
    <xf numFmtId="10" fontId="63" fillId="0" borderId="23" xfId="0" applyNumberFormat="1" applyFont="1" applyBorder="1" applyAlignment="1">
      <alignment horizontal="left"/>
    </xf>
    <xf numFmtId="0" fontId="63" fillId="0" borderId="23" xfId="0" applyFont="1" applyBorder="1" applyAlignment="1">
      <alignment horizontal="left"/>
    </xf>
    <xf numFmtId="4" fontId="66" fillId="20" borderId="63" xfId="0" applyNumberFormat="1" applyFont="1" applyFill="1" applyBorder="1" applyAlignment="1">
      <alignment horizontal="left"/>
    </xf>
    <xf numFmtId="0" fontId="65" fillId="0" borderId="0" xfId="0" applyFont="1"/>
    <xf numFmtId="0" fontId="66" fillId="20" borderId="63" xfId="0" applyFont="1" applyFill="1" applyBorder="1" applyAlignment="1">
      <alignment horizontal="left"/>
    </xf>
    <xf numFmtId="0" fontId="67" fillId="0" borderId="0" xfId="0" applyFont="1"/>
    <xf numFmtId="8" fontId="63" fillId="0" borderId="0" xfId="0" applyNumberFormat="1" applyFont="1"/>
    <xf numFmtId="14" fontId="66" fillId="20" borderId="63" xfId="0" applyNumberFormat="1" applyFont="1" applyFill="1" applyBorder="1" applyAlignment="1">
      <alignment horizontal="left"/>
    </xf>
    <xf numFmtId="7" fontId="65" fillId="0" borderId="0" xfId="0" applyNumberFormat="1" applyFont="1"/>
    <xf numFmtId="0" fontId="68" fillId="0" borderId="0" xfId="0" applyFont="1"/>
    <xf numFmtId="7" fontId="65" fillId="0" borderId="0" xfId="0" applyNumberFormat="1" applyFont="1" applyAlignment="1">
      <alignment horizontal="right"/>
    </xf>
    <xf numFmtId="7" fontId="63" fillId="0" borderId="0" xfId="0" applyNumberFormat="1" applyFont="1" applyAlignment="1">
      <alignment horizontal="left"/>
    </xf>
    <xf numFmtId="4" fontId="63" fillId="0" borderId="0" xfId="0" applyNumberFormat="1" applyFont="1"/>
    <xf numFmtId="0" fontId="63" fillId="0" borderId="0" xfId="0" applyFont="1" applyAlignment="1">
      <alignment horizontal="left"/>
    </xf>
    <xf numFmtId="0" fontId="65" fillId="0" borderId="64" xfId="0" applyFont="1" applyBorder="1" applyAlignment="1">
      <alignment horizontal="center"/>
    </xf>
    <xf numFmtId="0" fontId="65" fillId="0" borderId="65" xfId="0" applyFont="1" applyBorder="1" applyAlignment="1">
      <alignment horizontal="center"/>
    </xf>
    <xf numFmtId="0" fontId="63" fillId="0" borderId="66" xfId="0" applyFont="1" applyBorder="1" applyAlignment="1">
      <alignment horizontal="center"/>
    </xf>
    <xf numFmtId="0" fontId="63" fillId="0" borderId="64" xfId="0" applyFont="1" applyBorder="1" applyAlignment="1">
      <alignment horizontal="center"/>
    </xf>
    <xf numFmtId="14" fontId="69" fillId="0" borderId="64" xfId="0" applyNumberFormat="1" applyFont="1" applyBorder="1" applyAlignment="1">
      <alignment horizontal="center"/>
    </xf>
    <xf numFmtId="4" fontId="63" fillId="0" borderId="64" xfId="0" applyNumberFormat="1" applyFont="1" applyBorder="1" applyAlignment="1">
      <alignment horizontal="center"/>
    </xf>
    <xf numFmtId="14" fontId="63" fillId="0" borderId="0" xfId="0" applyNumberFormat="1" applyFont="1"/>
    <xf numFmtId="0" fontId="70" fillId="0" borderId="67" xfId="0" applyFont="1" applyBorder="1" applyAlignment="1">
      <alignment horizontal="right"/>
    </xf>
    <xf numFmtId="0" fontId="70" fillId="0" borderId="68" xfId="0" applyFont="1" applyBorder="1"/>
    <xf numFmtId="4" fontId="70" fillId="0" borderId="66" xfId="0" applyNumberFormat="1" applyFont="1" applyBorder="1" applyAlignment="1">
      <alignment horizontal="center"/>
    </xf>
    <xf numFmtId="4" fontId="70" fillId="0" borderId="66" xfId="0" applyNumberFormat="1" applyFont="1" applyBorder="1"/>
    <xf numFmtId="7" fontId="63" fillId="0" borderId="23" xfId="0" applyNumberFormat="1" applyFont="1" applyBorder="1" applyAlignment="1">
      <alignment horizontal="left"/>
    </xf>
    <xf numFmtId="4" fontId="63" fillId="0" borderId="23" xfId="0" applyNumberFormat="1" applyFont="1" applyBorder="1" applyAlignment="1">
      <alignment horizontal="left"/>
    </xf>
    <xf numFmtId="7" fontId="65" fillId="0" borderId="0" xfId="0" applyNumberFormat="1" applyFont="1" applyAlignment="1">
      <alignment horizontal="left"/>
    </xf>
    <xf numFmtId="14" fontId="63" fillId="0" borderId="64" xfId="0" applyNumberFormat="1" applyFont="1" applyBorder="1" applyAlignment="1">
      <alignment horizontal="center"/>
    </xf>
    <xf numFmtId="0" fontId="2" fillId="3" borderId="2" xfId="0" applyFont="1" applyFill="1" applyBorder="1" applyAlignment="1">
      <alignment horizontal="center"/>
    </xf>
    <xf numFmtId="0" fontId="3" fillId="0" borderId="3" xfId="0" applyFont="1" applyBorder="1"/>
    <xf numFmtId="0" fontId="3" fillId="0" borderId="4" xfId="0" applyFont="1" applyBorder="1"/>
    <xf numFmtId="0" fontId="4" fillId="3" borderId="2" xfId="0" applyFont="1" applyFill="1" applyBorder="1" applyAlignment="1">
      <alignment horizontal="center"/>
    </xf>
    <xf numFmtId="0" fontId="5" fillId="4" borderId="8" xfId="0" applyFont="1" applyFill="1" applyBorder="1" applyAlignment="1">
      <alignment horizontal="center"/>
    </xf>
    <xf numFmtId="0" fontId="3" fillId="0" borderId="9" xfId="0" applyFont="1" applyBorder="1"/>
    <xf numFmtId="0" fontId="3" fillId="0" borderId="10" xfId="0" applyFont="1" applyBorder="1"/>
    <xf numFmtId="0" fontId="1" fillId="5" borderId="16" xfId="0" applyFont="1" applyFill="1" applyBorder="1"/>
    <xf numFmtId="0" fontId="3" fillId="0" borderId="17" xfId="0" applyFont="1" applyBorder="1"/>
    <xf numFmtId="0" fontId="3" fillId="0" borderId="18" xfId="0" applyFont="1" applyBorder="1"/>
    <xf numFmtId="0" fontId="3" fillId="0" borderId="21" xfId="0" applyFont="1" applyBorder="1"/>
    <xf numFmtId="0" fontId="0" fillId="0" borderId="0" xfId="0" applyFont="1" applyAlignment="1"/>
    <xf numFmtId="0" fontId="3" fillId="0" borderId="22" xfId="0" applyFont="1" applyBorder="1"/>
    <xf numFmtId="0" fontId="3" fillId="0" borderId="26" xfId="0" applyFont="1" applyBorder="1"/>
    <xf numFmtId="0" fontId="3" fillId="0" borderId="27" xfId="0" applyFont="1" applyBorder="1"/>
    <xf numFmtId="0" fontId="3" fillId="0" borderId="28" xfId="0" applyFont="1" applyBorder="1"/>
    <xf numFmtId="0" fontId="1" fillId="5" borderId="19" xfId="0" applyFont="1" applyFill="1" applyBorder="1"/>
    <xf numFmtId="0" fontId="3" fillId="0" borderId="23" xfId="0" applyFont="1" applyBorder="1"/>
    <xf numFmtId="0" fontId="3" fillId="0" borderId="29" xfId="0" applyFont="1" applyBorder="1"/>
    <xf numFmtId="0" fontId="8" fillId="3" borderId="30" xfId="0" applyFont="1" applyFill="1" applyBorder="1" applyAlignment="1">
      <alignment horizontal="center"/>
    </xf>
    <xf numFmtId="0" fontId="4" fillId="3" borderId="34" xfId="0" applyFont="1" applyFill="1" applyBorder="1" applyAlignment="1">
      <alignment horizontal="center"/>
    </xf>
    <xf numFmtId="0" fontId="3" fillId="0" borderId="35" xfId="0" applyFont="1" applyBorder="1"/>
    <xf numFmtId="0" fontId="11" fillId="0" borderId="11" xfId="0" applyFont="1" applyBorder="1" applyAlignment="1">
      <alignment vertical="center"/>
    </xf>
    <xf numFmtId="0" fontId="3" fillId="0" borderId="12" xfId="0" applyFont="1" applyBorder="1"/>
    <xf numFmtId="0" fontId="11" fillId="0" borderId="14" xfId="0" applyFont="1" applyBorder="1" applyAlignment="1">
      <alignment vertical="center"/>
    </xf>
    <xf numFmtId="0" fontId="5" fillId="4" borderId="2" xfId="0" applyFont="1" applyFill="1" applyBorder="1" applyAlignment="1">
      <alignment horizontal="center"/>
    </xf>
    <xf numFmtId="0" fontId="12" fillId="0" borderId="0" xfId="0" applyFont="1" applyAlignment="1">
      <alignment horizontal="center"/>
    </xf>
    <xf numFmtId="0" fontId="3" fillId="0" borderId="20" xfId="0" applyFont="1" applyBorder="1"/>
    <xf numFmtId="0" fontId="3" fillId="0" borderId="49" xfId="0" applyFont="1" applyBorder="1"/>
    <xf numFmtId="0" fontId="1" fillId="0" borderId="14" xfId="0" applyFont="1" applyBorder="1"/>
    <xf numFmtId="0" fontId="17" fillId="0" borderId="14" xfId="0" applyFont="1" applyBorder="1" applyAlignment="1">
      <alignment vertical="center"/>
    </xf>
    <xf numFmtId="0" fontId="5" fillId="11" borderId="56" xfId="0" applyFont="1" applyFill="1" applyBorder="1" applyAlignment="1">
      <alignment horizontal="right"/>
    </xf>
    <xf numFmtId="0" fontId="5" fillId="4" borderId="34" xfId="0" applyFont="1" applyFill="1" applyBorder="1" applyAlignment="1">
      <alignment horizontal="center"/>
    </xf>
  </cellXfs>
  <cellStyles count="1">
    <cellStyle name="Normal" xfId="0" builtinId="0"/>
  </cellStyles>
  <dxfs count="24">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10" Type="http://customschemas.google.com/relationships/workbookmetadata" Target="metadata"/><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 Id="rId14"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4</xdr:col>
      <xdr:colOff>504825</xdr:colOff>
      <xdr:row>3</xdr:row>
      <xdr:rowOff>19050</xdr:rowOff>
    </xdr:from>
    <xdr:ext cx="2400300" cy="1381125"/>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800100</xdr:colOff>
      <xdr:row>3</xdr:row>
      <xdr:rowOff>85725</xdr:rowOff>
    </xdr:from>
    <xdr:ext cx="2924175" cy="1228725"/>
    <xdr:pic>
      <xdr:nvPicPr>
        <xdr:cNvPr id="3" name="image2.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rgb="FF385623"/>
    <pageSetUpPr fitToPage="1"/>
  </sheetPr>
  <dimension ref="A1:Z1000"/>
  <sheetViews>
    <sheetView showGridLines="0" tabSelected="1" workbookViewId="0"/>
  </sheetViews>
  <sheetFormatPr baseColWidth="10" defaultColWidth="11.1640625" defaultRowHeight="15" customHeight="1" x14ac:dyDescent="0.2"/>
  <cols>
    <col min="1" max="1" width="15.1640625" customWidth="1"/>
    <col min="2" max="2" width="11.1640625" customWidth="1"/>
    <col min="3" max="3" width="11" customWidth="1"/>
    <col min="4" max="4" width="21.33203125" customWidth="1"/>
    <col min="5" max="5" width="14.33203125" customWidth="1"/>
    <col min="6" max="6" width="16" customWidth="1"/>
    <col min="7" max="7" width="14" customWidth="1"/>
    <col min="8" max="8" width="12.83203125" customWidth="1"/>
    <col min="9" max="9" width="7.5" customWidth="1"/>
    <col min="10" max="10" width="11" customWidth="1"/>
    <col min="11" max="11" width="7.6640625" customWidth="1"/>
    <col min="12" max="12" width="14" customWidth="1"/>
    <col min="13" max="13" width="11" customWidth="1"/>
    <col min="14" max="14" width="11.83203125" customWidth="1"/>
    <col min="15" max="15" width="4.6640625" customWidth="1"/>
    <col min="16" max="16" width="13" customWidth="1"/>
    <col min="17" max="17" width="15" customWidth="1"/>
    <col min="18" max="18" width="19.83203125" customWidth="1"/>
    <col min="19" max="19" width="11.5" customWidth="1"/>
  </cols>
  <sheetData>
    <row r="1" spans="1:26" ht="16.5" customHeight="1" x14ac:dyDescent="0.2">
      <c r="A1" s="1"/>
      <c r="B1" s="1"/>
      <c r="C1" s="1"/>
      <c r="D1" s="1"/>
      <c r="E1" s="1"/>
      <c r="F1" s="1"/>
      <c r="G1" s="1"/>
      <c r="H1" s="1"/>
      <c r="I1" s="1"/>
      <c r="J1" s="1"/>
      <c r="K1" s="1"/>
      <c r="L1" s="1"/>
      <c r="M1" s="2"/>
      <c r="N1" s="2"/>
      <c r="O1" s="2"/>
      <c r="P1" s="2"/>
      <c r="Q1" s="2"/>
      <c r="R1" s="2"/>
      <c r="S1" s="2"/>
      <c r="T1" s="2"/>
      <c r="U1" s="2"/>
      <c r="V1" s="2"/>
      <c r="W1" s="2"/>
      <c r="X1" s="2"/>
      <c r="Y1" s="2"/>
      <c r="Z1" s="2"/>
    </row>
    <row r="2" spans="1:26" ht="40.5" customHeight="1" x14ac:dyDescent="0.4">
      <c r="A2" s="399" t="s">
        <v>0</v>
      </c>
      <c r="B2" s="400"/>
      <c r="C2" s="400"/>
      <c r="D2" s="400"/>
      <c r="E2" s="400"/>
      <c r="F2" s="400"/>
      <c r="G2" s="400"/>
      <c r="H2" s="400"/>
      <c r="I2" s="400"/>
      <c r="J2" s="400"/>
      <c r="K2" s="400"/>
      <c r="L2" s="401"/>
      <c r="M2" s="2"/>
      <c r="N2" s="402" t="s">
        <v>1</v>
      </c>
      <c r="O2" s="400"/>
      <c r="P2" s="400"/>
      <c r="Q2" s="400"/>
      <c r="R2" s="400"/>
      <c r="S2" s="2"/>
      <c r="T2" s="2"/>
      <c r="U2" s="2"/>
      <c r="V2" s="2"/>
      <c r="W2" s="2"/>
      <c r="X2" s="2"/>
      <c r="Y2" s="2"/>
      <c r="Z2" s="2"/>
    </row>
    <row r="3" spans="1:26" ht="16.5" customHeight="1" x14ac:dyDescent="0.2">
      <c r="A3" s="3" t="s">
        <v>2</v>
      </c>
      <c r="B3" s="4"/>
      <c r="C3" s="4"/>
      <c r="D3" s="5"/>
      <c r="E3" s="403" t="s">
        <v>3</v>
      </c>
      <c r="F3" s="404"/>
      <c r="G3" s="404"/>
      <c r="H3" s="404"/>
      <c r="I3" s="404"/>
      <c r="J3" s="404"/>
      <c r="K3" s="404"/>
      <c r="L3" s="405"/>
      <c r="M3" s="2"/>
      <c r="N3" s="6"/>
      <c r="O3" s="7"/>
      <c r="P3" s="8" t="s">
        <v>4</v>
      </c>
      <c r="Q3" s="8" t="s">
        <v>5</v>
      </c>
      <c r="R3" s="9" t="s">
        <v>6</v>
      </c>
      <c r="S3" s="2"/>
      <c r="T3" s="2"/>
      <c r="U3" s="2"/>
      <c r="V3" s="2"/>
      <c r="W3" s="2"/>
      <c r="X3" s="2"/>
      <c r="Y3" s="2"/>
      <c r="Z3" s="2"/>
    </row>
    <row r="4" spans="1:26" ht="15.75" customHeight="1" x14ac:dyDescent="0.2">
      <c r="A4" s="10" t="s">
        <v>7</v>
      </c>
      <c r="B4" s="11">
        <v>2650000</v>
      </c>
      <c r="C4" s="12" t="s">
        <v>8</v>
      </c>
      <c r="D4" s="13">
        <v>2400000</v>
      </c>
      <c r="E4" s="406"/>
      <c r="F4" s="407"/>
      <c r="G4" s="408"/>
      <c r="H4" s="415"/>
      <c r="I4" s="407"/>
      <c r="J4" s="407"/>
      <c r="K4" s="407"/>
      <c r="L4" s="408"/>
      <c r="M4" s="2"/>
      <c r="N4" s="10" t="s">
        <v>9</v>
      </c>
      <c r="O4" s="2"/>
      <c r="P4" s="14">
        <f>F12*D4</f>
        <v>1440000</v>
      </c>
      <c r="Q4" s="14">
        <f>D4-P4-F15</f>
        <v>960000</v>
      </c>
      <c r="R4" s="15">
        <f t="shared" ref="R4:R6" si="0">SUM(P4:Q4)</f>
        <v>2400000</v>
      </c>
      <c r="S4" s="2"/>
      <c r="T4" s="2"/>
      <c r="U4" s="2"/>
      <c r="V4" s="2"/>
      <c r="W4" s="2"/>
      <c r="X4" s="2"/>
      <c r="Y4" s="2"/>
      <c r="Z4" s="2"/>
    </row>
    <row r="5" spans="1:26" ht="15.75" customHeight="1" x14ac:dyDescent="0.2">
      <c r="A5" s="10" t="s">
        <v>10</v>
      </c>
      <c r="B5" s="2"/>
      <c r="C5" s="16">
        <v>0.4</v>
      </c>
      <c r="D5" s="17">
        <f>C5*D4</f>
        <v>960000</v>
      </c>
      <c r="E5" s="409"/>
      <c r="F5" s="410"/>
      <c r="G5" s="411"/>
      <c r="H5" s="416"/>
      <c r="I5" s="410"/>
      <c r="J5" s="410"/>
      <c r="K5" s="410"/>
      <c r="L5" s="411"/>
      <c r="M5" s="2"/>
      <c r="N5" s="10" t="s">
        <v>11</v>
      </c>
      <c r="O5" s="18">
        <v>0.8</v>
      </c>
      <c r="P5" s="14">
        <f>IF(D9="no",0,D8*O5)</f>
        <v>0</v>
      </c>
      <c r="Q5" s="14">
        <f>IF(D9="no",D8,D8-P5)</f>
        <v>50000</v>
      </c>
      <c r="R5" s="15">
        <f t="shared" si="0"/>
        <v>50000</v>
      </c>
      <c r="S5" s="2"/>
      <c r="T5" s="2"/>
      <c r="U5" s="2"/>
      <c r="V5" s="2"/>
      <c r="W5" s="2"/>
      <c r="X5" s="2"/>
      <c r="Y5" s="2"/>
      <c r="Z5" s="2"/>
    </row>
    <row r="6" spans="1:26" ht="15.75" customHeight="1" x14ac:dyDescent="0.2">
      <c r="A6" s="10" t="s">
        <v>12</v>
      </c>
      <c r="B6" s="2"/>
      <c r="C6" s="2"/>
      <c r="D6" s="19">
        <v>28</v>
      </c>
      <c r="E6" s="409"/>
      <c r="F6" s="410"/>
      <c r="G6" s="411"/>
      <c r="H6" s="416"/>
      <c r="I6" s="410"/>
      <c r="J6" s="410"/>
      <c r="K6" s="410"/>
      <c r="L6" s="411"/>
      <c r="M6" s="2"/>
      <c r="N6" s="10" t="s">
        <v>13</v>
      </c>
      <c r="O6" s="18">
        <v>0.1</v>
      </c>
      <c r="P6" s="14">
        <f>D16*O6</f>
        <v>14400</v>
      </c>
      <c r="Q6" s="20">
        <f>D16-P6</f>
        <v>129600</v>
      </c>
      <c r="R6" s="15">
        <f t="shared" si="0"/>
        <v>144000</v>
      </c>
      <c r="S6" s="2"/>
      <c r="T6" s="2"/>
      <c r="U6" s="2"/>
      <c r="V6" s="2"/>
      <c r="W6" s="2"/>
      <c r="X6" s="2"/>
      <c r="Y6" s="2"/>
      <c r="Z6" s="2"/>
    </row>
    <row r="7" spans="1:26" ht="15.75" customHeight="1" x14ac:dyDescent="0.2">
      <c r="A7" s="10" t="s">
        <v>14</v>
      </c>
      <c r="B7" s="2"/>
      <c r="C7" s="2"/>
      <c r="D7" s="17">
        <f>D4/D6</f>
        <v>85714.28571428571</v>
      </c>
      <c r="E7" s="409"/>
      <c r="F7" s="410"/>
      <c r="G7" s="411"/>
      <c r="H7" s="416"/>
      <c r="I7" s="410"/>
      <c r="J7" s="410"/>
      <c r="K7" s="410"/>
      <c r="L7" s="411"/>
      <c r="M7" s="2"/>
      <c r="N7" s="10" t="s">
        <v>15</v>
      </c>
      <c r="O7" s="2"/>
      <c r="P7" s="14">
        <f>$F$15</f>
        <v>0</v>
      </c>
      <c r="Q7" s="14"/>
      <c r="R7" s="21"/>
      <c r="S7" s="2"/>
      <c r="T7" s="2"/>
      <c r="U7" s="2"/>
      <c r="V7" s="2"/>
      <c r="W7" s="2"/>
      <c r="X7" s="2"/>
      <c r="Y7" s="2"/>
      <c r="Z7" s="2"/>
    </row>
    <row r="8" spans="1:26" ht="15.75" customHeight="1" x14ac:dyDescent="0.2">
      <c r="A8" s="10" t="s">
        <v>16</v>
      </c>
      <c r="B8" s="2"/>
      <c r="C8" s="2"/>
      <c r="D8" s="22">
        <v>50000</v>
      </c>
      <c r="E8" s="409"/>
      <c r="F8" s="410"/>
      <c r="G8" s="411"/>
      <c r="H8" s="416"/>
      <c r="I8" s="410"/>
      <c r="J8" s="410"/>
      <c r="K8" s="410"/>
      <c r="L8" s="411"/>
      <c r="M8" s="2"/>
      <c r="N8" s="10"/>
      <c r="O8" s="2"/>
      <c r="P8" s="23">
        <f t="shared" ref="P8:Q8" si="1">SUM(P4:P7)</f>
        <v>1454400</v>
      </c>
      <c r="Q8" s="24">
        <f t="shared" si="1"/>
        <v>1139600</v>
      </c>
      <c r="R8" s="25">
        <f>SUM(P8:Q8)</f>
        <v>2594000</v>
      </c>
      <c r="S8" s="2"/>
      <c r="T8" s="2"/>
      <c r="U8" s="2"/>
      <c r="V8" s="2"/>
      <c r="W8" s="2"/>
      <c r="X8" s="2"/>
      <c r="Y8" s="2"/>
      <c r="Z8" s="2"/>
    </row>
    <row r="9" spans="1:26" ht="15.75" customHeight="1" x14ac:dyDescent="0.2">
      <c r="A9" s="10" t="s">
        <v>17</v>
      </c>
      <c r="B9" s="2"/>
      <c r="C9" s="2"/>
      <c r="D9" s="26" t="s">
        <v>18</v>
      </c>
      <c r="E9" s="409"/>
      <c r="F9" s="410"/>
      <c r="G9" s="411"/>
      <c r="H9" s="416"/>
      <c r="I9" s="410"/>
      <c r="J9" s="410"/>
      <c r="K9" s="410"/>
      <c r="L9" s="411"/>
      <c r="M9" s="2"/>
      <c r="N9" s="10"/>
      <c r="O9" s="2"/>
      <c r="P9" s="27"/>
      <c r="Q9" s="2"/>
      <c r="R9" s="21"/>
      <c r="S9" s="2"/>
      <c r="T9" s="2"/>
      <c r="U9" s="2"/>
      <c r="V9" s="2"/>
      <c r="W9" s="2"/>
      <c r="X9" s="2"/>
      <c r="Y9" s="2"/>
      <c r="Z9" s="2"/>
    </row>
    <row r="10" spans="1:26" ht="16.5" customHeight="1" x14ac:dyDescent="0.2">
      <c r="A10" s="10" t="s">
        <v>19</v>
      </c>
      <c r="B10" s="2"/>
      <c r="C10" s="2"/>
      <c r="D10" s="28">
        <f>D43/D4</f>
        <v>5.3204451666666659E-2</v>
      </c>
      <c r="E10" s="412"/>
      <c r="F10" s="413"/>
      <c r="G10" s="414"/>
      <c r="H10" s="417"/>
      <c r="I10" s="413"/>
      <c r="J10" s="413"/>
      <c r="K10" s="413"/>
      <c r="L10" s="414"/>
      <c r="M10" s="2"/>
      <c r="N10" s="10"/>
      <c r="O10" s="2"/>
      <c r="P10" s="14"/>
      <c r="Q10" s="2"/>
      <c r="R10" s="15"/>
      <c r="S10" s="2"/>
      <c r="T10" s="2"/>
      <c r="U10" s="2"/>
      <c r="V10" s="2"/>
      <c r="W10" s="2"/>
      <c r="X10" s="2"/>
      <c r="Y10" s="2"/>
      <c r="Z10" s="2"/>
    </row>
    <row r="11" spans="1:26" ht="16.5" customHeight="1" x14ac:dyDescent="0.25">
      <c r="A11" s="10" t="s">
        <v>20</v>
      </c>
      <c r="B11" s="2"/>
      <c r="C11" s="2"/>
      <c r="D11" s="28">
        <f>G43/D4</f>
        <v>8.4685143333333324E-2</v>
      </c>
      <c r="E11" s="418" t="s">
        <v>21</v>
      </c>
      <c r="F11" s="400"/>
      <c r="G11" s="400"/>
      <c r="H11" s="400"/>
      <c r="I11" s="400"/>
      <c r="J11" s="400"/>
      <c r="K11" s="400"/>
      <c r="L11" s="401"/>
      <c r="M11" s="2"/>
      <c r="N11" s="29"/>
      <c r="O11" s="30"/>
      <c r="P11" s="30"/>
      <c r="Q11" s="30"/>
      <c r="R11" s="31"/>
      <c r="S11" s="2"/>
      <c r="T11" s="2"/>
      <c r="U11" s="2"/>
      <c r="V11" s="2"/>
      <c r="W11" s="2"/>
      <c r="X11" s="2"/>
      <c r="Y11" s="2"/>
      <c r="Z11" s="2"/>
    </row>
    <row r="12" spans="1:26" ht="15.75" customHeight="1" x14ac:dyDescent="0.2">
      <c r="A12" s="10" t="s">
        <v>22</v>
      </c>
      <c r="B12" s="2"/>
      <c r="C12" s="2"/>
      <c r="D12" s="19">
        <v>1975</v>
      </c>
      <c r="E12" s="32" t="s">
        <v>23</v>
      </c>
      <c r="F12" s="33">
        <f>1-C5</f>
        <v>0.6</v>
      </c>
      <c r="G12" s="34" t="s">
        <v>24</v>
      </c>
      <c r="H12" s="35">
        <v>2</v>
      </c>
      <c r="I12" s="7"/>
      <c r="J12" s="36" t="s">
        <v>25</v>
      </c>
      <c r="K12" s="36"/>
      <c r="L12" s="37" t="s">
        <v>26</v>
      </c>
      <c r="M12" s="2"/>
      <c r="N12" s="2"/>
      <c r="O12" s="2"/>
      <c r="P12" s="2"/>
      <c r="Q12" s="2"/>
      <c r="R12" s="2"/>
      <c r="S12" s="2"/>
      <c r="T12" s="2"/>
      <c r="U12" s="2"/>
      <c r="V12" s="2"/>
      <c r="W12" s="2"/>
      <c r="X12" s="2"/>
      <c r="Y12" s="2"/>
      <c r="Z12" s="2"/>
    </row>
    <row r="13" spans="1:26" ht="15.75" customHeight="1" x14ac:dyDescent="0.4">
      <c r="A13" s="10" t="s">
        <v>27</v>
      </c>
      <c r="B13" s="2"/>
      <c r="C13" s="2"/>
      <c r="D13" s="22"/>
      <c r="E13" s="38" t="s">
        <v>28</v>
      </c>
      <c r="F13" s="27">
        <f>P8-F15</f>
        <v>1454400</v>
      </c>
      <c r="G13" s="2"/>
      <c r="H13" s="12" t="s">
        <v>29</v>
      </c>
      <c r="I13" s="2"/>
      <c r="J13" s="39">
        <f>'SENIOR LOAN'!C16</f>
        <v>10390.432041422153</v>
      </c>
      <c r="K13" s="39"/>
      <c r="L13" s="40">
        <f>J13*12</f>
        <v>124685.18449706584</v>
      </c>
      <c r="M13" s="2"/>
      <c r="N13" s="419" t="s">
        <v>30</v>
      </c>
      <c r="O13" s="420"/>
      <c r="P13" s="420"/>
      <c r="Q13" s="420"/>
      <c r="R13" s="420"/>
      <c r="S13" s="2"/>
      <c r="T13" s="2"/>
      <c r="U13" s="2"/>
      <c r="V13" s="2"/>
      <c r="W13" s="2"/>
      <c r="X13" s="2"/>
      <c r="Y13" s="2"/>
      <c r="Z13" s="2"/>
    </row>
    <row r="14" spans="1:26" ht="15.75" customHeight="1" x14ac:dyDescent="0.2">
      <c r="A14" s="10" t="s">
        <v>31</v>
      </c>
      <c r="B14" s="2"/>
      <c r="C14" s="2"/>
      <c r="D14" s="17">
        <f>E35</f>
        <v>10528</v>
      </c>
      <c r="E14" s="41" t="s">
        <v>32</v>
      </c>
      <c r="F14" s="42">
        <v>6.7500000000000004E-2</v>
      </c>
      <c r="G14" s="2"/>
      <c r="H14" s="2"/>
      <c r="I14" s="2"/>
      <c r="J14" s="43"/>
      <c r="K14" s="43"/>
      <c r="L14" s="44"/>
      <c r="M14" s="2"/>
      <c r="N14" s="421" t="s">
        <v>33</v>
      </c>
      <c r="O14" s="422"/>
      <c r="P14" s="422"/>
      <c r="Q14" s="422"/>
      <c r="R14" s="45" t="s">
        <v>34</v>
      </c>
      <c r="S14" s="2"/>
      <c r="T14" s="2"/>
      <c r="U14" s="2"/>
      <c r="V14" s="2"/>
      <c r="W14" s="2"/>
      <c r="X14" s="2"/>
      <c r="Y14" s="2"/>
      <c r="Z14" s="2"/>
    </row>
    <row r="15" spans="1:26" ht="15.75" customHeight="1" x14ac:dyDescent="0.2">
      <c r="A15" s="10" t="s">
        <v>35</v>
      </c>
      <c r="B15" s="2"/>
      <c r="C15" s="2"/>
      <c r="D15" s="15">
        <f>D4/D14</f>
        <v>227.96352583586625</v>
      </c>
      <c r="E15" s="46" t="s">
        <v>15</v>
      </c>
      <c r="F15" s="11">
        <v>0</v>
      </c>
      <c r="G15" s="47"/>
      <c r="H15" s="30" t="s">
        <v>36</v>
      </c>
      <c r="I15" s="30"/>
      <c r="J15" s="48">
        <f>'SENIOR LOAN'!C13</f>
        <v>8181</v>
      </c>
      <c r="K15" s="27"/>
      <c r="L15" s="17">
        <f>J15*12</f>
        <v>98172</v>
      </c>
      <c r="M15" s="2"/>
      <c r="N15" s="423" t="s">
        <v>37</v>
      </c>
      <c r="O15" s="410"/>
      <c r="P15" s="410"/>
      <c r="Q15" s="410"/>
      <c r="R15" s="50">
        <v>3</v>
      </c>
      <c r="S15" s="2"/>
      <c r="T15" s="2"/>
      <c r="U15" s="2"/>
      <c r="V15" s="2"/>
      <c r="W15" s="2"/>
      <c r="X15" s="2"/>
      <c r="Y15" s="2"/>
      <c r="Z15" s="2"/>
    </row>
    <row r="16" spans="1:26" ht="15.75" customHeight="1" x14ac:dyDescent="0.2">
      <c r="A16" s="10" t="s">
        <v>13</v>
      </c>
      <c r="B16" s="2"/>
      <c r="C16" s="18">
        <v>0.06</v>
      </c>
      <c r="D16" s="51">
        <f>C16*D4</f>
        <v>144000</v>
      </c>
      <c r="E16" s="46" t="s">
        <v>38</v>
      </c>
      <c r="F16" s="52">
        <v>0</v>
      </c>
      <c r="G16" s="53"/>
      <c r="H16" s="53" t="s">
        <v>39</v>
      </c>
      <c r="I16" s="53" t="s">
        <v>40</v>
      </c>
      <c r="J16" s="54">
        <f>F17*H17</f>
        <v>0</v>
      </c>
      <c r="K16" s="55"/>
      <c r="L16" s="21"/>
      <c r="M16" s="2"/>
      <c r="N16" s="49" t="s">
        <v>41</v>
      </c>
      <c r="O16" s="2"/>
      <c r="P16" s="2"/>
      <c r="Q16" s="2"/>
      <c r="R16" s="28">
        <f>R37*(R14="Yes")</f>
        <v>6.5000000000000002E-2</v>
      </c>
      <c r="S16" s="2"/>
      <c r="T16" s="2"/>
      <c r="U16" s="2"/>
      <c r="V16" s="2"/>
      <c r="W16" s="2"/>
      <c r="X16" s="2"/>
      <c r="Y16" s="2"/>
      <c r="Z16" s="2"/>
    </row>
    <row r="17" spans="1:26" ht="16.5" customHeight="1" x14ac:dyDescent="0.2">
      <c r="A17" s="10" t="s">
        <v>42</v>
      </c>
      <c r="B17" s="2"/>
      <c r="C17" s="56"/>
      <c r="D17" s="51">
        <f>Q8</f>
        <v>1139600</v>
      </c>
      <c r="E17" s="46" t="s">
        <v>43</v>
      </c>
      <c r="F17" s="57">
        <f>F15*F16</f>
        <v>0</v>
      </c>
      <c r="G17" s="58" t="s">
        <v>44</v>
      </c>
      <c r="H17" s="59">
        <v>0</v>
      </c>
      <c r="I17" s="60" t="s">
        <v>45</v>
      </c>
      <c r="J17" s="54">
        <f>F17-J16</f>
        <v>0</v>
      </c>
      <c r="K17" s="55"/>
      <c r="L17" s="21"/>
      <c r="M17" s="2"/>
      <c r="N17" s="49" t="s">
        <v>46</v>
      </c>
      <c r="O17" s="2"/>
      <c r="P17" s="2"/>
      <c r="Q17" s="2"/>
      <c r="R17" s="51">
        <f>LOOKUP(R$15,PROFORMA!$E$9:$K$9,PROFORMA!$E$40:$K$40)*(R14="Yes")</f>
        <v>3175546.0993476929</v>
      </c>
      <c r="S17" s="2"/>
      <c r="T17" s="2"/>
      <c r="U17" s="2"/>
      <c r="V17" s="2"/>
      <c r="W17" s="2"/>
      <c r="X17" s="2"/>
      <c r="Y17" s="2"/>
      <c r="Z17" s="2"/>
    </row>
    <row r="18" spans="1:26" ht="15.75" customHeight="1" x14ac:dyDescent="0.2">
      <c r="A18" s="424" t="s">
        <v>47</v>
      </c>
      <c r="B18" s="400"/>
      <c r="C18" s="400"/>
      <c r="D18" s="400"/>
      <c r="E18" s="400"/>
      <c r="F18" s="400"/>
      <c r="G18" s="400"/>
      <c r="H18" s="61" t="s">
        <v>48</v>
      </c>
      <c r="I18" s="4"/>
      <c r="J18" s="4"/>
      <c r="K18" s="4"/>
      <c r="L18" s="5"/>
      <c r="M18" s="2"/>
      <c r="N18" s="49" t="s">
        <v>49</v>
      </c>
      <c r="O18" s="2"/>
      <c r="P18" s="2"/>
      <c r="Q18" s="2"/>
      <c r="R18" s="62">
        <v>0.6</v>
      </c>
      <c r="S18" s="2"/>
      <c r="T18" s="2"/>
      <c r="U18" s="2"/>
      <c r="V18" s="2"/>
      <c r="W18" s="2"/>
      <c r="X18" s="2"/>
      <c r="Y18" s="2"/>
      <c r="Z18" s="2"/>
    </row>
    <row r="19" spans="1:26" ht="15.75" customHeight="1" x14ac:dyDescent="0.2">
      <c r="A19" s="6"/>
      <c r="B19" s="63"/>
      <c r="C19" s="425" t="s">
        <v>50</v>
      </c>
      <c r="D19" s="426"/>
      <c r="E19" s="64"/>
      <c r="F19" s="425" t="s">
        <v>51</v>
      </c>
      <c r="G19" s="426"/>
      <c r="H19" s="6"/>
      <c r="I19" s="7"/>
      <c r="J19" s="8" t="s">
        <v>52</v>
      </c>
      <c r="K19" s="8"/>
      <c r="L19" s="9" t="s">
        <v>53</v>
      </c>
      <c r="M19" s="2"/>
      <c r="N19" s="49" t="s">
        <v>54</v>
      </c>
      <c r="O19" s="2"/>
      <c r="P19" s="2"/>
      <c r="Q19" s="2"/>
      <c r="R19" s="51">
        <f>R17*R18</f>
        <v>1905327.6596086156</v>
      </c>
      <c r="S19" s="2"/>
      <c r="T19" s="2"/>
      <c r="U19" s="2"/>
      <c r="V19" s="2"/>
      <c r="W19" s="2"/>
      <c r="X19" s="2"/>
      <c r="Y19" s="2"/>
      <c r="Z19" s="2"/>
    </row>
    <row r="20" spans="1:26" ht="33.75" customHeight="1" x14ac:dyDescent="0.2">
      <c r="A20" s="65" t="s">
        <v>55</v>
      </c>
      <c r="B20" s="66" t="s">
        <v>56</v>
      </c>
      <c r="C20" s="67" t="s">
        <v>57</v>
      </c>
      <c r="D20" s="66" t="s">
        <v>58</v>
      </c>
      <c r="E20" s="68" t="s">
        <v>59</v>
      </c>
      <c r="F20" s="67" t="s">
        <v>57</v>
      </c>
      <c r="G20" s="66" t="s">
        <v>58</v>
      </c>
      <c r="H20" s="69" t="s">
        <v>60</v>
      </c>
      <c r="I20" s="70" t="s">
        <v>61</v>
      </c>
      <c r="J20" s="2"/>
      <c r="K20" s="71" t="s">
        <v>62</v>
      </c>
      <c r="L20" s="21"/>
      <c r="M20" s="2"/>
      <c r="N20" s="49" t="s">
        <v>63</v>
      </c>
      <c r="O20" s="2"/>
      <c r="P20" s="2"/>
      <c r="Q20" s="2"/>
      <c r="R20" s="50">
        <v>2</v>
      </c>
      <c r="S20" s="2"/>
      <c r="T20" s="2"/>
      <c r="U20" s="2"/>
      <c r="V20" s="2"/>
      <c r="W20" s="2"/>
      <c r="X20" s="2"/>
      <c r="Y20" s="2"/>
      <c r="Z20" s="2"/>
    </row>
    <row r="21" spans="1:26" ht="15.75" customHeight="1" x14ac:dyDescent="0.2">
      <c r="A21" s="72">
        <v>11</v>
      </c>
      <c r="B21" s="19" t="s">
        <v>64</v>
      </c>
      <c r="C21" s="11">
        <v>743</v>
      </c>
      <c r="D21" s="17">
        <f t="shared" ref="D21:D34" si="2">C21*A21</f>
        <v>8173</v>
      </c>
      <c r="E21" s="73">
        <v>616</v>
      </c>
      <c r="F21" s="11">
        <v>932</v>
      </c>
      <c r="G21" s="17">
        <f t="shared" ref="G21:G34" si="3">F21*A21</f>
        <v>10252</v>
      </c>
      <c r="H21" s="10" t="s">
        <v>65</v>
      </c>
      <c r="I21" s="74">
        <f>J21/$D$4</f>
        <v>1.3691666666666666E-2</v>
      </c>
      <c r="J21" s="11">
        <f>$B$4*0.0124</f>
        <v>32860</v>
      </c>
      <c r="K21" s="52"/>
      <c r="L21" s="22">
        <f>J21*1.03</f>
        <v>33845.800000000003</v>
      </c>
      <c r="M21" s="2"/>
      <c r="N21" s="49" t="s">
        <v>32</v>
      </c>
      <c r="O21" s="2"/>
      <c r="P21" s="2"/>
      <c r="Q21" s="2"/>
      <c r="R21" s="62">
        <v>6.25E-2</v>
      </c>
      <c r="S21" s="2"/>
      <c r="T21" s="2"/>
      <c r="U21" s="2"/>
      <c r="V21" s="2"/>
      <c r="W21" s="2"/>
      <c r="X21" s="2"/>
      <c r="Y21" s="2"/>
      <c r="Z21" s="2"/>
    </row>
    <row r="22" spans="1:26" ht="15.75" customHeight="1" x14ac:dyDescent="0.2">
      <c r="A22" s="72">
        <v>4</v>
      </c>
      <c r="B22" s="19" t="s">
        <v>66</v>
      </c>
      <c r="C22" s="11">
        <v>800</v>
      </c>
      <c r="D22" s="17">
        <f t="shared" si="2"/>
        <v>3200</v>
      </c>
      <c r="E22" s="73">
        <v>938</v>
      </c>
      <c r="F22" s="11">
        <v>1150</v>
      </c>
      <c r="G22" s="17">
        <f t="shared" si="3"/>
        <v>4600</v>
      </c>
      <c r="H22" s="10" t="s">
        <v>67</v>
      </c>
      <c r="I22" s="27">
        <f t="shared" ref="I22:I29" si="4">J22/$D$6</f>
        <v>1500</v>
      </c>
      <c r="J22" s="11">
        <v>42000</v>
      </c>
      <c r="K22" s="27">
        <f t="shared" ref="K22:K29" si="5">L22/$D$6</f>
        <v>1500</v>
      </c>
      <c r="L22" s="22">
        <v>42000</v>
      </c>
      <c r="M22" s="2"/>
      <c r="N22" s="49" t="s">
        <v>68</v>
      </c>
      <c r="O22" s="2"/>
      <c r="P22" s="2"/>
      <c r="Q22" s="2"/>
      <c r="R22" s="75">
        <v>25</v>
      </c>
      <c r="S22" s="2"/>
      <c r="T22" s="2"/>
      <c r="U22" s="2"/>
      <c r="V22" s="2"/>
      <c r="W22" s="2"/>
      <c r="X22" s="2"/>
      <c r="Y22" s="2"/>
      <c r="Z22" s="2"/>
    </row>
    <row r="23" spans="1:26" ht="15.75" customHeight="1" x14ac:dyDescent="0.2">
      <c r="A23" s="76">
        <v>13</v>
      </c>
      <c r="B23" s="19" t="s">
        <v>69</v>
      </c>
      <c r="C23" s="11">
        <v>1023</v>
      </c>
      <c r="D23" s="17">
        <f t="shared" si="2"/>
        <v>13299</v>
      </c>
      <c r="E23" s="73"/>
      <c r="F23" s="77">
        <v>1250</v>
      </c>
      <c r="G23" s="17">
        <f t="shared" si="3"/>
        <v>16250</v>
      </c>
      <c r="H23" s="10" t="s">
        <v>70</v>
      </c>
      <c r="I23" s="27">
        <f t="shared" si="4"/>
        <v>1059.3928571428571</v>
      </c>
      <c r="J23" s="11">
        <v>29663</v>
      </c>
      <c r="K23" s="27">
        <f t="shared" si="5"/>
        <v>700</v>
      </c>
      <c r="L23" s="13">
        <v>19600</v>
      </c>
      <c r="M23" s="2"/>
      <c r="N23" s="49" t="s">
        <v>13</v>
      </c>
      <c r="O23" s="2"/>
      <c r="P23" s="2"/>
      <c r="Q23" s="78"/>
      <c r="R23" s="62">
        <v>0.02</v>
      </c>
      <c r="S23" s="2"/>
      <c r="T23" s="2"/>
      <c r="U23" s="2"/>
      <c r="V23" s="2"/>
      <c r="W23" s="2"/>
      <c r="X23" s="2"/>
      <c r="Y23" s="2"/>
      <c r="Z23" s="2"/>
    </row>
    <row r="24" spans="1:26" ht="15.75" customHeight="1" x14ac:dyDescent="0.2">
      <c r="A24" s="76"/>
      <c r="B24" s="19"/>
      <c r="C24" s="11"/>
      <c r="D24" s="17">
        <f t="shared" si="2"/>
        <v>0</v>
      </c>
      <c r="E24" s="73"/>
      <c r="F24" s="77"/>
      <c r="G24" s="17">
        <f t="shared" si="3"/>
        <v>0</v>
      </c>
      <c r="H24" s="10" t="s">
        <v>71</v>
      </c>
      <c r="I24" s="27">
        <f t="shared" si="4"/>
        <v>0</v>
      </c>
      <c r="J24" s="11">
        <v>0</v>
      </c>
      <c r="K24" s="27">
        <f t="shared" si="5"/>
        <v>450</v>
      </c>
      <c r="L24" s="13">
        <v>12600</v>
      </c>
      <c r="M24" s="2"/>
      <c r="N24" s="49" t="s">
        <v>72</v>
      </c>
      <c r="O24" s="2"/>
      <c r="P24" s="2"/>
      <c r="Q24" s="78"/>
      <c r="R24" s="51">
        <f>-R23*R19</f>
        <v>-38106.553192172309</v>
      </c>
      <c r="S24" s="2"/>
      <c r="T24" s="2"/>
      <c r="U24" s="2"/>
      <c r="V24" s="2"/>
      <c r="W24" s="2"/>
      <c r="X24" s="2"/>
      <c r="Y24" s="2"/>
      <c r="Z24" s="2"/>
    </row>
    <row r="25" spans="1:26" ht="15.75" customHeight="1" x14ac:dyDescent="0.2">
      <c r="A25" s="76"/>
      <c r="B25" s="19"/>
      <c r="C25" s="11"/>
      <c r="D25" s="17">
        <f t="shared" si="2"/>
        <v>0</v>
      </c>
      <c r="E25" s="73"/>
      <c r="F25" s="77"/>
      <c r="G25" s="17">
        <f t="shared" si="3"/>
        <v>0</v>
      </c>
      <c r="H25" s="10" t="s">
        <v>73</v>
      </c>
      <c r="I25" s="27">
        <f t="shared" si="4"/>
        <v>1550.2142857142858</v>
      </c>
      <c r="J25" s="11">
        <v>43406</v>
      </c>
      <c r="K25" s="27">
        <f t="shared" si="5"/>
        <v>1596.7142857142858</v>
      </c>
      <c r="L25" s="22">
        <v>44708</v>
      </c>
      <c r="M25" s="2"/>
      <c r="N25" s="49" t="s">
        <v>74</v>
      </c>
      <c r="O25" s="2"/>
      <c r="P25" s="2"/>
      <c r="Q25" s="78"/>
      <c r="R25" s="51">
        <f>PROFORMA!Q45*($R$14="Yes")</f>
        <v>-1427050.9877262462</v>
      </c>
      <c r="S25" s="2"/>
      <c r="T25" s="2"/>
      <c r="U25" s="2"/>
      <c r="V25" s="2"/>
      <c r="W25" s="2"/>
      <c r="X25" s="2"/>
      <c r="Y25" s="2"/>
      <c r="Z25" s="2"/>
    </row>
    <row r="26" spans="1:26" ht="15.75" customHeight="1" x14ac:dyDescent="0.2">
      <c r="A26" s="76"/>
      <c r="B26" s="19"/>
      <c r="C26" s="11"/>
      <c r="D26" s="17">
        <f t="shared" si="2"/>
        <v>0</v>
      </c>
      <c r="E26" s="73"/>
      <c r="F26" s="77"/>
      <c r="G26" s="17">
        <f t="shared" si="3"/>
        <v>0</v>
      </c>
      <c r="H26" s="10" t="s">
        <v>75</v>
      </c>
      <c r="I26" s="27">
        <f t="shared" si="4"/>
        <v>108.64285714285714</v>
      </c>
      <c r="J26" s="11">
        <v>3042</v>
      </c>
      <c r="K26" s="27">
        <f t="shared" si="5"/>
        <v>111.89285714285714</v>
      </c>
      <c r="L26" s="22">
        <v>3133</v>
      </c>
      <c r="M26" s="2"/>
      <c r="N26" s="49" t="s">
        <v>76</v>
      </c>
      <c r="O26" s="2"/>
      <c r="P26" s="2"/>
      <c r="Q26" s="2"/>
      <c r="R26" s="51">
        <f>R19+R24+R25</f>
        <v>440170.11869019712</v>
      </c>
      <c r="S26" s="2"/>
      <c r="T26" s="2"/>
      <c r="U26" s="2"/>
      <c r="V26" s="2"/>
      <c r="W26" s="2"/>
      <c r="X26" s="2"/>
      <c r="Y26" s="2"/>
      <c r="Z26" s="2"/>
    </row>
    <row r="27" spans="1:26" ht="15.75" customHeight="1" x14ac:dyDescent="0.2">
      <c r="A27" s="76"/>
      <c r="B27" s="19"/>
      <c r="C27" s="11"/>
      <c r="D27" s="17">
        <f t="shared" si="2"/>
        <v>0</v>
      </c>
      <c r="E27" s="73"/>
      <c r="F27" s="77"/>
      <c r="G27" s="17">
        <f t="shared" si="3"/>
        <v>0</v>
      </c>
      <c r="H27" s="10" t="s">
        <v>77</v>
      </c>
      <c r="I27" s="27">
        <f t="shared" si="4"/>
        <v>295.75</v>
      </c>
      <c r="J27" s="11">
        <v>8281</v>
      </c>
      <c r="K27" s="27">
        <f t="shared" si="5"/>
        <v>304.60714285714283</v>
      </c>
      <c r="L27" s="22">
        <v>8529</v>
      </c>
      <c r="M27" s="2"/>
      <c r="N27" s="49" t="s">
        <v>78</v>
      </c>
      <c r="O27" s="2"/>
      <c r="P27" s="2"/>
      <c r="Q27" s="2"/>
      <c r="R27" s="51">
        <f>R26</f>
        <v>440170.11869019712</v>
      </c>
      <c r="S27" s="2"/>
      <c r="T27" s="2"/>
      <c r="U27" s="2"/>
      <c r="V27" s="2"/>
      <c r="W27" s="2"/>
      <c r="X27" s="2"/>
      <c r="Y27" s="2"/>
      <c r="Z27" s="2"/>
    </row>
    <row r="28" spans="1:26" ht="15.75" customHeight="1" x14ac:dyDescent="0.2">
      <c r="A28" s="76"/>
      <c r="B28" s="19"/>
      <c r="C28" s="11"/>
      <c r="D28" s="17">
        <f t="shared" si="2"/>
        <v>0</v>
      </c>
      <c r="E28" s="73"/>
      <c r="F28" s="77"/>
      <c r="G28" s="17">
        <f t="shared" si="3"/>
        <v>0</v>
      </c>
      <c r="H28" s="10" t="s">
        <v>79</v>
      </c>
      <c r="I28" s="27">
        <f t="shared" si="4"/>
        <v>490.17857142857144</v>
      </c>
      <c r="J28" s="11">
        <v>13725</v>
      </c>
      <c r="K28" s="27">
        <f t="shared" si="5"/>
        <v>0</v>
      </c>
      <c r="L28" s="13">
        <v>0</v>
      </c>
      <c r="M28" s="2"/>
      <c r="N28" s="49" t="s">
        <v>80</v>
      </c>
      <c r="O28" s="2"/>
      <c r="P28" s="2"/>
      <c r="Q28" s="2"/>
      <c r="R28" s="51">
        <f>(R27-D17)*(R14="yes")</f>
        <v>-699429.88130980288</v>
      </c>
      <c r="S28" s="2"/>
      <c r="T28" s="2"/>
      <c r="U28" s="2"/>
      <c r="V28" s="2"/>
      <c r="W28" s="2"/>
      <c r="X28" s="2"/>
      <c r="Y28" s="2"/>
      <c r="Z28" s="2"/>
    </row>
    <row r="29" spans="1:26" ht="15.75" customHeight="1" x14ac:dyDescent="0.2">
      <c r="A29" s="76"/>
      <c r="B29" s="19"/>
      <c r="C29" s="11"/>
      <c r="D29" s="17">
        <f t="shared" si="2"/>
        <v>0</v>
      </c>
      <c r="E29" s="73"/>
      <c r="F29" s="77"/>
      <c r="G29" s="17">
        <f t="shared" si="3"/>
        <v>0</v>
      </c>
      <c r="H29" s="10" t="s">
        <v>81</v>
      </c>
      <c r="I29" s="27">
        <f t="shared" si="4"/>
        <v>436.17857142857144</v>
      </c>
      <c r="J29" s="11">
        <v>12213</v>
      </c>
      <c r="K29" s="27">
        <f t="shared" si="5"/>
        <v>449.28571428571428</v>
      </c>
      <c r="L29" s="22">
        <v>12580</v>
      </c>
      <c r="M29" s="2"/>
      <c r="N29" s="49" t="s">
        <v>82</v>
      </c>
      <c r="O29" s="2"/>
      <c r="P29" s="2"/>
      <c r="Q29" s="2"/>
      <c r="R29" s="51">
        <f>(D17-R27)*(R14="yes")</f>
        <v>699429.88130980288</v>
      </c>
      <c r="S29" s="2"/>
      <c r="T29" s="2"/>
      <c r="U29" s="2"/>
      <c r="V29" s="2"/>
      <c r="W29" s="2"/>
      <c r="X29" s="2"/>
      <c r="Y29" s="2"/>
      <c r="Z29" s="2"/>
    </row>
    <row r="30" spans="1:26" ht="15.75" customHeight="1" x14ac:dyDescent="0.2">
      <c r="A30" s="76"/>
      <c r="B30" s="19"/>
      <c r="C30" s="11"/>
      <c r="D30" s="17">
        <f t="shared" si="2"/>
        <v>0</v>
      </c>
      <c r="E30" s="73"/>
      <c r="F30" s="77"/>
      <c r="G30" s="17">
        <f t="shared" si="3"/>
        <v>0</v>
      </c>
      <c r="H30" s="10" t="s">
        <v>83</v>
      </c>
      <c r="I30" s="16">
        <v>0.06</v>
      </c>
      <c r="J30" s="27">
        <f>I30*D41</f>
        <v>20417.915999999997</v>
      </c>
      <c r="K30" s="27"/>
      <c r="L30" s="17">
        <f>I30*G41</f>
        <v>24717.455999999998</v>
      </c>
      <c r="M30" s="2"/>
      <c r="N30" s="10"/>
      <c r="O30" s="2"/>
      <c r="P30" s="2"/>
      <c r="Q30" s="2"/>
      <c r="R30" s="21"/>
      <c r="S30" s="2"/>
      <c r="T30" s="2"/>
      <c r="U30" s="2"/>
      <c r="V30" s="2"/>
      <c r="W30" s="2"/>
      <c r="X30" s="2"/>
      <c r="Y30" s="2"/>
      <c r="Z30" s="2"/>
    </row>
    <row r="31" spans="1:26" ht="15.75" customHeight="1" x14ac:dyDescent="0.2">
      <c r="A31" s="76"/>
      <c r="B31" s="19"/>
      <c r="C31" s="77"/>
      <c r="D31" s="17">
        <f t="shared" si="2"/>
        <v>0</v>
      </c>
      <c r="E31" s="73"/>
      <c r="F31" s="77"/>
      <c r="G31" s="17">
        <f t="shared" si="3"/>
        <v>0</v>
      </c>
      <c r="H31" s="79" t="s">
        <v>84</v>
      </c>
      <c r="I31" s="80">
        <v>250</v>
      </c>
      <c r="J31" s="81">
        <f>I31*A35</f>
        <v>7000</v>
      </c>
      <c r="K31" s="81"/>
      <c r="L31" s="82">
        <f>I31*A35</f>
        <v>7000</v>
      </c>
      <c r="M31" s="2"/>
      <c r="N31" s="29"/>
      <c r="O31" s="30"/>
      <c r="P31" s="30"/>
      <c r="Q31" s="30"/>
      <c r="R31" s="83"/>
      <c r="S31" s="2"/>
      <c r="T31" s="2"/>
      <c r="U31" s="2"/>
      <c r="V31" s="2"/>
      <c r="W31" s="2"/>
      <c r="X31" s="2"/>
      <c r="Y31" s="2"/>
      <c r="Z31" s="2"/>
    </row>
    <row r="32" spans="1:26" ht="15.75" customHeight="1" x14ac:dyDescent="0.2">
      <c r="A32" s="76"/>
      <c r="B32" s="19"/>
      <c r="C32" s="11"/>
      <c r="D32" s="17">
        <f t="shared" si="2"/>
        <v>0</v>
      </c>
      <c r="E32" s="73"/>
      <c r="F32" s="77"/>
      <c r="G32" s="17">
        <f t="shared" si="3"/>
        <v>0</v>
      </c>
      <c r="H32" s="84" t="s">
        <v>6</v>
      </c>
      <c r="I32" s="85"/>
      <c r="J32" s="86">
        <f>SUM(J21:J31)</f>
        <v>212607.916</v>
      </c>
      <c r="K32" s="86"/>
      <c r="L32" s="87">
        <f>SUM(L21:L31)</f>
        <v>208713.25599999999</v>
      </c>
      <c r="M32" s="2"/>
      <c r="N32" s="2"/>
      <c r="O32" s="2"/>
      <c r="P32" s="2"/>
      <c r="Q32" s="2"/>
      <c r="R32" s="2"/>
      <c r="S32" s="2"/>
      <c r="T32" s="2"/>
      <c r="U32" s="2"/>
      <c r="V32" s="2"/>
      <c r="W32" s="2"/>
      <c r="X32" s="2"/>
      <c r="Y32" s="2"/>
      <c r="Z32" s="2"/>
    </row>
    <row r="33" spans="1:26" ht="15.75" customHeight="1" x14ac:dyDescent="0.4">
      <c r="A33" s="76"/>
      <c r="B33" s="19"/>
      <c r="C33" s="11"/>
      <c r="D33" s="17">
        <f t="shared" si="2"/>
        <v>0</v>
      </c>
      <c r="E33" s="73"/>
      <c r="F33" s="77"/>
      <c r="G33" s="17">
        <f t="shared" si="3"/>
        <v>0</v>
      </c>
      <c r="H33" s="88" t="s">
        <v>85</v>
      </c>
      <c r="I33" s="89"/>
      <c r="J33" s="90">
        <f>J32/D41</f>
        <v>0.62476870607166768</v>
      </c>
      <c r="K33" s="90"/>
      <c r="L33" s="91">
        <f>L32/G41</f>
        <v>0.50663771223057907</v>
      </c>
      <c r="M33" s="2"/>
      <c r="N33" s="419" t="s">
        <v>86</v>
      </c>
      <c r="O33" s="420"/>
      <c r="P33" s="420"/>
      <c r="Q33" s="420"/>
      <c r="R33" s="427"/>
      <c r="S33" s="2"/>
      <c r="T33" s="2"/>
      <c r="U33" s="2"/>
      <c r="V33" s="2"/>
      <c r="W33" s="2"/>
      <c r="X33" s="2"/>
      <c r="Y33" s="2"/>
      <c r="Z33" s="2"/>
    </row>
    <row r="34" spans="1:26" ht="15.75" customHeight="1" x14ac:dyDescent="0.2">
      <c r="A34" s="92"/>
      <c r="B34" s="93"/>
      <c r="C34" s="94"/>
      <c r="D34" s="82">
        <f t="shared" si="2"/>
        <v>0</v>
      </c>
      <c r="E34" s="95"/>
      <c r="F34" s="77"/>
      <c r="G34" s="17">
        <f t="shared" si="3"/>
        <v>0</v>
      </c>
      <c r="H34" s="10" t="s">
        <v>87</v>
      </c>
      <c r="I34" s="2"/>
      <c r="J34" s="27">
        <f>J32/$A$35</f>
        <v>7593.1398571428572</v>
      </c>
      <c r="K34" s="27"/>
      <c r="L34" s="17">
        <f>L32/$A$35</f>
        <v>7454.0448571428569</v>
      </c>
      <c r="M34" s="2"/>
      <c r="N34" s="421"/>
      <c r="O34" s="422"/>
      <c r="P34" s="422"/>
      <c r="Q34" s="422"/>
      <c r="R34" s="96"/>
      <c r="S34" s="2"/>
      <c r="T34" s="2"/>
      <c r="U34" s="2"/>
      <c r="V34" s="2"/>
      <c r="W34" s="2"/>
      <c r="X34" s="2"/>
      <c r="Y34" s="2"/>
      <c r="Z34" s="2"/>
    </row>
    <row r="35" spans="1:26" ht="16.5" customHeight="1" x14ac:dyDescent="0.2">
      <c r="A35" s="29">
        <f>SUM(A21:A34)</f>
        <v>28</v>
      </c>
      <c r="B35" s="83"/>
      <c r="C35" s="48"/>
      <c r="D35" s="97">
        <f>SUM(D21:D34)</f>
        <v>24672</v>
      </c>
      <c r="E35" s="98">
        <f>(E21*A21)+(E22*A22)+(E23*A23)+(E24*A24)+(E25*A25)+(E26*A26)+(E27*A27)+(E28*A28)+(E29*A29)+(E30*A30)+(E31*A31)+(E32*A32)+(E33*A33)+(A34*E34)</f>
        <v>10528</v>
      </c>
      <c r="F35" s="24"/>
      <c r="G35" s="99">
        <f>SUM(G21:G34)</f>
        <v>31102</v>
      </c>
      <c r="H35" s="29" t="s">
        <v>88</v>
      </c>
      <c r="I35" s="30"/>
      <c r="J35" s="100">
        <f>J32/$E$35</f>
        <v>20.194520896656535</v>
      </c>
      <c r="K35" s="100"/>
      <c r="L35" s="31">
        <f>L32/$E$35</f>
        <v>19.824587386018237</v>
      </c>
      <c r="M35" s="2"/>
      <c r="N35" s="423" t="s">
        <v>89</v>
      </c>
      <c r="O35" s="410"/>
      <c r="P35" s="410"/>
      <c r="Q35" s="410"/>
      <c r="R35" s="50">
        <v>6</v>
      </c>
      <c r="S35" s="2"/>
      <c r="T35" s="2"/>
      <c r="U35" s="2"/>
      <c r="V35" s="2"/>
      <c r="W35" s="2"/>
      <c r="X35" s="2"/>
      <c r="Y35" s="2"/>
      <c r="Z35" s="2"/>
    </row>
    <row r="36" spans="1:26" ht="16.5" customHeight="1" x14ac:dyDescent="0.2">
      <c r="A36" s="424" t="s">
        <v>90</v>
      </c>
      <c r="B36" s="400"/>
      <c r="C36" s="400"/>
      <c r="D36" s="400"/>
      <c r="E36" s="400"/>
      <c r="F36" s="400"/>
      <c r="G36" s="400"/>
      <c r="H36" s="400"/>
      <c r="I36" s="400"/>
      <c r="J36" s="400"/>
      <c r="K36" s="400"/>
      <c r="L36" s="401"/>
      <c r="M36" s="2"/>
      <c r="N36" s="428" t="s">
        <v>91</v>
      </c>
      <c r="O36" s="410"/>
      <c r="P36" s="410"/>
      <c r="Q36" s="410"/>
      <c r="R36" s="51">
        <f>LOOKUP(R$35,PROFORMA!$E$9:$K$9,PROFORMA!$E$40:$K$40)</f>
        <v>3537682.6327859806</v>
      </c>
      <c r="S36" s="2"/>
      <c r="T36" s="2"/>
      <c r="U36" s="2"/>
      <c r="V36" s="2"/>
      <c r="W36" s="2"/>
      <c r="X36" s="2"/>
      <c r="Y36" s="2"/>
      <c r="Z36" s="2"/>
    </row>
    <row r="37" spans="1:26" ht="15.75" customHeight="1" x14ac:dyDescent="0.2">
      <c r="A37" s="10"/>
      <c r="B37" s="2"/>
      <c r="C37" s="2"/>
      <c r="D37" s="101" t="s">
        <v>52</v>
      </c>
      <c r="E37" s="2"/>
      <c r="F37" s="2"/>
      <c r="G37" s="101" t="s">
        <v>53</v>
      </c>
      <c r="H37" s="2"/>
      <c r="I37" s="2"/>
      <c r="J37" s="2"/>
      <c r="K37" s="2"/>
      <c r="L37" s="21"/>
      <c r="M37" s="2"/>
      <c r="N37" s="428" t="s">
        <v>92</v>
      </c>
      <c r="O37" s="410"/>
      <c r="P37" s="410"/>
      <c r="Q37" s="410"/>
      <c r="R37" s="62">
        <v>6.5000000000000002E-2</v>
      </c>
      <c r="S37" s="2"/>
      <c r="T37" s="2"/>
      <c r="U37" s="2"/>
      <c r="V37" s="2"/>
      <c r="W37" s="2"/>
      <c r="X37" s="2"/>
      <c r="Y37" s="2"/>
      <c r="Z37" s="2"/>
    </row>
    <row r="38" spans="1:26" ht="15.75" customHeight="1" x14ac:dyDescent="0.2">
      <c r="A38" s="69" t="s">
        <v>93</v>
      </c>
      <c r="B38" s="2"/>
      <c r="C38" s="2"/>
      <c r="D38" s="27">
        <f>D35*12</f>
        <v>296064</v>
      </c>
      <c r="E38" s="2"/>
      <c r="F38" s="2"/>
      <c r="G38" s="27">
        <f>G35*12</f>
        <v>373224</v>
      </c>
      <c r="H38" s="2"/>
      <c r="I38" s="2"/>
      <c r="J38" s="2"/>
      <c r="K38" s="2"/>
      <c r="L38" s="21"/>
      <c r="M38" s="2"/>
      <c r="N38" s="428" t="s">
        <v>94</v>
      </c>
      <c r="O38" s="410"/>
      <c r="P38" s="410"/>
      <c r="Q38" s="410"/>
      <c r="R38" s="62">
        <v>0.05</v>
      </c>
      <c r="S38" s="2"/>
      <c r="T38" s="2"/>
      <c r="U38" s="2"/>
      <c r="V38" s="2"/>
      <c r="W38" s="2"/>
      <c r="X38" s="2"/>
      <c r="Y38" s="2"/>
      <c r="Z38" s="2"/>
    </row>
    <row r="39" spans="1:26" ht="15.75" customHeight="1" x14ac:dyDescent="0.2">
      <c r="A39" s="10" t="s">
        <v>95</v>
      </c>
      <c r="B39" s="2"/>
      <c r="C39" s="18">
        <v>0.1</v>
      </c>
      <c r="D39" s="27">
        <f>-C39*D38</f>
        <v>-29606.400000000001</v>
      </c>
      <c r="E39" s="2"/>
      <c r="F39" s="18">
        <v>0.1</v>
      </c>
      <c r="G39" s="27">
        <f>-F39*G38</f>
        <v>-37322.400000000001</v>
      </c>
      <c r="H39" s="2"/>
      <c r="I39" s="2"/>
      <c r="J39" s="2"/>
      <c r="K39" s="2"/>
      <c r="L39" s="21"/>
      <c r="M39" s="2"/>
      <c r="N39" s="428" t="s">
        <v>96</v>
      </c>
      <c r="O39" s="410"/>
      <c r="P39" s="410"/>
      <c r="Q39" s="410"/>
      <c r="R39" s="51">
        <f>R36/D6</f>
        <v>126345.80831378502</v>
      </c>
      <c r="S39" s="2"/>
      <c r="T39" s="2"/>
      <c r="U39" s="2"/>
      <c r="V39" s="2"/>
      <c r="W39" s="2"/>
      <c r="X39" s="2"/>
      <c r="Y39" s="2"/>
      <c r="Z39" s="2"/>
    </row>
    <row r="40" spans="1:26" ht="15.75" customHeight="1" x14ac:dyDescent="0.2">
      <c r="A40" s="10" t="s">
        <v>97</v>
      </c>
      <c r="B40" s="2"/>
      <c r="C40" s="2"/>
      <c r="D40" s="11">
        <v>73841</v>
      </c>
      <c r="E40" s="2"/>
      <c r="F40" s="2"/>
      <c r="G40" s="11">
        <v>76056</v>
      </c>
      <c r="H40" s="2"/>
      <c r="I40" s="2"/>
      <c r="J40" s="2"/>
      <c r="K40" s="2"/>
      <c r="L40" s="21"/>
      <c r="M40" s="2"/>
      <c r="N40" s="429" t="s">
        <v>98</v>
      </c>
      <c r="O40" s="410"/>
      <c r="P40" s="410"/>
      <c r="Q40" s="410"/>
      <c r="R40" s="102"/>
      <c r="S40" s="2"/>
      <c r="T40" s="2"/>
      <c r="U40" s="2"/>
      <c r="V40" s="2"/>
      <c r="W40" s="2"/>
      <c r="X40" s="2"/>
      <c r="Y40" s="2"/>
      <c r="Z40" s="2"/>
    </row>
    <row r="41" spans="1:26" ht="15.75" customHeight="1" x14ac:dyDescent="0.2">
      <c r="A41" s="10" t="s">
        <v>99</v>
      </c>
      <c r="B41" s="2"/>
      <c r="C41" s="2"/>
      <c r="D41" s="27">
        <f>SUM(D38:D40)</f>
        <v>340298.6</v>
      </c>
      <c r="E41" s="2"/>
      <c r="F41" s="2"/>
      <c r="G41" s="27">
        <f>SUM(G38:G40)</f>
        <v>411957.6</v>
      </c>
      <c r="H41" s="2"/>
      <c r="I41" s="2"/>
      <c r="J41" s="2"/>
      <c r="K41" s="2"/>
      <c r="L41" s="21"/>
      <c r="M41" s="2"/>
      <c r="N41" s="423" t="s">
        <v>100</v>
      </c>
      <c r="O41" s="410"/>
      <c r="P41" s="410"/>
      <c r="Q41" s="410"/>
      <c r="R41" s="51">
        <f>R36</f>
        <v>3537682.6327859806</v>
      </c>
      <c r="S41" s="2"/>
      <c r="T41" s="2"/>
      <c r="U41" s="2"/>
      <c r="V41" s="2"/>
      <c r="W41" s="2"/>
      <c r="X41" s="2"/>
      <c r="Y41" s="2"/>
      <c r="Z41" s="2"/>
    </row>
    <row r="42" spans="1:26" ht="15.75" customHeight="1" x14ac:dyDescent="0.2">
      <c r="A42" s="10" t="s">
        <v>101</v>
      </c>
      <c r="B42" s="2"/>
      <c r="C42" s="103">
        <f>-D42/D41</f>
        <v>0.62476870607166768</v>
      </c>
      <c r="D42" s="27">
        <f>-J32</f>
        <v>-212607.916</v>
      </c>
      <c r="E42" s="2"/>
      <c r="F42" s="103">
        <f>-G42/G41</f>
        <v>0.50663771223057907</v>
      </c>
      <c r="G42" s="27">
        <f>-L32</f>
        <v>-208713.25599999999</v>
      </c>
      <c r="H42" s="2"/>
      <c r="I42" s="2"/>
      <c r="J42" s="2"/>
      <c r="K42" s="2"/>
      <c r="L42" s="21"/>
      <c r="M42" s="2"/>
      <c r="N42" s="423" t="s">
        <v>102</v>
      </c>
      <c r="O42" s="410"/>
      <c r="P42" s="410"/>
      <c r="Q42" s="410"/>
      <c r="R42" s="51">
        <f>SUMIFS(PROFORMA!$F$45:$K$45,PROFORMA!$F$9:$K$9,R35)+SUMIFS(PROFORMA!$F$47:$K$47,PROFORMA!$F$9:$K$9,R35)</f>
        <v>-1866963.3188897318</v>
      </c>
      <c r="S42" s="2"/>
      <c r="T42" s="2"/>
      <c r="U42" s="2"/>
      <c r="V42" s="2"/>
      <c r="W42" s="2"/>
      <c r="X42" s="2"/>
      <c r="Y42" s="2"/>
      <c r="Z42" s="2"/>
    </row>
    <row r="43" spans="1:26" ht="16.5" customHeight="1" x14ac:dyDescent="0.2">
      <c r="A43" s="69" t="s">
        <v>103</v>
      </c>
      <c r="B43" s="2"/>
      <c r="C43" s="2"/>
      <c r="D43" s="104">
        <f>SUM(D41:D42)</f>
        <v>127690.68399999998</v>
      </c>
      <c r="E43" s="2"/>
      <c r="F43" s="2"/>
      <c r="G43" s="104">
        <f>SUM(G41:G42)</f>
        <v>203244.34399999998</v>
      </c>
      <c r="H43" s="2"/>
      <c r="I43" s="2"/>
      <c r="J43" s="2"/>
      <c r="K43" s="2"/>
      <c r="L43" s="21"/>
      <c r="M43" s="2"/>
      <c r="N43" s="423" t="s">
        <v>104</v>
      </c>
      <c r="O43" s="410"/>
      <c r="P43" s="410"/>
      <c r="Q43" s="410"/>
      <c r="R43" s="51">
        <f>-R41*R38</f>
        <v>-176884.13163929904</v>
      </c>
      <c r="S43" s="2"/>
      <c r="T43" s="2"/>
      <c r="U43" s="2"/>
      <c r="V43" s="2"/>
      <c r="W43" s="2"/>
      <c r="X43" s="2"/>
      <c r="Y43" s="2"/>
      <c r="Z43" s="2"/>
    </row>
    <row r="44" spans="1:26" ht="15.75" customHeight="1" x14ac:dyDescent="0.2">
      <c r="A44" s="10" t="s">
        <v>105</v>
      </c>
      <c r="B44" s="105" t="s">
        <v>106</v>
      </c>
      <c r="C44" s="14">
        <f>-D43/D44</f>
        <v>1.3006833312960924</v>
      </c>
      <c r="D44" s="27">
        <f>-IF(H12&gt;=1,L15,L13)</f>
        <v>-98172</v>
      </c>
      <c r="E44" s="2"/>
      <c r="F44" s="14">
        <f>-G43/G44</f>
        <v>2.0702883103125127</v>
      </c>
      <c r="G44" s="27">
        <f>-IF(H12&gt;=1,L15,L13)</f>
        <v>-98172</v>
      </c>
      <c r="H44" s="2"/>
      <c r="I44" s="2"/>
      <c r="J44" s="2"/>
      <c r="K44" s="2"/>
      <c r="L44" s="21"/>
      <c r="M44" s="2"/>
      <c r="N44" s="423" t="str">
        <f>"Less: Costs of Sale ("&amp;P35*100&amp;"% Sale Price)"</f>
        <v>Less: Costs of Sale (0% Sale Price)</v>
      </c>
      <c r="O44" s="410"/>
      <c r="P44" s="410"/>
      <c r="Q44" s="410"/>
      <c r="R44" s="51"/>
      <c r="S44" s="2"/>
      <c r="T44" s="2"/>
      <c r="U44" s="2"/>
      <c r="V44" s="2"/>
      <c r="W44" s="2"/>
      <c r="X44" s="2"/>
      <c r="Y44" s="2"/>
      <c r="Z44" s="2"/>
    </row>
    <row r="45" spans="1:26" ht="15.75" customHeight="1" x14ac:dyDescent="0.2">
      <c r="A45" s="10" t="s">
        <v>107</v>
      </c>
      <c r="B45" s="105"/>
      <c r="C45" s="14"/>
      <c r="D45" s="27">
        <f>-J16</f>
        <v>0</v>
      </c>
      <c r="E45" s="2"/>
      <c r="F45" s="14"/>
      <c r="G45" s="27">
        <f>-J16</f>
        <v>0</v>
      </c>
      <c r="H45" s="2"/>
      <c r="I45" s="2"/>
      <c r="J45" s="2"/>
      <c r="K45" s="2"/>
      <c r="L45" s="21"/>
      <c r="M45" s="2"/>
      <c r="N45" s="423" t="s">
        <v>108</v>
      </c>
      <c r="O45" s="410"/>
      <c r="P45" s="410"/>
      <c r="Q45" s="410"/>
      <c r="R45" s="106">
        <f>SUM(R41:R44)</f>
        <v>1493835.1822569498</v>
      </c>
      <c r="S45" s="2"/>
      <c r="T45" s="2"/>
      <c r="U45" s="2"/>
      <c r="V45" s="2"/>
      <c r="W45" s="2"/>
      <c r="X45" s="2"/>
      <c r="Y45" s="2"/>
      <c r="Z45" s="2"/>
    </row>
    <row r="46" spans="1:26" ht="16.5" customHeight="1" x14ac:dyDescent="0.2">
      <c r="A46" s="107" t="s">
        <v>109</v>
      </c>
      <c r="B46" s="2"/>
      <c r="C46" s="2"/>
      <c r="D46" s="24">
        <f>SUM(D43:D45)</f>
        <v>29518.683999999979</v>
      </c>
      <c r="E46" s="2"/>
      <c r="F46" s="2"/>
      <c r="G46" s="24">
        <f>SUM(G43:G45)</f>
        <v>105072.34399999998</v>
      </c>
      <c r="H46" s="2"/>
      <c r="I46" s="2"/>
      <c r="J46" s="2"/>
      <c r="K46" s="2"/>
      <c r="L46" s="21"/>
      <c r="M46" s="2"/>
      <c r="N46" s="423"/>
      <c r="O46" s="410"/>
      <c r="P46" s="410"/>
      <c r="Q46" s="410"/>
      <c r="R46" s="21"/>
      <c r="S46" s="2"/>
      <c r="T46" s="2"/>
      <c r="U46" s="2"/>
      <c r="V46" s="2"/>
      <c r="W46" s="2"/>
      <c r="X46" s="2"/>
      <c r="Y46" s="2"/>
      <c r="Z46" s="2"/>
    </row>
    <row r="47" spans="1:26" ht="15.75" customHeight="1" x14ac:dyDescent="0.2">
      <c r="A47" s="70" t="s">
        <v>110</v>
      </c>
      <c r="B47" s="2"/>
      <c r="C47" s="2"/>
      <c r="D47" s="27">
        <f>SUM(D46)</f>
        <v>29518.683999999979</v>
      </c>
      <c r="E47" s="2"/>
      <c r="F47" s="2"/>
      <c r="G47" s="27">
        <f>SUM(G46)</f>
        <v>105072.34399999998</v>
      </c>
      <c r="H47" s="2"/>
      <c r="I47" s="2"/>
      <c r="J47" s="2"/>
      <c r="K47" s="2"/>
      <c r="L47" s="21"/>
      <c r="M47" s="2"/>
      <c r="N47" s="423"/>
      <c r="O47" s="410"/>
      <c r="P47" s="410"/>
      <c r="Q47" s="410"/>
      <c r="R47" s="15"/>
      <c r="S47" s="2"/>
      <c r="T47" s="2"/>
      <c r="U47" s="2"/>
      <c r="V47" s="2"/>
      <c r="W47" s="2"/>
      <c r="X47" s="2"/>
      <c r="Y47" s="2"/>
      <c r="Z47" s="2"/>
    </row>
    <row r="48" spans="1:26" ht="16.5" customHeight="1" x14ac:dyDescent="0.2">
      <c r="A48" s="70"/>
      <c r="B48" s="2"/>
      <c r="C48" s="2"/>
      <c r="D48" s="27"/>
      <c r="E48" s="2"/>
      <c r="F48" s="2"/>
      <c r="G48" s="27"/>
      <c r="H48" s="2"/>
      <c r="I48" s="2"/>
      <c r="J48" s="2"/>
      <c r="K48" s="2"/>
      <c r="L48" s="21"/>
      <c r="M48" s="2"/>
      <c r="N48" s="423"/>
      <c r="O48" s="410"/>
      <c r="P48" s="410"/>
      <c r="Q48" s="410"/>
      <c r="R48" s="15"/>
      <c r="S48" s="2"/>
      <c r="T48" s="2"/>
      <c r="U48" s="2"/>
      <c r="V48" s="2"/>
      <c r="W48" s="2"/>
      <c r="X48" s="2"/>
      <c r="Y48" s="2"/>
      <c r="Z48" s="2"/>
    </row>
    <row r="49" spans="1:26" ht="15.75" customHeight="1" x14ac:dyDescent="0.4">
      <c r="A49" s="108" t="s">
        <v>111</v>
      </c>
      <c r="B49" s="109"/>
      <c r="C49" s="110"/>
      <c r="D49" s="111"/>
      <c r="E49" s="109"/>
      <c r="F49" s="110"/>
      <c r="G49" s="111"/>
      <c r="H49" s="109"/>
      <c r="I49" s="109"/>
      <c r="J49" s="110"/>
      <c r="K49" s="110"/>
      <c r="L49" s="112"/>
      <c r="M49" s="2"/>
      <c r="N49" s="419" t="s">
        <v>112</v>
      </c>
      <c r="O49" s="420"/>
      <c r="P49" s="420"/>
      <c r="Q49" s="420"/>
      <c r="R49" s="427"/>
      <c r="S49" s="2"/>
      <c r="T49" s="2"/>
      <c r="U49" s="2"/>
      <c r="V49" s="2"/>
      <c r="W49" s="2"/>
      <c r="X49" s="2"/>
      <c r="Y49" s="2"/>
      <c r="Z49" s="2"/>
    </row>
    <row r="50" spans="1:26" ht="15.75" customHeight="1" x14ac:dyDescent="0.2">
      <c r="A50" s="113" t="s">
        <v>113</v>
      </c>
      <c r="B50" s="114"/>
      <c r="C50" s="115"/>
      <c r="D50" s="116">
        <f>D46/D17</f>
        <v>2.5902671112671093E-2</v>
      </c>
      <c r="E50" s="114"/>
      <c r="F50" s="117" t="s">
        <v>113</v>
      </c>
      <c r="G50" s="116">
        <f>G46/D17</f>
        <v>9.2201074061074043E-2</v>
      </c>
      <c r="H50" s="118"/>
      <c r="I50" s="118"/>
      <c r="J50" s="119"/>
      <c r="K50" s="119"/>
      <c r="L50" s="120"/>
      <c r="M50" s="2"/>
      <c r="N50" s="49" t="s">
        <v>114</v>
      </c>
      <c r="O50" s="70"/>
      <c r="P50" s="70"/>
      <c r="Q50" s="121">
        <v>0.02</v>
      </c>
      <c r="R50" s="15">
        <f>Q50*D4</f>
        <v>48000</v>
      </c>
      <c r="S50" s="2"/>
      <c r="T50" s="2"/>
      <c r="U50" s="2"/>
      <c r="V50" s="2"/>
      <c r="W50" s="2"/>
      <c r="X50" s="2"/>
      <c r="Y50" s="2"/>
      <c r="Z50" s="2"/>
    </row>
    <row r="51" spans="1:26" ht="15.75" customHeight="1" x14ac:dyDescent="0.2">
      <c r="A51" s="113" t="s">
        <v>115</v>
      </c>
      <c r="B51" s="114"/>
      <c r="C51" s="115"/>
      <c r="D51" s="116"/>
      <c r="E51" s="114"/>
      <c r="F51" s="117" t="s">
        <v>115</v>
      </c>
      <c r="G51" s="116">
        <f>AVERAGE(PROFORMA!F39:K39)</f>
        <v>7.1267692549322595E-2</v>
      </c>
      <c r="H51" s="118"/>
      <c r="I51" s="118"/>
      <c r="J51" s="115"/>
      <c r="K51" s="115"/>
      <c r="L51" s="120"/>
      <c r="M51" s="2"/>
      <c r="N51" s="49" t="s">
        <v>116</v>
      </c>
      <c r="O51" s="2"/>
      <c r="P51" s="2"/>
      <c r="Q51" s="121">
        <v>0.01</v>
      </c>
      <c r="R51" s="15">
        <f>Q51*AVERAGE(PROFORMA!F13:K13)</f>
        <v>316.32790327103334</v>
      </c>
      <c r="S51" s="2"/>
      <c r="T51" s="2"/>
      <c r="U51" s="2"/>
      <c r="V51" s="2"/>
      <c r="W51" s="2"/>
      <c r="X51" s="2"/>
      <c r="Y51" s="2"/>
      <c r="Z51" s="2"/>
    </row>
    <row r="52" spans="1:26" ht="15.75" customHeight="1" x14ac:dyDescent="0.2">
      <c r="A52" s="113" t="s">
        <v>117</v>
      </c>
      <c r="B52" s="114"/>
      <c r="C52" s="117" t="s">
        <v>118</v>
      </c>
      <c r="D52" s="116">
        <f>D43/D4</f>
        <v>5.3204451666666659E-2</v>
      </c>
      <c r="E52" s="114"/>
      <c r="F52" s="117" t="s">
        <v>119</v>
      </c>
      <c r="G52" s="116">
        <f>LOOKUP(INPUTS!R35,PROFORMA!E9:K9,PROFORMA!E23:K23)/LOOKUP(INPUTS!R35,PROFORMA!E9:K9,PROFORMA!E40:K40)</f>
        <v>6.5000000000000002E-2</v>
      </c>
      <c r="H52" s="118"/>
      <c r="I52" s="118"/>
      <c r="J52" s="430" t="s">
        <v>120</v>
      </c>
      <c r="K52" s="404"/>
      <c r="L52" s="122">
        <f>PROFORMA!K23/INPUTS!D4</f>
        <v>9.581223797128699E-2</v>
      </c>
      <c r="M52" s="2"/>
      <c r="N52" s="49" t="s">
        <v>121</v>
      </c>
      <c r="O52" s="2"/>
      <c r="P52" s="2"/>
      <c r="Q52" s="121">
        <v>0.01</v>
      </c>
      <c r="R52" s="123">
        <f>Q52*R19</f>
        <v>19053.276596086154</v>
      </c>
      <c r="S52" s="2"/>
      <c r="T52" s="2"/>
      <c r="U52" s="2"/>
      <c r="V52" s="2"/>
      <c r="W52" s="2"/>
      <c r="X52" s="2"/>
      <c r="Y52" s="2"/>
      <c r="Z52" s="2"/>
    </row>
    <row r="53" spans="1:26" ht="15.75" customHeight="1" x14ac:dyDescent="0.2">
      <c r="A53" s="113" t="s">
        <v>122</v>
      </c>
      <c r="B53" s="114"/>
      <c r="C53" s="117"/>
      <c r="D53" s="116"/>
      <c r="E53" s="114"/>
      <c r="F53" s="117" t="s">
        <v>122</v>
      </c>
      <c r="G53" s="124">
        <f>(PROFORMA!E53+PROFORMA!E56)/INPUTS!D17</f>
        <v>1.7384478385680924</v>
      </c>
      <c r="H53" s="118"/>
      <c r="I53" s="118"/>
      <c r="J53" s="119"/>
      <c r="K53" s="119" t="s">
        <v>119</v>
      </c>
      <c r="L53" s="122">
        <f>R37</f>
        <v>6.5000000000000002E-2</v>
      </c>
      <c r="M53" s="2"/>
      <c r="N53" s="49" t="s">
        <v>123</v>
      </c>
      <c r="O53" s="2"/>
      <c r="P53" s="2"/>
      <c r="Q53" s="121">
        <v>0</v>
      </c>
      <c r="R53" s="123">
        <f>Q53*R36</f>
        <v>0</v>
      </c>
      <c r="S53" s="2"/>
      <c r="T53" s="2"/>
      <c r="U53" s="2"/>
      <c r="V53" s="2"/>
      <c r="W53" s="2"/>
      <c r="X53" s="2"/>
      <c r="Y53" s="2"/>
      <c r="Z53" s="2"/>
    </row>
    <row r="54" spans="1:26" ht="16.5" customHeight="1" x14ac:dyDescent="0.2">
      <c r="A54" s="113" t="s">
        <v>124</v>
      </c>
      <c r="B54" s="114"/>
      <c r="C54" s="115"/>
      <c r="D54" s="117" t="s">
        <v>125</v>
      </c>
      <c r="E54" s="114"/>
      <c r="F54" s="117" t="s">
        <v>124</v>
      </c>
      <c r="G54" s="116">
        <f>PROFORMA!E52</f>
        <v>0.16935242517374149</v>
      </c>
      <c r="H54" s="118"/>
      <c r="I54" s="118"/>
      <c r="J54" s="119"/>
      <c r="K54" s="119" t="s">
        <v>126</v>
      </c>
      <c r="L54" s="125">
        <f>L52-L53</f>
        <v>3.0812237971286988E-2</v>
      </c>
      <c r="M54" s="2"/>
      <c r="N54" s="49" t="s">
        <v>127</v>
      </c>
      <c r="O54" s="2"/>
      <c r="P54" s="2"/>
      <c r="Q54" s="121">
        <v>7.0000000000000007E-2</v>
      </c>
      <c r="R54" s="15">
        <f>Q54*D8</f>
        <v>3500.0000000000005</v>
      </c>
      <c r="S54" s="2"/>
      <c r="T54" s="2"/>
      <c r="U54" s="2"/>
      <c r="V54" s="2"/>
      <c r="W54" s="2"/>
      <c r="X54" s="2"/>
      <c r="Y54" s="2"/>
      <c r="Z54" s="2"/>
    </row>
    <row r="55" spans="1:26" ht="16.5" customHeight="1" x14ac:dyDescent="0.2">
      <c r="A55" s="113" t="s">
        <v>128</v>
      </c>
      <c r="B55" s="114"/>
      <c r="C55" s="115"/>
      <c r="D55" s="117"/>
      <c r="E55" s="114"/>
      <c r="F55" s="117"/>
      <c r="G55" s="116">
        <f>G35/D4</f>
        <v>1.2959166666666667E-2</v>
      </c>
      <c r="H55" s="118"/>
      <c r="I55" s="118"/>
      <c r="J55" s="119"/>
      <c r="K55" s="119"/>
      <c r="L55" s="120"/>
      <c r="M55" s="2"/>
      <c r="N55" s="49"/>
      <c r="O55" s="2"/>
      <c r="P55" s="2"/>
      <c r="Q55" s="126"/>
      <c r="R55" s="15"/>
      <c r="S55" s="2"/>
      <c r="T55" s="2"/>
      <c r="U55" s="2"/>
      <c r="V55" s="2"/>
      <c r="W55" s="2"/>
      <c r="X55" s="2"/>
      <c r="Y55" s="2"/>
      <c r="Z55" s="2"/>
    </row>
    <row r="56" spans="1:26" ht="16.5" customHeight="1" x14ac:dyDescent="0.2">
      <c r="A56" s="113" t="s">
        <v>129</v>
      </c>
      <c r="B56" s="114"/>
      <c r="C56" s="115"/>
      <c r="D56" s="117"/>
      <c r="E56" s="114"/>
      <c r="F56" s="117"/>
      <c r="G56" s="116">
        <f>IF(D8&gt;0,(G35-D35)*12/D8,0)</f>
        <v>1.5431999999999999</v>
      </c>
      <c r="H56" s="118"/>
      <c r="I56" s="118"/>
      <c r="J56" s="119"/>
      <c r="K56" s="119"/>
      <c r="L56" s="120"/>
      <c r="M56" s="2"/>
      <c r="N56" s="49"/>
      <c r="O56" s="2"/>
      <c r="P56" s="2"/>
      <c r="Q56" s="126"/>
      <c r="R56" s="15"/>
      <c r="S56" s="2"/>
      <c r="T56" s="2"/>
      <c r="U56" s="2"/>
      <c r="V56" s="2"/>
      <c r="W56" s="2"/>
      <c r="X56" s="2"/>
      <c r="Y56" s="2"/>
      <c r="Z56" s="2"/>
    </row>
    <row r="57" spans="1:26" ht="16.5" customHeight="1" x14ac:dyDescent="0.2">
      <c r="A57" s="431" t="s">
        <v>130</v>
      </c>
      <c r="B57" s="420"/>
      <c r="C57" s="420"/>
      <c r="D57" s="420"/>
      <c r="E57" s="420"/>
      <c r="F57" s="420"/>
      <c r="G57" s="420"/>
      <c r="H57" s="420"/>
      <c r="I57" s="420"/>
      <c r="J57" s="420"/>
      <c r="K57" s="420"/>
      <c r="L57" s="427"/>
      <c r="M57" s="2"/>
      <c r="N57" s="10"/>
      <c r="O57" s="2"/>
      <c r="P57" s="2"/>
      <c r="Q57" s="2"/>
      <c r="R57" s="21"/>
      <c r="S57" s="2"/>
      <c r="T57" s="2"/>
      <c r="U57" s="2"/>
      <c r="V57" s="2"/>
      <c r="W57" s="2"/>
      <c r="X57" s="2"/>
      <c r="Y57" s="2"/>
      <c r="Z57" s="2"/>
    </row>
    <row r="58" spans="1:26" ht="15.75" customHeight="1" x14ac:dyDescent="0.2">
      <c r="A58" s="10" t="s">
        <v>131</v>
      </c>
      <c r="B58" s="2"/>
      <c r="C58" s="2"/>
      <c r="D58" s="2"/>
      <c r="E58" s="2"/>
      <c r="F58" s="2"/>
      <c r="G58" s="2"/>
      <c r="H58" s="2"/>
      <c r="I58" s="2"/>
      <c r="J58" s="2"/>
      <c r="K58" s="2"/>
      <c r="L58" s="21"/>
      <c r="M58" s="2"/>
      <c r="N58" s="10" t="s">
        <v>132</v>
      </c>
      <c r="O58" s="2"/>
      <c r="P58" s="2"/>
      <c r="Q58" s="2"/>
      <c r="R58" s="25">
        <f>R50+R52+R53+R54</f>
        <v>70553.276596086158</v>
      </c>
      <c r="S58" s="2"/>
      <c r="T58" s="2"/>
      <c r="U58" s="2"/>
      <c r="V58" s="2"/>
      <c r="W58" s="2"/>
      <c r="X58" s="2"/>
      <c r="Y58" s="2"/>
      <c r="Z58" s="2"/>
    </row>
    <row r="59" spans="1:26" ht="16.5" customHeight="1" x14ac:dyDescent="0.2">
      <c r="A59" s="29" t="s">
        <v>133</v>
      </c>
      <c r="B59" s="30"/>
      <c r="C59" s="30"/>
      <c r="D59" s="30"/>
      <c r="E59" s="30"/>
      <c r="F59" s="30"/>
      <c r="G59" s="30"/>
      <c r="H59" s="30"/>
      <c r="I59" s="30"/>
      <c r="J59" s="30"/>
      <c r="K59" s="30"/>
      <c r="L59" s="83"/>
      <c r="M59" s="2"/>
      <c r="N59" s="29" t="s">
        <v>134</v>
      </c>
      <c r="O59" s="30"/>
      <c r="P59" s="30"/>
      <c r="Q59" s="30"/>
      <c r="R59" s="31">
        <f>R51</f>
        <v>316.32790327103334</v>
      </c>
      <c r="S59" s="14"/>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14"/>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
    <row r="261" spans="1:26" ht="15.75" customHeight="1" x14ac:dyDescent="0.2"/>
    <row r="262" spans="1:26" ht="15.75" customHeight="1" x14ac:dyDescent="0.2"/>
    <row r="263" spans="1:26" ht="15.75" customHeight="1" x14ac:dyDescent="0.2"/>
    <row r="264" spans="1:26" ht="15.75" customHeight="1" x14ac:dyDescent="0.2"/>
    <row r="265" spans="1:26" ht="15.75" customHeight="1" x14ac:dyDescent="0.2"/>
    <row r="266" spans="1:26" ht="15.75" customHeight="1" x14ac:dyDescent="0.2"/>
    <row r="267" spans="1:26" ht="15.75" customHeight="1" x14ac:dyDescent="0.2"/>
    <row r="268" spans="1:26" ht="15.75" customHeight="1" x14ac:dyDescent="0.2"/>
    <row r="269" spans="1:26" ht="15.75" customHeight="1" x14ac:dyDescent="0.2"/>
    <row r="270" spans="1:26" ht="15.75" customHeight="1" x14ac:dyDescent="0.2"/>
    <row r="271" spans="1:26" ht="15.75" customHeight="1" x14ac:dyDescent="0.2"/>
    <row r="272" spans="1:26"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2">
    <mergeCell ref="N40:Q40"/>
    <mergeCell ref="N48:Q48"/>
    <mergeCell ref="N49:R49"/>
    <mergeCell ref="J52:K52"/>
    <mergeCell ref="A57:L57"/>
    <mergeCell ref="N41:Q41"/>
    <mergeCell ref="N42:Q42"/>
    <mergeCell ref="N43:Q43"/>
    <mergeCell ref="N44:Q44"/>
    <mergeCell ref="N45:Q45"/>
    <mergeCell ref="N46:Q46"/>
    <mergeCell ref="N47:Q47"/>
    <mergeCell ref="A36:L36"/>
    <mergeCell ref="N36:Q36"/>
    <mergeCell ref="N37:Q37"/>
    <mergeCell ref="N38:Q38"/>
    <mergeCell ref="N39:Q39"/>
    <mergeCell ref="C19:D19"/>
    <mergeCell ref="F19:G19"/>
    <mergeCell ref="N33:R33"/>
    <mergeCell ref="N34:Q34"/>
    <mergeCell ref="N35:Q35"/>
    <mergeCell ref="E11:L11"/>
    <mergeCell ref="N13:R13"/>
    <mergeCell ref="N14:Q14"/>
    <mergeCell ref="N15:Q15"/>
    <mergeCell ref="A18:G18"/>
    <mergeCell ref="A2:L2"/>
    <mergeCell ref="N2:R2"/>
    <mergeCell ref="E3:L3"/>
    <mergeCell ref="E4:G10"/>
    <mergeCell ref="H4:L10"/>
  </mergeCells>
  <conditionalFormatting sqref="C44">
    <cfRule type="cellIs" dxfId="23" priority="1" operator="lessThan">
      <formula>1.2</formula>
    </cfRule>
  </conditionalFormatting>
  <conditionalFormatting sqref="C44">
    <cfRule type="cellIs" dxfId="22" priority="2" operator="greaterThanOrEqual">
      <formula>1.25</formula>
    </cfRule>
  </conditionalFormatting>
  <conditionalFormatting sqref="F44">
    <cfRule type="cellIs" dxfId="21" priority="3" operator="lessThan">
      <formula>1.2</formula>
    </cfRule>
  </conditionalFormatting>
  <conditionalFormatting sqref="F44">
    <cfRule type="cellIs" dxfId="20" priority="4" operator="greaterThanOrEqual">
      <formula>1.25</formula>
    </cfRule>
  </conditionalFormatting>
  <conditionalFormatting sqref="G51">
    <cfRule type="cellIs" dxfId="19" priority="5" operator="lessThan">
      <formula>0.06</formula>
    </cfRule>
  </conditionalFormatting>
  <conditionalFormatting sqref="G51">
    <cfRule type="cellIs" dxfId="18" priority="6" operator="greaterThanOrEqual">
      <formula>0.06</formula>
    </cfRule>
  </conditionalFormatting>
  <conditionalFormatting sqref="G53">
    <cfRule type="cellIs" dxfId="17" priority="7" operator="lessThan">
      <formula>1.8</formula>
    </cfRule>
  </conditionalFormatting>
  <conditionalFormatting sqref="G53">
    <cfRule type="cellIs" dxfId="16" priority="8" operator="greaterThanOrEqual">
      <formula>1.8</formula>
    </cfRule>
  </conditionalFormatting>
  <conditionalFormatting sqref="G54">
    <cfRule type="cellIs" dxfId="15" priority="9" operator="lessThan">
      <formula>0.16</formula>
    </cfRule>
  </conditionalFormatting>
  <conditionalFormatting sqref="G54">
    <cfRule type="cellIs" dxfId="14" priority="10" operator="greaterThanOrEqual">
      <formula>0.16</formula>
    </cfRule>
  </conditionalFormatting>
  <conditionalFormatting sqref="G55">
    <cfRule type="cellIs" dxfId="13" priority="11" operator="lessThan">
      <formula>0.01</formula>
    </cfRule>
  </conditionalFormatting>
  <conditionalFormatting sqref="G55">
    <cfRule type="cellIs" dxfId="12" priority="12" operator="greaterThanOrEqual">
      <formula>0.01</formula>
    </cfRule>
  </conditionalFormatting>
  <conditionalFormatting sqref="G56">
    <cfRule type="cellIs" dxfId="11" priority="13" operator="lessThan">
      <formula>0.18</formula>
    </cfRule>
  </conditionalFormatting>
  <conditionalFormatting sqref="G56">
    <cfRule type="cellIs" dxfId="10" priority="14" operator="greaterThanOrEqual">
      <formula>0.18</formula>
    </cfRule>
  </conditionalFormatting>
  <dataValidations count="3">
    <dataValidation type="list" allowBlank="1" showInputMessage="1" showErrorMessage="1" prompt="Include Renovation Dollars? - Choose whether to include Repair Budget (D8) in the loan." sqref="D9">
      <formula1>"yes,no"</formula1>
    </dataValidation>
    <dataValidation type="list" allowBlank="1" showErrorMessage="1" sqref="R14">
      <formula1>"Yes,No"</formula1>
    </dataValidation>
    <dataValidation type="list" allowBlank="1" showErrorMessage="1" sqref="H12">
      <formula1>"0,1,2,3,4,5,6"</formula1>
    </dataValidation>
  </dataValidations>
  <pageMargins left="0.7" right="0.7" top="0.75" bottom="0.75" header="0" footer="0"/>
  <pageSetup orientation="portrait"/>
  <drawing r:id="rId1"/>
  <legacyDrawing r:id="rId2"/>
  <extLst>
    <ext xmlns:x14="http://schemas.microsoft.com/office/spreadsheetml/2009/9/main" uri="{CCE6A557-97BC-4b89-ADB6-D9C93CAAB3DF}">
      <x14:dataValidations xmlns:xm="http://schemas.microsoft.com/office/excel/2006/main" count="2">
        <x14:dataValidation type="list" allowBlank="1" showErrorMessage="1">
          <x14:formula1>
            <xm:f>PROFORMA!$E$9:$K$9</xm:f>
          </x14:formula1>
          <xm:sqref>R20</xm:sqref>
        </x14:dataValidation>
        <x14:dataValidation type="list" allowBlank="1" showErrorMessage="1">
          <x14:formula1>
            <xm:f>PROFORMA!$F$9:$K$9</xm:f>
          </x14:formula1>
          <xm:sqref>R15 R35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rgb="FFA8D08D"/>
    <pageSetUpPr fitToPage="1"/>
  </sheetPr>
  <dimension ref="A1:Z1000"/>
  <sheetViews>
    <sheetView showGridLines="0" workbookViewId="0">
      <pane xSplit="4" ySplit="10" topLeftCell="E11" activePane="bottomRight" state="frozen"/>
      <selection pane="topRight" activeCell="E1" sqref="E1"/>
      <selection pane="bottomLeft" activeCell="A11" sqref="A11"/>
      <selection pane="bottomRight" activeCell="E11" sqref="E11"/>
    </sheetView>
  </sheetViews>
  <sheetFormatPr baseColWidth="10" defaultColWidth="11.1640625" defaultRowHeight="15" customHeight="1" x14ac:dyDescent="0.2"/>
  <cols>
    <col min="1" max="1" width="2.5" customWidth="1"/>
    <col min="2" max="2" width="7.6640625" customWidth="1"/>
    <col min="3" max="3" width="12.5" customWidth="1"/>
    <col min="4" max="4" width="10.83203125" customWidth="1"/>
    <col min="5" max="11" width="12.5" customWidth="1"/>
    <col min="12" max="15" width="12.5" hidden="1" customWidth="1"/>
    <col min="16" max="16" width="4.5" customWidth="1"/>
    <col min="17" max="18" width="12.5" customWidth="1"/>
    <col min="19" max="26" width="8.83203125" customWidth="1"/>
  </cols>
  <sheetData>
    <row r="1" spans="1:26" ht="1.5" customHeight="1" x14ac:dyDescent="0.2">
      <c r="A1" s="127"/>
      <c r="B1" s="127"/>
      <c r="C1" s="127"/>
      <c r="D1" s="127"/>
      <c r="E1" s="127"/>
      <c r="F1" s="128"/>
      <c r="G1" s="129"/>
      <c r="H1" s="129"/>
      <c r="I1" s="129"/>
      <c r="J1" s="127"/>
      <c r="K1" s="127"/>
      <c r="L1" s="127"/>
      <c r="M1" s="127"/>
      <c r="N1" s="127"/>
      <c r="O1" s="127"/>
      <c r="P1" s="127"/>
      <c r="Q1" s="127"/>
      <c r="R1" s="127"/>
      <c r="S1" s="130"/>
      <c r="T1" s="130"/>
      <c r="U1" s="130"/>
      <c r="V1" s="130"/>
      <c r="W1" s="130"/>
      <c r="X1" s="130"/>
      <c r="Y1" s="130"/>
      <c r="Z1" s="130"/>
    </row>
    <row r="2" spans="1:26" ht="30" customHeight="1" x14ac:dyDescent="0.35">
      <c r="A2" s="131"/>
      <c r="B2" s="131" t="str">
        <f>INPUTS!A2</f>
        <v>1547 Milligan Hwy, Johnson City, TN 37604</v>
      </c>
      <c r="C2" s="131"/>
      <c r="D2" s="131"/>
      <c r="E2" s="131"/>
      <c r="F2" s="131"/>
      <c r="G2" s="131"/>
      <c r="H2" s="131"/>
      <c r="I2" s="131"/>
      <c r="J2" s="131"/>
      <c r="K2" s="131"/>
      <c r="L2" s="131"/>
      <c r="M2" s="131"/>
      <c r="N2" s="131"/>
      <c r="O2" s="131"/>
      <c r="P2" s="131"/>
      <c r="Q2" s="131"/>
      <c r="R2" s="131"/>
      <c r="S2" s="132"/>
      <c r="T2" s="132"/>
      <c r="U2" s="132"/>
      <c r="V2" s="132"/>
      <c r="W2" s="132"/>
      <c r="X2" s="132"/>
      <c r="Y2" s="132"/>
      <c r="Z2" s="132"/>
    </row>
    <row r="3" spans="1:26" ht="12.75" customHeight="1" x14ac:dyDescent="0.2">
      <c r="A3" s="133"/>
      <c r="B3" s="134" t="s">
        <v>135</v>
      </c>
      <c r="C3" s="133"/>
      <c r="D3" s="133"/>
      <c r="E3" s="133"/>
      <c r="F3" s="133"/>
      <c r="G3" s="133"/>
      <c r="H3" s="133"/>
      <c r="I3" s="133"/>
      <c r="J3" s="133"/>
      <c r="K3" s="133"/>
      <c r="L3" s="133"/>
      <c r="M3" s="133"/>
      <c r="N3" s="133"/>
      <c r="O3" s="133"/>
      <c r="P3" s="133"/>
      <c r="Q3" s="133"/>
      <c r="R3" s="133"/>
      <c r="S3" s="135"/>
      <c r="T3" s="135"/>
      <c r="U3" s="135"/>
      <c r="V3" s="135"/>
      <c r="W3" s="135"/>
      <c r="X3" s="135"/>
      <c r="Y3" s="135"/>
      <c r="Z3" s="135"/>
    </row>
    <row r="4" spans="1:26" ht="3.75" customHeight="1" x14ac:dyDescent="0.2">
      <c r="A4" s="132"/>
      <c r="B4" s="132"/>
      <c r="C4" s="132"/>
      <c r="D4" s="132"/>
      <c r="E4" s="132"/>
      <c r="F4" s="136"/>
      <c r="G4" s="137"/>
      <c r="H4" s="137"/>
      <c r="I4" s="137"/>
      <c r="J4" s="132"/>
      <c r="K4" s="132"/>
      <c r="L4" s="132"/>
      <c r="M4" s="132"/>
      <c r="N4" s="132"/>
      <c r="O4" s="132"/>
      <c r="P4" s="132"/>
      <c r="Q4" s="132"/>
      <c r="R4" s="132"/>
      <c r="S4" s="132"/>
      <c r="T4" s="132"/>
      <c r="U4" s="132"/>
      <c r="V4" s="132"/>
      <c r="W4" s="132"/>
      <c r="X4" s="132"/>
      <c r="Y4" s="132"/>
      <c r="Z4" s="132"/>
    </row>
    <row r="5" spans="1:26" ht="12.75" customHeight="1" x14ac:dyDescent="0.2">
      <c r="A5" s="132"/>
      <c r="B5" s="130" t="s">
        <v>136</v>
      </c>
      <c r="C5" s="132"/>
      <c r="D5" s="132">
        <f>INPUTS!A35</f>
        <v>28</v>
      </c>
      <c r="E5" s="132"/>
      <c r="F5" s="136"/>
      <c r="G5" s="137"/>
      <c r="H5" s="137"/>
      <c r="I5" s="137"/>
      <c r="J5" s="132"/>
      <c r="K5" s="132"/>
      <c r="L5" s="132"/>
      <c r="M5" s="132"/>
      <c r="N5" s="132"/>
      <c r="O5" s="132"/>
      <c r="P5" s="132"/>
      <c r="Q5" s="132"/>
      <c r="R5" s="132"/>
      <c r="S5" s="132"/>
      <c r="T5" s="132"/>
      <c r="U5" s="132"/>
      <c r="V5" s="132"/>
      <c r="W5" s="132"/>
      <c r="X5" s="132"/>
      <c r="Y5" s="132"/>
      <c r="Z5" s="132"/>
    </row>
    <row r="6" spans="1:26" ht="12.75" customHeight="1" x14ac:dyDescent="0.2">
      <c r="A6" s="132"/>
      <c r="B6" s="130" t="s">
        <v>137</v>
      </c>
      <c r="C6" s="132"/>
      <c r="D6" s="138">
        <f>INPUTS!E35</f>
        <v>10528</v>
      </c>
      <c r="E6" s="132"/>
      <c r="F6" s="136"/>
      <c r="G6" s="137"/>
      <c r="H6" s="137"/>
      <c r="I6" s="137"/>
      <c r="J6" s="132"/>
      <c r="K6" s="132"/>
      <c r="L6" s="132"/>
      <c r="M6" s="132"/>
      <c r="N6" s="132"/>
      <c r="O6" s="132"/>
      <c r="P6" s="132"/>
      <c r="Q6" s="132"/>
      <c r="R6" s="132"/>
      <c r="S6" s="132"/>
      <c r="T6" s="132"/>
      <c r="U6" s="132"/>
      <c r="V6" s="132"/>
      <c r="W6" s="132"/>
      <c r="X6" s="132"/>
      <c r="Y6" s="132"/>
      <c r="Z6" s="132"/>
    </row>
    <row r="7" spans="1:26" ht="12.75" customHeight="1" x14ac:dyDescent="0.2">
      <c r="A7" s="132"/>
      <c r="B7" s="132"/>
      <c r="C7" s="132"/>
      <c r="D7" s="132"/>
      <c r="E7" s="132"/>
      <c r="F7" s="136"/>
      <c r="G7" s="137"/>
      <c r="H7" s="137"/>
      <c r="I7" s="137"/>
      <c r="J7" s="132"/>
      <c r="K7" s="132"/>
      <c r="L7" s="132"/>
      <c r="M7" s="132"/>
      <c r="N7" s="132"/>
      <c r="O7" s="132"/>
      <c r="P7" s="132"/>
      <c r="Q7" s="132"/>
      <c r="R7" s="132"/>
      <c r="S7" s="132"/>
      <c r="T7" s="132"/>
      <c r="U7" s="132"/>
      <c r="V7" s="132"/>
      <c r="W7" s="132"/>
      <c r="X7" s="132"/>
      <c r="Y7" s="132"/>
      <c r="Z7" s="132"/>
    </row>
    <row r="8" spans="1:26" ht="3.75" customHeight="1" x14ac:dyDescent="0.2">
      <c r="A8" s="132"/>
      <c r="B8" s="132"/>
      <c r="C8" s="132"/>
      <c r="D8" s="132"/>
      <c r="E8" s="132"/>
      <c r="F8" s="136"/>
      <c r="G8" s="137"/>
      <c r="H8" s="137"/>
      <c r="I8" s="137"/>
      <c r="J8" s="132"/>
      <c r="K8" s="132"/>
      <c r="L8" s="132"/>
      <c r="M8" s="132"/>
      <c r="N8" s="132"/>
      <c r="O8" s="132"/>
      <c r="P8" s="132"/>
      <c r="Q8" s="132"/>
      <c r="R8" s="132"/>
      <c r="S8" s="132"/>
      <c r="T8" s="132"/>
      <c r="U8" s="132"/>
      <c r="V8" s="132"/>
      <c r="W8" s="132"/>
      <c r="X8" s="132"/>
      <c r="Y8" s="132"/>
      <c r="Z8" s="132"/>
    </row>
    <row r="9" spans="1:26" ht="12.75" customHeight="1" x14ac:dyDescent="0.2">
      <c r="A9" s="130"/>
      <c r="B9" s="139"/>
      <c r="C9" s="139"/>
      <c r="D9" s="139"/>
      <c r="E9" s="140">
        <v>0</v>
      </c>
      <c r="F9" s="140">
        <f t="shared" ref="F9:O9" si="0">E9+1</f>
        <v>1</v>
      </c>
      <c r="G9" s="140">
        <f t="shared" si="0"/>
        <v>2</v>
      </c>
      <c r="H9" s="140">
        <f t="shared" si="0"/>
        <v>3</v>
      </c>
      <c r="I9" s="140">
        <f t="shared" si="0"/>
        <v>4</v>
      </c>
      <c r="J9" s="140">
        <f t="shared" si="0"/>
        <v>5</v>
      </c>
      <c r="K9" s="140">
        <f t="shared" si="0"/>
        <v>6</v>
      </c>
      <c r="L9" s="140">
        <f t="shared" si="0"/>
        <v>7</v>
      </c>
      <c r="M9" s="140">
        <f t="shared" si="0"/>
        <v>8</v>
      </c>
      <c r="N9" s="140">
        <f t="shared" si="0"/>
        <v>9</v>
      </c>
      <c r="O9" s="140">
        <f t="shared" si="0"/>
        <v>10</v>
      </c>
      <c r="P9" s="132"/>
      <c r="Q9" s="140" t="s">
        <v>6</v>
      </c>
      <c r="R9" s="140" t="s">
        <v>138</v>
      </c>
      <c r="S9" s="130"/>
      <c r="T9" s="130"/>
      <c r="U9" s="130"/>
      <c r="V9" s="130"/>
      <c r="W9" s="130"/>
      <c r="X9" s="130"/>
      <c r="Y9" s="130"/>
      <c r="Z9" s="130"/>
    </row>
    <row r="10" spans="1:26" ht="12.75" customHeight="1" x14ac:dyDescent="0.2">
      <c r="A10" s="132"/>
      <c r="B10" s="141"/>
      <c r="C10" s="141"/>
      <c r="D10" s="141"/>
      <c r="E10" s="142">
        <v>2026</v>
      </c>
      <c r="F10" s="143">
        <f>E10</f>
        <v>2026</v>
      </c>
      <c r="G10" s="143">
        <f t="shared" ref="G10:O10" si="1">F10+1</f>
        <v>2027</v>
      </c>
      <c r="H10" s="143">
        <f t="shared" si="1"/>
        <v>2028</v>
      </c>
      <c r="I10" s="143">
        <f t="shared" si="1"/>
        <v>2029</v>
      </c>
      <c r="J10" s="143">
        <f t="shared" si="1"/>
        <v>2030</v>
      </c>
      <c r="K10" s="143">
        <f t="shared" si="1"/>
        <v>2031</v>
      </c>
      <c r="L10" s="143">
        <f t="shared" si="1"/>
        <v>2032</v>
      </c>
      <c r="M10" s="143">
        <f t="shared" si="1"/>
        <v>2033</v>
      </c>
      <c r="N10" s="143">
        <f t="shared" si="1"/>
        <v>2034</v>
      </c>
      <c r="O10" s="143">
        <f t="shared" si="1"/>
        <v>2035</v>
      </c>
      <c r="P10" s="132"/>
      <c r="Q10" s="141"/>
      <c r="R10" s="141"/>
      <c r="S10" s="132"/>
      <c r="T10" s="132"/>
      <c r="U10" s="132"/>
      <c r="V10" s="132"/>
      <c r="W10" s="132"/>
      <c r="X10" s="132"/>
      <c r="Y10" s="132"/>
      <c r="Z10" s="132"/>
    </row>
    <row r="11" spans="1:26" ht="12.75" customHeight="1" x14ac:dyDescent="0.2">
      <c r="A11" s="132"/>
      <c r="B11" s="132"/>
      <c r="C11" s="132"/>
      <c r="D11" s="132"/>
      <c r="E11" s="136"/>
      <c r="F11" s="137"/>
      <c r="G11" s="137"/>
      <c r="H11" s="137"/>
      <c r="I11" s="132"/>
      <c r="J11" s="132"/>
      <c r="K11" s="132"/>
      <c r="L11" s="132"/>
      <c r="M11" s="132"/>
      <c r="N11" s="132"/>
      <c r="O11" s="132"/>
      <c r="P11" s="132"/>
      <c r="Q11" s="132"/>
      <c r="R11" s="132"/>
      <c r="S11" s="132"/>
      <c r="T11" s="132"/>
      <c r="U11" s="132"/>
      <c r="V11" s="132"/>
      <c r="W11" s="132"/>
      <c r="X11" s="132"/>
      <c r="Y11" s="132"/>
      <c r="Z11" s="132"/>
    </row>
    <row r="12" spans="1:26" ht="12.75" customHeight="1" x14ac:dyDescent="0.2">
      <c r="A12" s="132"/>
      <c r="B12" s="144" t="s">
        <v>139</v>
      </c>
      <c r="C12" s="132"/>
      <c r="D12" s="132"/>
      <c r="E12" s="136"/>
      <c r="F12" s="137"/>
      <c r="G12" s="137"/>
      <c r="H12" s="137"/>
      <c r="I12" s="132"/>
      <c r="J12" s="132"/>
      <c r="K12" s="132"/>
      <c r="L12" s="132"/>
      <c r="M12" s="132"/>
      <c r="N12" s="132"/>
      <c r="O12" s="132"/>
      <c r="P12" s="132"/>
      <c r="Q12" s="132"/>
      <c r="R12" s="132"/>
      <c r="S12" s="132"/>
      <c r="T12" s="132"/>
      <c r="U12" s="132"/>
      <c r="V12" s="132"/>
      <c r="W12" s="132"/>
      <c r="X12" s="132"/>
      <c r="Y12" s="132"/>
      <c r="Z12" s="132"/>
    </row>
    <row r="13" spans="1:26" ht="15.75" customHeight="1" x14ac:dyDescent="0.2">
      <c r="A13" s="145"/>
      <c r="B13" s="145" t="s">
        <v>140</v>
      </c>
      <c r="C13" s="145"/>
      <c r="D13" s="145"/>
      <c r="E13" s="146">
        <v>0</v>
      </c>
      <c r="F13" s="146">
        <f>INPUTS!D35</f>
        <v>24672</v>
      </c>
      <c r="G13" s="147">
        <f>INPUTS!G35</f>
        <v>31102</v>
      </c>
      <c r="H13" s="147">
        <f>G13*(1+H14)*(H$9&lt;=INPUTS!$R$35)</f>
        <v>32035.06</v>
      </c>
      <c r="I13" s="147">
        <f>H13*(1+I14)*(I$9&lt;=INPUTS!$R$35)</f>
        <v>32996.111799999999</v>
      </c>
      <c r="J13" s="147">
        <f>I13*(1+J14)*(J$9&lt;=INPUTS!$R$35)</f>
        <v>33985.995153999997</v>
      </c>
      <c r="K13" s="147">
        <f>J13*(1+K14)*(K$9&lt;=INPUTS!$R$35)</f>
        <v>35005.575008619999</v>
      </c>
      <c r="L13" s="148"/>
      <c r="M13" s="148"/>
      <c r="N13" s="148"/>
      <c r="O13" s="148"/>
      <c r="P13" s="132"/>
      <c r="Q13" s="149">
        <f>SUM(E13:O13)</f>
        <v>189796.74196262</v>
      </c>
      <c r="R13" s="149">
        <f>AVERAGE(E13:O13)</f>
        <v>27113.820280374286</v>
      </c>
      <c r="S13" s="145"/>
      <c r="T13" s="145"/>
      <c r="U13" s="145"/>
      <c r="V13" s="145"/>
      <c r="W13" s="145"/>
      <c r="X13" s="145"/>
      <c r="Y13" s="145"/>
      <c r="Z13" s="145"/>
    </row>
    <row r="14" spans="1:26" ht="15.75" customHeight="1" x14ac:dyDescent="0.2">
      <c r="A14" s="145"/>
      <c r="B14" s="150" t="s">
        <v>141</v>
      </c>
      <c r="C14" s="145"/>
      <c r="D14" s="145"/>
      <c r="E14" s="151" t="s">
        <v>142</v>
      </c>
      <c r="F14" s="151" t="s">
        <v>142</v>
      </c>
      <c r="G14" s="151" t="s">
        <v>142</v>
      </c>
      <c r="H14" s="151">
        <v>0.03</v>
      </c>
      <c r="I14" s="151">
        <v>0.03</v>
      </c>
      <c r="J14" s="151">
        <v>0.03</v>
      </c>
      <c r="K14" s="151">
        <v>0.03</v>
      </c>
      <c r="L14" s="148"/>
      <c r="M14" s="148"/>
      <c r="N14" s="148"/>
      <c r="O14" s="148"/>
      <c r="P14" s="132"/>
      <c r="Q14" s="149"/>
      <c r="R14" s="149"/>
      <c r="S14" s="145"/>
      <c r="T14" s="145"/>
      <c r="U14" s="145"/>
      <c r="V14" s="145"/>
      <c r="W14" s="145"/>
      <c r="X14" s="145"/>
      <c r="Y14" s="145"/>
      <c r="Z14" s="145"/>
    </row>
    <row r="15" spans="1:26" ht="15.75" customHeight="1" x14ac:dyDescent="0.2">
      <c r="A15" s="150"/>
      <c r="B15" s="152" t="s">
        <v>143</v>
      </c>
      <c r="C15" s="150"/>
      <c r="D15" s="150"/>
      <c r="E15" s="153">
        <f t="shared" ref="E15:K15" si="2">E13/$D$6</f>
        <v>0</v>
      </c>
      <c r="F15" s="153">
        <f t="shared" si="2"/>
        <v>2.3434650455927053</v>
      </c>
      <c r="G15" s="153">
        <f t="shared" si="2"/>
        <v>2.9542173252279635</v>
      </c>
      <c r="H15" s="153">
        <f t="shared" si="2"/>
        <v>3.0428438449848025</v>
      </c>
      <c r="I15" s="153">
        <f t="shared" si="2"/>
        <v>3.1341291603343464</v>
      </c>
      <c r="J15" s="153">
        <f t="shared" si="2"/>
        <v>3.2281530351443766</v>
      </c>
      <c r="K15" s="153">
        <f t="shared" si="2"/>
        <v>3.3249976261987082</v>
      </c>
      <c r="L15" s="154"/>
      <c r="M15" s="154"/>
      <c r="N15" s="154"/>
      <c r="O15" s="154"/>
      <c r="P15" s="132"/>
      <c r="Q15" s="155"/>
      <c r="R15" s="156">
        <f>AVERAGE(E15:O15)</f>
        <v>2.5754008624975575</v>
      </c>
      <c r="S15" s="150"/>
      <c r="T15" s="150"/>
      <c r="U15" s="150"/>
      <c r="V15" s="150"/>
      <c r="W15" s="150"/>
      <c r="X15" s="150"/>
      <c r="Y15" s="150"/>
      <c r="Z15" s="150"/>
    </row>
    <row r="16" spans="1:26" ht="3.75" customHeight="1" x14ac:dyDescent="0.2">
      <c r="A16" s="132"/>
      <c r="B16" s="132"/>
      <c r="C16" s="132"/>
      <c r="D16" s="132"/>
      <c r="E16" s="136"/>
      <c r="F16" s="137"/>
      <c r="G16" s="137"/>
      <c r="H16" s="137"/>
      <c r="I16" s="132"/>
      <c r="J16" s="132"/>
      <c r="K16" s="132"/>
      <c r="L16" s="132"/>
      <c r="M16" s="132"/>
      <c r="N16" s="132"/>
      <c r="O16" s="132"/>
      <c r="P16" s="132"/>
      <c r="Q16" s="132"/>
      <c r="R16" s="132"/>
      <c r="S16" s="132"/>
      <c r="T16" s="132"/>
      <c r="U16" s="132"/>
      <c r="V16" s="132"/>
      <c r="W16" s="132"/>
      <c r="X16" s="132"/>
      <c r="Y16" s="132"/>
      <c r="Z16" s="132"/>
    </row>
    <row r="17" spans="1:26" ht="15.75" customHeight="1" x14ac:dyDescent="0.2">
      <c r="A17" s="145"/>
      <c r="B17" s="145" t="s">
        <v>144</v>
      </c>
      <c r="C17" s="145"/>
      <c r="D17" s="145"/>
      <c r="E17" s="146">
        <f t="shared" ref="E17:K17" si="3">E13*12</f>
        <v>0</v>
      </c>
      <c r="F17" s="146">
        <f t="shared" si="3"/>
        <v>296064</v>
      </c>
      <c r="G17" s="147">
        <f t="shared" si="3"/>
        <v>373224</v>
      </c>
      <c r="H17" s="147">
        <f t="shared" si="3"/>
        <v>384420.72000000003</v>
      </c>
      <c r="I17" s="147">
        <f t="shared" si="3"/>
        <v>395953.34159999999</v>
      </c>
      <c r="J17" s="147">
        <f t="shared" si="3"/>
        <v>407831.94184799993</v>
      </c>
      <c r="K17" s="147">
        <f t="shared" si="3"/>
        <v>420066.90010343998</v>
      </c>
      <c r="L17" s="148"/>
      <c r="M17" s="148"/>
      <c r="N17" s="148"/>
      <c r="O17" s="148"/>
      <c r="P17" s="132"/>
      <c r="Q17" s="149">
        <f t="shared" ref="Q17:Q18" si="4">SUM(E17:O17)</f>
        <v>2277560.9035514398</v>
      </c>
      <c r="R17" s="149">
        <f t="shared" ref="R17:R18" si="5">AVERAGE(E17:O17)</f>
        <v>325365.84336449142</v>
      </c>
      <c r="S17" s="145"/>
      <c r="T17" s="145"/>
      <c r="U17" s="145"/>
      <c r="V17" s="145"/>
      <c r="W17" s="145"/>
      <c r="X17" s="145"/>
      <c r="Y17" s="145"/>
      <c r="Z17" s="145"/>
    </row>
    <row r="18" spans="1:26" ht="15.75" customHeight="1" x14ac:dyDescent="0.2">
      <c r="A18" s="145"/>
      <c r="B18" s="145" t="s">
        <v>145</v>
      </c>
      <c r="C18" s="145"/>
      <c r="D18" s="145"/>
      <c r="E18" s="157">
        <f t="shared" ref="E18:K18" si="6">-E19*E17</f>
        <v>0</v>
      </c>
      <c r="F18" s="157">
        <f t="shared" si="6"/>
        <v>-29606.400000000001</v>
      </c>
      <c r="G18" s="157">
        <f t="shared" si="6"/>
        <v>-37322.400000000001</v>
      </c>
      <c r="H18" s="157">
        <f t="shared" si="6"/>
        <v>-38442.072000000007</v>
      </c>
      <c r="I18" s="157">
        <f t="shared" si="6"/>
        <v>-39595.334159999999</v>
      </c>
      <c r="J18" s="157">
        <f t="shared" si="6"/>
        <v>-40783.194184799999</v>
      </c>
      <c r="K18" s="157">
        <f t="shared" si="6"/>
        <v>-42006.690010343998</v>
      </c>
      <c r="L18" s="148"/>
      <c r="M18" s="148"/>
      <c r="N18" s="148"/>
      <c r="O18" s="148"/>
      <c r="P18" s="132"/>
      <c r="Q18" s="149">
        <f t="shared" si="4"/>
        <v>-227756.090355144</v>
      </c>
      <c r="R18" s="149">
        <f t="shared" si="5"/>
        <v>-32536.584336449141</v>
      </c>
      <c r="S18" s="145"/>
      <c r="T18" s="145"/>
      <c r="U18" s="145"/>
      <c r="V18" s="145"/>
      <c r="W18" s="145"/>
      <c r="X18" s="145"/>
      <c r="Y18" s="145"/>
      <c r="Z18" s="145"/>
    </row>
    <row r="19" spans="1:26" ht="15.75" customHeight="1" x14ac:dyDescent="0.2">
      <c r="A19" s="145"/>
      <c r="B19" s="150" t="s">
        <v>146</v>
      </c>
      <c r="C19" s="145"/>
      <c r="D19" s="145"/>
      <c r="E19" s="158">
        <f>INPUTS!B39</f>
        <v>0</v>
      </c>
      <c r="F19" s="158">
        <f>INPUTS!C39</f>
        <v>0.1</v>
      </c>
      <c r="G19" s="151">
        <v>0.1</v>
      </c>
      <c r="H19" s="151">
        <v>0.1</v>
      </c>
      <c r="I19" s="151">
        <v>0.1</v>
      </c>
      <c r="J19" s="151">
        <v>0.1</v>
      </c>
      <c r="K19" s="151">
        <v>0.1</v>
      </c>
      <c r="L19" s="148"/>
      <c r="M19" s="148"/>
      <c r="N19" s="148"/>
      <c r="O19" s="148"/>
      <c r="P19" s="132"/>
      <c r="Q19" s="149"/>
      <c r="R19" s="149"/>
      <c r="S19" s="145"/>
      <c r="T19" s="145"/>
      <c r="U19" s="145"/>
      <c r="V19" s="145"/>
      <c r="W19" s="145"/>
      <c r="X19" s="145"/>
      <c r="Y19" s="145"/>
      <c r="Z19" s="145"/>
    </row>
    <row r="20" spans="1:26" ht="15.75" customHeight="1" x14ac:dyDescent="0.2">
      <c r="A20" s="145"/>
      <c r="B20" s="145" t="s">
        <v>147</v>
      </c>
      <c r="C20" s="145"/>
      <c r="D20" s="145"/>
      <c r="E20" s="146">
        <v>0</v>
      </c>
      <c r="F20" s="146">
        <f>INPUTS!D40</f>
        <v>73841</v>
      </c>
      <c r="G20" s="147">
        <f>INPUTS!G40</f>
        <v>76056</v>
      </c>
      <c r="H20" s="147">
        <f>G20*(1+H22)*(H$9&lt;=INPUTS!$R$35)</f>
        <v>77577.119999999995</v>
      </c>
      <c r="I20" s="147">
        <f>H20*(1+I22)*(I$9&lt;=INPUTS!$R$35)</f>
        <v>79128.662400000001</v>
      </c>
      <c r="J20" s="147">
        <f>I20*(1+J22)*(J$9&lt;=INPUTS!$R$35)</f>
        <v>80711.235648000002</v>
      </c>
      <c r="K20" s="147">
        <f>J20*(1+K22)*(K$9&lt;=INPUTS!$R$35)</f>
        <v>82325.460360960002</v>
      </c>
      <c r="L20" s="148"/>
      <c r="M20" s="148"/>
      <c r="N20" s="148"/>
      <c r="O20" s="148"/>
      <c r="P20" s="132"/>
      <c r="Q20" s="149">
        <f t="shared" ref="Q20:Q21" si="7">SUM(E20:O20)</f>
        <v>469639.47840896004</v>
      </c>
      <c r="R20" s="149">
        <f t="shared" ref="R20:R21" si="8">AVERAGE(E20:O20)</f>
        <v>67091.354058422861</v>
      </c>
      <c r="S20" s="145"/>
      <c r="T20" s="145"/>
      <c r="U20" s="145"/>
      <c r="V20" s="145"/>
      <c r="W20" s="145"/>
      <c r="X20" s="145"/>
      <c r="Y20" s="145"/>
      <c r="Z20" s="145"/>
    </row>
    <row r="21" spans="1:26" ht="15.75" customHeight="1" x14ac:dyDescent="0.2">
      <c r="A21" s="145"/>
      <c r="B21" s="145" t="s">
        <v>148</v>
      </c>
      <c r="C21" s="145"/>
      <c r="D21" s="145"/>
      <c r="E21" s="157">
        <v>0</v>
      </c>
      <c r="F21" s="157">
        <f>INPUTS!G42</f>
        <v>-208713.25599999999</v>
      </c>
      <c r="G21" s="157">
        <f>F21*(1+G22)</f>
        <v>-212887.52111999999</v>
      </c>
      <c r="H21" s="157">
        <f>G21*(1+H22)*(H$9&lt;=INPUTS!$R$35)</f>
        <v>-217145.27154240001</v>
      </c>
      <c r="I21" s="157">
        <f>H21*(1+I22)*(I$9&lt;=INPUTS!$R$35)</f>
        <v>-221488.17697324802</v>
      </c>
      <c r="J21" s="157">
        <f>I21*(1+J22)*(J$9&lt;=INPUTS!$R$35)</f>
        <v>-225917.94051271299</v>
      </c>
      <c r="K21" s="157">
        <f>J21*(1+K22)*(K$9&lt;=INPUTS!$R$35)</f>
        <v>-230436.29932296724</v>
      </c>
      <c r="L21" s="148"/>
      <c r="M21" s="148"/>
      <c r="N21" s="148"/>
      <c r="O21" s="148"/>
      <c r="P21" s="132"/>
      <c r="Q21" s="149">
        <f t="shared" si="7"/>
        <v>-1316588.4654713282</v>
      </c>
      <c r="R21" s="149">
        <f t="shared" si="8"/>
        <v>-188084.06649590403</v>
      </c>
      <c r="S21" s="145"/>
      <c r="T21" s="145"/>
      <c r="U21" s="145"/>
      <c r="V21" s="145"/>
      <c r="W21" s="145"/>
      <c r="X21" s="145"/>
      <c r="Y21" s="145"/>
      <c r="Z21" s="145"/>
    </row>
    <row r="22" spans="1:26" ht="15.75" customHeight="1" x14ac:dyDescent="0.2">
      <c r="A22" s="145"/>
      <c r="B22" s="150" t="s">
        <v>149</v>
      </c>
      <c r="C22" s="145"/>
      <c r="D22" s="145"/>
      <c r="E22" s="151" t="s">
        <v>142</v>
      </c>
      <c r="F22" s="151" t="s">
        <v>142</v>
      </c>
      <c r="G22" s="151">
        <v>0.02</v>
      </c>
      <c r="H22" s="151">
        <v>0.02</v>
      </c>
      <c r="I22" s="151">
        <v>0.02</v>
      </c>
      <c r="J22" s="151">
        <v>0.02</v>
      </c>
      <c r="K22" s="151">
        <v>0.02</v>
      </c>
      <c r="L22" s="148"/>
      <c r="M22" s="148"/>
      <c r="N22" s="148"/>
      <c r="O22" s="148"/>
      <c r="P22" s="132"/>
      <c r="Q22" s="149"/>
      <c r="R22" s="149"/>
      <c r="S22" s="145"/>
      <c r="T22" s="145"/>
      <c r="U22" s="145"/>
      <c r="V22" s="145"/>
      <c r="W22" s="145"/>
      <c r="X22" s="145"/>
      <c r="Y22" s="145"/>
      <c r="Z22" s="145"/>
    </row>
    <row r="23" spans="1:26" ht="16.5" customHeight="1" x14ac:dyDescent="0.2">
      <c r="A23" s="130"/>
      <c r="B23" s="159" t="s">
        <v>150</v>
      </c>
      <c r="C23" s="160"/>
      <c r="D23" s="160"/>
      <c r="E23" s="161">
        <f t="shared" ref="E23:K23" si="9">E17+E18+E20+E21</f>
        <v>0</v>
      </c>
      <c r="F23" s="161">
        <f t="shared" si="9"/>
        <v>131585.34399999998</v>
      </c>
      <c r="G23" s="161">
        <f t="shared" si="9"/>
        <v>199070.07887999999</v>
      </c>
      <c r="H23" s="161">
        <f t="shared" si="9"/>
        <v>206410.49645760003</v>
      </c>
      <c r="I23" s="161">
        <f t="shared" si="9"/>
        <v>213998.49286675197</v>
      </c>
      <c r="J23" s="161">
        <f t="shared" si="9"/>
        <v>221842.04279848695</v>
      </c>
      <c r="K23" s="161">
        <f t="shared" si="9"/>
        <v>229949.37113108876</v>
      </c>
      <c r="L23" s="162"/>
      <c r="M23" s="162"/>
      <c r="N23" s="162"/>
      <c r="O23" s="162"/>
      <c r="P23" s="159"/>
      <c r="Q23" s="161">
        <f>SUM(E23:O23)</f>
        <v>1202855.8261339278</v>
      </c>
      <c r="R23" s="161">
        <f>AVERAGE(E23:O23)</f>
        <v>171836.54659056111</v>
      </c>
      <c r="S23" s="130"/>
      <c r="T23" s="130"/>
      <c r="U23" s="130"/>
      <c r="V23" s="130"/>
      <c r="W23" s="130"/>
      <c r="X23" s="130"/>
      <c r="Y23" s="130"/>
      <c r="Z23" s="130"/>
    </row>
    <row r="24" spans="1:26" ht="12.75" customHeight="1" x14ac:dyDescent="0.2">
      <c r="A24" s="132"/>
      <c r="B24" s="145"/>
      <c r="C24" s="132"/>
      <c r="D24" s="132"/>
      <c r="E24" s="136"/>
      <c r="F24" s="137"/>
      <c r="G24" s="137"/>
      <c r="H24" s="137"/>
      <c r="I24" s="132"/>
      <c r="J24" s="132"/>
      <c r="K24" s="132"/>
      <c r="L24" s="132"/>
      <c r="M24" s="132"/>
      <c r="N24" s="132"/>
      <c r="O24" s="132"/>
      <c r="P24" s="132"/>
      <c r="Q24" s="132"/>
      <c r="R24" s="132"/>
      <c r="S24" s="132"/>
      <c r="T24" s="132"/>
      <c r="U24" s="132"/>
      <c r="V24" s="132"/>
      <c r="W24" s="132"/>
      <c r="X24" s="132"/>
      <c r="Y24" s="132"/>
      <c r="Z24" s="132"/>
    </row>
    <row r="25" spans="1:26" ht="12.75" customHeight="1" x14ac:dyDescent="0.2">
      <c r="A25" s="132"/>
      <c r="B25" s="145"/>
      <c r="C25" s="132"/>
      <c r="D25" s="132"/>
      <c r="E25" s="136"/>
      <c r="F25" s="137"/>
      <c r="G25" s="137"/>
      <c r="H25" s="137"/>
      <c r="I25" s="132"/>
      <c r="J25" s="132"/>
      <c r="K25" s="132"/>
      <c r="L25" s="132"/>
      <c r="M25" s="132"/>
      <c r="N25" s="132"/>
      <c r="O25" s="132"/>
      <c r="P25" s="132"/>
      <c r="Q25" s="132"/>
      <c r="R25" s="132"/>
      <c r="S25" s="132"/>
      <c r="T25" s="132"/>
      <c r="U25" s="132"/>
      <c r="V25" s="132"/>
      <c r="W25" s="132"/>
      <c r="X25" s="132"/>
      <c r="Y25" s="132"/>
      <c r="Z25" s="132"/>
    </row>
    <row r="26" spans="1:26" ht="15.75" customHeight="1" x14ac:dyDescent="0.2">
      <c r="A26" s="130"/>
      <c r="B26" s="145" t="s">
        <v>151</v>
      </c>
      <c r="C26" s="130"/>
      <c r="D26" s="130"/>
      <c r="E26" s="157">
        <v>0</v>
      </c>
      <c r="F26" s="157">
        <f>IF(INPUTS!$R$14="Yes",F$9&lt;=INPUTS!$R$15,IF(INPUTS!$R$14="No",F$9&lt;INPUTS!$R$35,0))*(-SUMIF('SENIOR LOAN'!$A$22:$A$381,F$9,'SENIOR LOAN'!$E$22:$E$381)-SUMIF('SENIOR LOAN'!$A$22:$A$381,F$9,'SENIOR LOAN'!$F$22:$F$381)*(F$9&lt;=INPUTS!$R$35))</f>
        <v>-98172</v>
      </c>
      <c r="G26" s="157">
        <f>IF(INPUTS!$R$14="Yes",G$9&lt;=INPUTS!$R$15,IF(INPUTS!$R$14="No",G$9&lt;INPUTS!$R$35,0))*(-SUMIF('SENIOR LOAN'!$A$22:$A$381,G$9,'SENIOR LOAN'!$E$22:$E$381)-SUMIF('SENIOR LOAN'!$A$22:$A$381,G$9,'SENIOR LOAN'!$F$22:$F$381)*(G$9&lt;=INPUTS!$R$35))</f>
        <v>-98172</v>
      </c>
      <c r="H26" s="157">
        <f>IF(INPUTS!$R$14="Yes",H$9&lt;=INPUTS!$R$15,IF(INPUTS!$R$14="No",H$9&lt;INPUTS!$R$35,0))*(-SUMIF('SENIOR LOAN'!$A$22:$A$381,H$9,'SENIOR LOAN'!$E$22:$E$381)-SUMIF('SENIOR LOAN'!$A$22:$A$381,H$9,'SENIOR LOAN'!$F$22:$F$381)*(H$9&lt;=INPUTS!$R$35))</f>
        <v>-124685.18449706583</v>
      </c>
      <c r="I26" s="157">
        <f>IF(INPUTS!$R$14="Yes",I$9&lt;=INPUTS!$R$15,IF(INPUTS!$R$14="No",I$9&lt;INPUTS!$R$35,0))*(-SUMIF('SENIOR LOAN'!$A$22:$A$381,I$9,'SENIOR LOAN'!$E$22:$E$381)-SUMIF('SENIOR LOAN'!$A$22:$A$381,I$9,'SENIOR LOAN'!$F$22:$F$381)*(I$9&lt;=INPUTS!$R$35))</f>
        <v>0</v>
      </c>
      <c r="J26" s="157">
        <f>IF(INPUTS!$R$14="Yes",J$9&lt;=INPUTS!$R$15,IF(INPUTS!$R$14="No",J$9&lt;INPUTS!$R$35,0))*(-SUMIF('SENIOR LOAN'!$A$22:$A$381,J$9,'SENIOR LOAN'!$E$22:$E$381)-SUMIF('SENIOR LOAN'!$A$22:$A$381,J$9,'SENIOR LOAN'!$F$22:$F$381)*(J$9&lt;=INPUTS!$R$35))</f>
        <v>0</v>
      </c>
      <c r="K26" s="157">
        <f>IF(INPUTS!$R$14="Yes",K$9&lt;=INPUTS!$R$15,IF(INPUTS!$R$14="No",K$9&lt;INPUTS!$R$35,0))*(-SUMIF('SENIOR LOAN'!$A$22:$A$381,K$9,'SENIOR LOAN'!$E$22:$E$381)-SUMIF('SENIOR LOAN'!$A$22:$A$381,K$9,'SENIOR LOAN'!$F$22:$F$381)*(K$9&lt;=INPUTS!$R$35))</f>
        <v>0</v>
      </c>
      <c r="L26" s="157"/>
      <c r="M26" s="157"/>
      <c r="N26" s="157"/>
      <c r="O26" s="157"/>
      <c r="P26" s="157"/>
      <c r="Q26" s="163">
        <f t="shared" ref="Q26:Q30" si="10">SUM(E26:O26)</f>
        <v>-321029.18449706584</v>
      </c>
      <c r="R26" s="163">
        <f t="shared" ref="R26:R28" si="11">AVERAGE(E26:O26)</f>
        <v>-45861.312071009408</v>
      </c>
      <c r="S26" s="130"/>
      <c r="T26" s="130"/>
      <c r="U26" s="130"/>
      <c r="V26" s="130"/>
      <c r="W26" s="130"/>
      <c r="X26" s="130"/>
      <c r="Y26" s="130"/>
      <c r="Z26" s="130"/>
    </row>
    <row r="27" spans="1:26" ht="15.75" customHeight="1" x14ac:dyDescent="0.2">
      <c r="A27" s="130"/>
      <c r="B27" s="145" t="s">
        <v>152</v>
      </c>
      <c r="C27" s="130"/>
      <c r="D27" s="130"/>
      <c r="E27" s="157">
        <v>0</v>
      </c>
      <c r="F27" s="157">
        <f>IF(AND(INPUTS!$R$14="Yes",PROFORMA!F$9&gt;INPUTS!$R$15),-SUMIF('REFI LOAN'!$A$22:$A$381,F$9,'REFI LOAN'!$E$22:$E$381)-SUMIF('REFI LOAN'!$A$22:$A$381,F$9,'REFI LOAN'!$F$22:$F$381),0)*(F$9&lt;=INPUTS!$R$35)</f>
        <v>0</v>
      </c>
      <c r="G27" s="157">
        <f>IF(AND(INPUTS!$R$14="Yes",PROFORMA!G$9&gt;INPUTS!$R$15),-SUMIF('REFI LOAN'!$A$22:$A$381,G$9,'REFI LOAN'!$E$22:$E$381)-SUMIF('REFI LOAN'!$A$22:$A$381,G$9,'REFI LOAN'!$F$22:$F$381),0)*(G$9&lt;=INPUTS!$R$35)</f>
        <v>0</v>
      </c>
      <c r="H27" s="157">
        <f>IF(AND(INPUTS!$R$14="Yes",PROFORMA!H$9&gt;INPUTS!$R$15),-SUMIF('REFI LOAN'!$A$22:$A$381,H$9,'REFI LOAN'!$E$22:$E$381)-SUMIF('REFI LOAN'!$A$22:$A$381,H$9,'REFI LOAN'!$F$22:$F$381),0)*(H$9&lt;=INPUTS!$R$35)</f>
        <v>0</v>
      </c>
      <c r="I27" s="157">
        <f>IF(AND(INPUTS!$R$14="Yes",PROFORMA!I$9&gt;INPUTS!$R$15),-SUMIF('REFI LOAN'!$A$22:$A$381,I$9,'REFI LOAN'!$E$22:$E$381)-SUMIF('REFI LOAN'!$A$22:$A$381,I$9,'REFI LOAN'!$F$22:$F$381),0)*(I$9&lt;=INPUTS!$R$35)</f>
        <v>-119082.97872553846</v>
      </c>
      <c r="J27" s="157">
        <f>IF(AND(INPUTS!$R$14="Yes",PROFORMA!J$9&gt;INPUTS!$R$15),-SUMIF('REFI LOAN'!$A$22:$A$381,J$9,'REFI LOAN'!$E$22:$E$381)-SUMIF('REFI LOAN'!$A$22:$A$381,J$9,'REFI LOAN'!$F$22:$F$381),0)*(J$9&lt;=INPUTS!$R$35)</f>
        <v>-119082.97872553846</v>
      </c>
      <c r="K27" s="157">
        <f>IF(AND(INPUTS!$R$14="Yes",PROFORMA!K$9&gt;INPUTS!$R$15),-SUMIF('REFI LOAN'!$A$22:$A$381,K$9,'REFI LOAN'!$E$22:$E$381)-SUMIF('REFI LOAN'!$A$22:$A$381,K$9,'REFI LOAN'!$F$22:$F$381),0)*(K$9&lt;=INPUTS!$R$35)</f>
        <v>-156360.70961053669</v>
      </c>
      <c r="L27" s="157"/>
      <c r="M27" s="157"/>
      <c r="N27" s="157"/>
      <c r="O27" s="157"/>
      <c r="P27" s="157"/>
      <c r="Q27" s="163">
        <f t="shared" si="10"/>
        <v>-394526.66706161364</v>
      </c>
      <c r="R27" s="163">
        <f t="shared" si="11"/>
        <v>-56360.95243737338</v>
      </c>
      <c r="S27" s="130"/>
      <c r="T27" s="130"/>
      <c r="U27" s="130"/>
      <c r="V27" s="130"/>
      <c r="W27" s="130"/>
      <c r="X27" s="130"/>
      <c r="Y27" s="130"/>
      <c r="Z27" s="130"/>
    </row>
    <row r="28" spans="1:26" ht="15.75" customHeight="1" x14ac:dyDescent="0.2">
      <c r="A28" s="130"/>
      <c r="B28" s="145" t="s">
        <v>153</v>
      </c>
      <c r="C28" s="130"/>
      <c r="D28" s="130"/>
      <c r="E28" s="157">
        <v>0</v>
      </c>
      <c r="F28" s="157">
        <f>-INPUTS!$J$16*(INPUTS!$F$15&gt;0)*(IF(INPUTS!$R$14="Yes",F$9&lt;=INPUTS!$R$15,F$9&lt;=INPUTS!$R$35))</f>
        <v>0</v>
      </c>
      <c r="G28" s="157">
        <f>-INPUTS!$J$16*(INPUTS!$F$15&gt;0)*(IF(INPUTS!$R$14="Yes",G$9&lt;=INPUTS!$R$15,G$9&lt;=INPUTS!$R$35))</f>
        <v>0</v>
      </c>
      <c r="H28" s="157">
        <f>-INPUTS!$J$16*(INPUTS!$F$15&gt;0)*(IF(INPUTS!$R$14="Yes",H$9&lt;=INPUTS!$R$15,H$9&lt;=INPUTS!$R$35))</f>
        <v>0</v>
      </c>
      <c r="I28" s="157">
        <f>-INPUTS!$J$16*(INPUTS!$F$15&gt;0)*(IF(INPUTS!$R$14="Yes",I$9&lt;=INPUTS!$R$15,I$9&lt;=INPUTS!$R$35))</f>
        <v>0</v>
      </c>
      <c r="J28" s="157">
        <f>-INPUTS!$J$16*(INPUTS!$F$15&gt;0)*(IF(INPUTS!$R$14="Yes",J$9&lt;=INPUTS!$R$15,J$9&lt;=INPUTS!$R$35))</f>
        <v>0</v>
      </c>
      <c r="K28" s="157">
        <f>-INPUTS!$J$16*(INPUTS!$F$15&gt;0)*(IF(INPUTS!$R$14="Yes",K$9&lt;=INPUTS!$R$15,K$9&lt;=INPUTS!$R$35))</f>
        <v>0</v>
      </c>
      <c r="L28" s="157"/>
      <c r="M28" s="157"/>
      <c r="N28" s="157"/>
      <c r="O28" s="157"/>
      <c r="P28" s="157"/>
      <c r="Q28" s="163">
        <f t="shared" si="10"/>
        <v>0</v>
      </c>
      <c r="R28" s="163">
        <f t="shared" si="11"/>
        <v>0</v>
      </c>
      <c r="S28" s="130"/>
      <c r="T28" s="130"/>
      <c r="U28" s="130"/>
      <c r="V28" s="130"/>
      <c r="W28" s="130"/>
      <c r="X28" s="130"/>
      <c r="Y28" s="130"/>
      <c r="Z28" s="130"/>
    </row>
    <row r="29" spans="1:26" ht="15.75" customHeight="1" x14ac:dyDescent="0.2">
      <c r="A29" s="130"/>
      <c r="B29" s="145" t="s">
        <v>154</v>
      </c>
      <c r="C29" s="130"/>
      <c r="D29" s="130"/>
      <c r="E29" s="157"/>
      <c r="F29" s="157">
        <f>INPUTS!$J$17*(INPUTS!$F$15&gt;0)*(IF(INPUTS!$R$14="Yes",F$9&lt;INPUTS!$R$15,F$9&lt;INPUTS!$R$35))</f>
        <v>0</v>
      </c>
      <c r="G29" s="157">
        <f>INPUTS!$J$17*(INPUTS!$F$15&gt;0)*(IF(INPUTS!$R$14="Yes",G$9&lt;INPUTS!$R$15,G$9&lt;INPUTS!$R$35))</f>
        <v>0</v>
      </c>
      <c r="H29" s="157">
        <f>INPUTS!$J$17*(INPUTS!$F$15&gt;0)*(IF(INPUTS!$R$14="Yes",H$9&lt;INPUTS!$R$15,H$9&lt;INPUTS!$R$35))</f>
        <v>0</v>
      </c>
      <c r="I29" s="157">
        <f>INPUTS!$J$17*(INPUTS!$F$15&gt;0)*(IF(INPUTS!$R$14="Yes",I$9&lt;INPUTS!$R$15,I$9&lt;INPUTS!$R$35))</f>
        <v>0</v>
      </c>
      <c r="J29" s="157">
        <f>INPUTS!$J$17*(INPUTS!$F$15&gt;0)*(IF(INPUTS!$R$14="Yes",J$9&lt;INPUTS!$R$15,J$9&lt;INPUTS!$R$35))</f>
        <v>0</v>
      </c>
      <c r="K29" s="157">
        <f>INPUTS!$J$17*(INPUTS!$F$15&gt;0)*(IF(INPUTS!$R$14="Yes",K$9&lt;INPUTS!$R$15,K$9&lt;INPUTS!$R$35))</f>
        <v>0</v>
      </c>
      <c r="L29" s="157"/>
      <c r="M29" s="157"/>
      <c r="N29" s="157"/>
      <c r="O29" s="157"/>
      <c r="P29" s="157"/>
      <c r="Q29" s="163">
        <f t="shared" si="10"/>
        <v>0</v>
      </c>
      <c r="R29" s="163"/>
      <c r="S29" s="130"/>
      <c r="T29" s="130"/>
      <c r="U29" s="130"/>
      <c r="V29" s="130"/>
      <c r="W29" s="130"/>
      <c r="X29" s="130"/>
      <c r="Y29" s="130"/>
      <c r="Z29" s="130"/>
    </row>
    <row r="30" spans="1:26" ht="15.75" customHeight="1" x14ac:dyDescent="0.2">
      <c r="A30" s="130"/>
      <c r="B30" s="145" t="s">
        <v>155</v>
      </c>
      <c r="C30" s="130" t="s">
        <v>156</v>
      </c>
      <c r="D30" s="130"/>
      <c r="E30" s="157">
        <f t="shared" ref="E30:K30" si="12">E23+E26+E27+E28</f>
        <v>0</v>
      </c>
      <c r="F30" s="157">
        <f t="shared" si="12"/>
        <v>33413.343999999983</v>
      </c>
      <c r="G30" s="157">
        <f t="shared" si="12"/>
        <v>100898.07887999999</v>
      </c>
      <c r="H30" s="157">
        <f t="shared" si="12"/>
        <v>81725.311960534207</v>
      </c>
      <c r="I30" s="157">
        <f t="shared" si="12"/>
        <v>94915.514141213513</v>
      </c>
      <c r="J30" s="157">
        <f t="shared" si="12"/>
        <v>102759.06407294849</v>
      </c>
      <c r="K30" s="157">
        <f t="shared" si="12"/>
        <v>73588.661520552065</v>
      </c>
      <c r="L30" s="157"/>
      <c r="M30" s="157"/>
      <c r="N30" s="157"/>
      <c r="O30" s="157"/>
      <c r="P30" s="157"/>
      <c r="Q30" s="163">
        <f t="shared" si="10"/>
        <v>487299.9745752482</v>
      </c>
      <c r="R30" s="163">
        <f>AVERAGE(E30:O30)</f>
        <v>69614.28208217831</v>
      </c>
      <c r="S30" s="130"/>
      <c r="T30" s="130"/>
      <c r="U30" s="130"/>
      <c r="V30" s="130"/>
      <c r="W30" s="130"/>
      <c r="X30" s="130"/>
      <c r="Y30" s="130"/>
      <c r="Z30" s="130"/>
    </row>
    <row r="31" spans="1:26" ht="15.75" customHeight="1" x14ac:dyDescent="0.2">
      <c r="A31" s="130"/>
      <c r="B31" s="145"/>
      <c r="C31" s="130"/>
      <c r="D31" s="130"/>
      <c r="E31" s="130"/>
      <c r="F31" s="148"/>
      <c r="G31" s="148"/>
      <c r="H31" s="148"/>
      <c r="I31" s="148"/>
      <c r="J31" s="148"/>
      <c r="K31" s="148"/>
      <c r="L31" s="148"/>
      <c r="M31" s="148"/>
      <c r="N31" s="148"/>
      <c r="O31" s="148"/>
      <c r="P31" s="132"/>
      <c r="Q31" s="149"/>
      <c r="R31" s="149"/>
      <c r="S31" s="130"/>
      <c r="T31" s="130"/>
      <c r="U31" s="130"/>
      <c r="V31" s="130"/>
      <c r="W31" s="130"/>
      <c r="X31" s="130"/>
      <c r="Y31" s="130"/>
      <c r="Z31" s="130"/>
    </row>
    <row r="32" spans="1:26" ht="15.75" customHeight="1" x14ac:dyDescent="0.2">
      <c r="A32" s="130"/>
      <c r="B32" s="164" t="s">
        <v>157</v>
      </c>
      <c r="C32" s="130"/>
      <c r="D32" s="130"/>
      <c r="E32" s="130"/>
      <c r="F32" s="148"/>
      <c r="G32" s="148"/>
      <c r="H32" s="148"/>
      <c r="I32" s="148"/>
      <c r="J32" s="148"/>
      <c r="K32" s="148"/>
      <c r="L32" s="148"/>
      <c r="M32" s="148"/>
      <c r="N32" s="148"/>
      <c r="O32" s="148"/>
      <c r="P32" s="132"/>
      <c r="Q32" s="149"/>
      <c r="R32" s="149"/>
      <c r="S32" s="130"/>
      <c r="T32" s="130"/>
      <c r="U32" s="130"/>
      <c r="V32" s="130"/>
      <c r="W32" s="130"/>
      <c r="X32" s="130"/>
      <c r="Y32" s="130"/>
      <c r="Z32" s="130"/>
    </row>
    <row r="33" spans="1:26" ht="15.75" customHeight="1" x14ac:dyDescent="0.2">
      <c r="A33" s="130"/>
      <c r="B33" s="145" t="s">
        <v>158</v>
      </c>
      <c r="C33" s="130"/>
      <c r="D33" s="130" t="s">
        <v>159</v>
      </c>
      <c r="E33" s="157">
        <f>(E$9=INPUTS!$R$15)*INPUTS!$R$19</f>
        <v>0</v>
      </c>
      <c r="F33" s="157">
        <f>(F$9=INPUTS!$R$15)*INPUTS!$R$19</f>
        <v>0</v>
      </c>
      <c r="G33" s="157">
        <f>(G$9=INPUTS!$R$15)*INPUTS!$R$19</f>
        <v>0</v>
      </c>
      <c r="H33" s="157">
        <f>(H$9=INPUTS!$R$15)*INPUTS!$R$19</f>
        <v>1905327.6596086156</v>
      </c>
      <c r="I33" s="157">
        <f>(I$9=INPUTS!$R$15)*INPUTS!$R$19</f>
        <v>0</v>
      </c>
      <c r="J33" s="157">
        <f>(J$9=INPUTS!$R$15)*INPUTS!$R$19</f>
        <v>0</v>
      </c>
      <c r="K33" s="157">
        <f>(K$9=INPUTS!$R$15)*INPUTS!$R$19</f>
        <v>0</v>
      </c>
      <c r="L33" s="148"/>
      <c r="M33" s="148"/>
      <c r="N33" s="148"/>
      <c r="O33" s="148"/>
      <c r="P33" s="132"/>
      <c r="Q33" s="163">
        <f t="shared" ref="Q33:Q34" si="13">SUM(E33:O33)</f>
        <v>1905327.6596086156</v>
      </c>
      <c r="R33" s="149"/>
      <c r="S33" s="130"/>
      <c r="T33" s="130"/>
      <c r="U33" s="130"/>
      <c r="V33" s="130"/>
      <c r="W33" s="130"/>
      <c r="X33" s="130"/>
      <c r="Y33" s="130"/>
      <c r="Z33" s="130"/>
    </row>
    <row r="34" spans="1:26" ht="15.75" customHeight="1" x14ac:dyDescent="0.2">
      <c r="A34" s="130"/>
      <c r="B34" s="130" t="s">
        <v>160</v>
      </c>
      <c r="C34" s="130"/>
      <c r="D34" s="130"/>
      <c r="E34" s="157">
        <f t="shared" ref="E34:K34" si="14">E45*(E33&gt;0)</f>
        <v>0</v>
      </c>
      <c r="F34" s="157">
        <f t="shared" si="14"/>
        <v>0</v>
      </c>
      <c r="G34" s="157">
        <f t="shared" si="14"/>
        <v>0</v>
      </c>
      <c r="H34" s="157">
        <f t="shared" si="14"/>
        <v>-1427050.9877262462</v>
      </c>
      <c r="I34" s="157">
        <f t="shared" si="14"/>
        <v>0</v>
      </c>
      <c r="J34" s="157">
        <f t="shared" si="14"/>
        <v>0</v>
      </c>
      <c r="K34" s="157">
        <f t="shared" si="14"/>
        <v>0</v>
      </c>
      <c r="L34" s="148"/>
      <c r="M34" s="148"/>
      <c r="N34" s="148"/>
      <c r="O34" s="148"/>
      <c r="P34" s="132"/>
      <c r="Q34" s="163">
        <f t="shared" si="13"/>
        <v>-1427050.9877262462</v>
      </c>
      <c r="R34" s="149"/>
      <c r="S34" s="130"/>
      <c r="T34" s="130"/>
      <c r="U34" s="130"/>
      <c r="V34" s="130"/>
      <c r="W34" s="130"/>
      <c r="X34" s="130"/>
      <c r="Y34" s="130"/>
      <c r="Z34" s="130"/>
    </row>
    <row r="35" spans="1:26" ht="15.75" customHeight="1" x14ac:dyDescent="0.2">
      <c r="A35" s="130"/>
      <c r="B35" s="130" t="s">
        <v>161</v>
      </c>
      <c r="C35" s="130"/>
      <c r="D35" s="130"/>
      <c r="E35" s="157">
        <f t="shared" ref="E35:K35" si="15">E46*(E33&gt;0)</f>
        <v>0</v>
      </c>
      <c r="F35" s="157">
        <f t="shared" si="15"/>
        <v>0</v>
      </c>
      <c r="G35" s="157">
        <f t="shared" si="15"/>
        <v>0</v>
      </c>
      <c r="H35" s="157">
        <f t="shared" si="15"/>
        <v>0</v>
      </c>
      <c r="I35" s="157">
        <f t="shared" si="15"/>
        <v>0</v>
      </c>
      <c r="J35" s="157">
        <f t="shared" si="15"/>
        <v>0</v>
      </c>
      <c r="K35" s="157">
        <f t="shared" si="15"/>
        <v>0</v>
      </c>
      <c r="L35" s="148"/>
      <c r="M35" s="148"/>
      <c r="N35" s="148"/>
      <c r="O35" s="148"/>
      <c r="P35" s="132"/>
      <c r="Q35" s="163"/>
      <c r="R35" s="149"/>
      <c r="S35" s="130"/>
      <c r="T35" s="130"/>
      <c r="U35" s="130"/>
      <c r="V35" s="130"/>
      <c r="W35" s="130"/>
      <c r="X35" s="130"/>
      <c r="Y35" s="130"/>
      <c r="Z35" s="130"/>
    </row>
    <row r="36" spans="1:26" ht="15.75" customHeight="1" x14ac:dyDescent="0.2">
      <c r="A36" s="130"/>
      <c r="B36" s="130" t="s">
        <v>162</v>
      </c>
      <c r="C36" s="130"/>
      <c r="D36" s="130"/>
      <c r="E36" s="157">
        <f t="shared" ref="E36:K36" si="16">E48</f>
        <v>0</v>
      </c>
      <c r="F36" s="157">
        <f t="shared" si="16"/>
        <v>0</v>
      </c>
      <c r="G36" s="157">
        <f t="shared" si="16"/>
        <v>0</v>
      </c>
      <c r="H36" s="157">
        <f t="shared" si="16"/>
        <v>-38106.553192172309</v>
      </c>
      <c r="I36" s="157">
        <f t="shared" si="16"/>
        <v>0</v>
      </c>
      <c r="J36" s="157">
        <f t="shared" si="16"/>
        <v>0</v>
      </c>
      <c r="K36" s="157">
        <f t="shared" si="16"/>
        <v>0</v>
      </c>
      <c r="L36" s="148"/>
      <c r="M36" s="148"/>
      <c r="N36" s="148"/>
      <c r="O36" s="148"/>
      <c r="P36" s="132"/>
      <c r="Q36" s="163">
        <f t="shared" ref="Q36:Q37" si="17">SUM(E36:O36)</f>
        <v>-38106.553192172309</v>
      </c>
      <c r="R36" s="149"/>
      <c r="S36" s="130"/>
      <c r="T36" s="130"/>
      <c r="U36" s="130"/>
      <c r="V36" s="130"/>
      <c r="W36" s="130"/>
      <c r="X36" s="130"/>
      <c r="Y36" s="130"/>
      <c r="Z36" s="130"/>
    </row>
    <row r="37" spans="1:26" ht="15.75" customHeight="1" x14ac:dyDescent="0.2">
      <c r="A37" s="130"/>
      <c r="B37" s="145" t="s">
        <v>163</v>
      </c>
      <c r="C37" s="130"/>
      <c r="D37" s="130"/>
      <c r="E37" s="165">
        <f t="shared" ref="E37:K37" si="18">SUM(E33:E36)</f>
        <v>0</v>
      </c>
      <c r="F37" s="165">
        <f t="shared" si="18"/>
        <v>0</v>
      </c>
      <c r="G37" s="165">
        <f t="shared" si="18"/>
        <v>0</v>
      </c>
      <c r="H37" s="165">
        <f t="shared" si="18"/>
        <v>440170.11869019701</v>
      </c>
      <c r="I37" s="165">
        <f t="shared" si="18"/>
        <v>0</v>
      </c>
      <c r="J37" s="165">
        <f t="shared" si="18"/>
        <v>0</v>
      </c>
      <c r="K37" s="165">
        <f t="shared" si="18"/>
        <v>0</v>
      </c>
      <c r="L37" s="148"/>
      <c r="M37" s="148"/>
      <c r="N37" s="148"/>
      <c r="O37" s="148"/>
      <c r="P37" s="132"/>
      <c r="Q37" s="166">
        <f t="shared" si="17"/>
        <v>440170.11869019701</v>
      </c>
      <c r="R37" s="166"/>
      <c r="S37" s="130"/>
      <c r="T37" s="130"/>
      <c r="U37" s="130"/>
      <c r="V37" s="130"/>
      <c r="W37" s="130"/>
      <c r="X37" s="130"/>
      <c r="Y37" s="130"/>
      <c r="Z37" s="130"/>
    </row>
    <row r="38" spans="1:26" ht="15.75" customHeight="1" x14ac:dyDescent="0.2">
      <c r="A38" s="130"/>
      <c r="B38" s="145"/>
      <c r="C38" s="130"/>
      <c r="D38" s="130"/>
      <c r="E38" s="130"/>
      <c r="F38" s="148"/>
      <c r="G38" s="148"/>
      <c r="H38" s="148"/>
      <c r="I38" s="148"/>
      <c r="J38" s="148"/>
      <c r="K38" s="148"/>
      <c r="L38" s="148"/>
      <c r="M38" s="148"/>
      <c r="N38" s="148"/>
      <c r="O38" s="148"/>
      <c r="P38" s="132"/>
      <c r="Q38" s="149"/>
      <c r="R38" s="149"/>
      <c r="S38" s="130"/>
      <c r="T38" s="130"/>
      <c r="U38" s="130"/>
      <c r="V38" s="130"/>
      <c r="W38" s="130"/>
      <c r="X38" s="130"/>
      <c r="Y38" s="130"/>
      <c r="Z38" s="130"/>
    </row>
    <row r="39" spans="1:26" ht="15.75" customHeight="1" x14ac:dyDescent="0.2">
      <c r="A39" s="130"/>
      <c r="B39" s="144" t="s">
        <v>164</v>
      </c>
      <c r="C39" s="130"/>
      <c r="D39" s="130"/>
      <c r="E39" s="132"/>
      <c r="F39" s="167">
        <f>F30/INPUTS!$D$17</f>
        <v>2.9320238680238666E-2</v>
      </c>
      <c r="G39" s="167">
        <f>G30/INPUTS!$D$17</f>
        <v>8.8538152755352748E-2</v>
      </c>
      <c r="H39" s="167">
        <f>H30/INPUTS!$D$17</f>
        <v>7.1714032959401722E-2</v>
      </c>
      <c r="I39" s="167">
        <f>I30/INPUTS!$D$17</f>
        <v>8.3288446947361802E-2</v>
      </c>
      <c r="J39" s="167">
        <f>J30/INPUTS!$D$17</f>
        <v>9.0171168895181189E-2</v>
      </c>
      <c r="K39" s="167">
        <f>K30/INPUTS!$D$17</f>
        <v>6.4574115058399495E-2</v>
      </c>
      <c r="L39" s="167"/>
      <c r="M39" s="167"/>
      <c r="N39" s="167"/>
      <c r="O39" s="167"/>
      <c r="P39" s="132"/>
      <c r="Q39" s="167">
        <f>Q30/-E49</f>
        <v>0.4276061552959356</v>
      </c>
      <c r="R39" s="167">
        <f>AVERAGE(E39:O39)</f>
        <v>7.1267692549322595E-2</v>
      </c>
      <c r="S39" s="130"/>
      <c r="T39" s="130"/>
      <c r="U39" s="130"/>
      <c r="V39" s="130"/>
      <c r="W39" s="130"/>
      <c r="X39" s="130"/>
      <c r="Y39" s="130"/>
      <c r="Z39" s="130"/>
    </row>
    <row r="40" spans="1:26" ht="15.75" customHeight="1" x14ac:dyDescent="0.2">
      <c r="A40" s="130"/>
      <c r="B40" s="130" t="s">
        <v>165</v>
      </c>
      <c r="C40" s="130"/>
      <c r="D40" s="130"/>
      <c r="E40" s="146">
        <f t="shared" ref="E40:K40" si="19">E23/E41</f>
        <v>0</v>
      </c>
      <c r="F40" s="146">
        <f t="shared" si="19"/>
        <v>2024389.9076923074</v>
      </c>
      <c r="G40" s="146">
        <f t="shared" si="19"/>
        <v>3062616.5981538459</v>
      </c>
      <c r="H40" s="146">
        <f t="shared" si="19"/>
        <v>3175546.0993476929</v>
      </c>
      <c r="I40" s="146">
        <f t="shared" si="19"/>
        <v>3292284.5056423377</v>
      </c>
      <c r="J40" s="146">
        <f t="shared" si="19"/>
        <v>3412954.5045921067</v>
      </c>
      <c r="K40" s="146">
        <f t="shared" si="19"/>
        <v>3537682.6327859806</v>
      </c>
      <c r="L40" s="146"/>
      <c r="M40" s="146"/>
      <c r="N40" s="146"/>
      <c r="O40" s="146"/>
      <c r="P40" s="132"/>
      <c r="Q40" s="149">
        <f>MAX(F43:O43)</f>
        <v>3537682.6327859806</v>
      </c>
      <c r="R40" s="149">
        <f>K40</f>
        <v>3537682.6327859806</v>
      </c>
      <c r="S40" s="130"/>
      <c r="T40" s="130"/>
      <c r="U40" s="130"/>
      <c r="V40" s="130"/>
      <c r="W40" s="130"/>
      <c r="X40" s="130"/>
      <c r="Y40" s="130"/>
      <c r="Z40" s="130"/>
    </row>
    <row r="41" spans="1:26" ht="15.75" customHeight="1" x14ac:dyDescent="0.2">
      <c r="A41" s="168"/>
      <c r="B41" s="168" t="s">
        <v>166</v>
      </c>
      <c r="C41" s="168"/>
      <c r="D41" s="168"/>
      <c r="E41" s="169">
        <f>INPUTS!$R$37</f>
        <v>6.5000000000000002E-2</v>
      </c>
      <c r="F41" s="169">
        <f>INPUTS!$R$37</f>
        <v>6.5000000000000002E-2</v>
      </c>
      <c r="G41" s="169">
        <f>INPUTS!$R$37</f>
        <v>6.5000000000000002E-2</v>
      </c>
      <c r="H41" s="169">
        <f>INPUTS!$R$37</f>
        <v>6.5000000000000002E-2</v>
      </c>
      <c r="I41" s="169">
        <f>INPUTS!$R$37</f>
        <v>6.5000000000000002E-2</v>
      </c>
      <c r="J41" s="169">
        <f>INPUTS!$R$37</f>
        <v>6.5000000000000002E-2</v>
      </c>
      <c r="K41" s="169">
        <f>INPUTS!$R$37</f>
        <v>6.5000000000000002E-2</v>
      </c>
      <c r="L41" s="169"/>
      <c r="M41" s="169"/>
      <c r="N41" s="169"/>
      <c r="O41" s="169"/>
      <c r="P41" s="170"/>
      <c r="Q41" s="155"/>
      <c r="R41" s="155"/>
      <c r="S41" s="168"/>
      <c r="T41" s="168"/>
      <c r="U41" s="168"/>
      <c r="V41" s="168"/>
      <c r="W41" s="168"/>
      <c r="X41" s="168"/>
      <c r="Y41" s="168"/>
      <c r="Z41" s="168"/>
    </row>
    <row r="42" spans="1:26" ht="15.75" customHeight="1" x14ac:dyDescent="0.2">
      <c r="A42" s="130"/>
      <c r="B42" s="130"/>
      <c r="C42" s="130"/>
      <c r="D42" s="130"/>
      <c r="E42" s="130"/>
      <c r="F42" s="158"/>
      <c r="G42" s="158"/>
      <c r="H42" s="158"/>
      <c r="I42" s="158"/>
      <c r="J42" s="158"/>
      <c r="K42" s="158"/>
      <c r="L42" s="158"/>
      <c r="M42" s="158"/>
      <c r="N42" s="158"/>
      <c r="O42" s="158"/>
      <c r="P42" s="132"/>
      <c r="Q42" s="149"/>
      <c r="R42" s="149"/>
      <c r="S42" s="130"/>
      <c r="T42" s="130"/>
      <c r="U42" s="130"/>
      <c r="V42" s="130"/>
      <c r="W42" s="130"/>
      <c r="X42" s="130"/>
      <c r="Y42" s="130"/>
      <c r="Z42" s="130"/>
    </row>
    <row r="43" spans="1:26" ht="15.75" customHeight="1" x14ac:dyDescent="0.2">
      <c r="A43" s="130"/>
      <c r="B43" s="130" t="s">
        <v>167</v>
      </c>
      <c r="C43" s="130"/>
      <c r="D43" s="130"/>
      <c r="E43" s="157"/>
      <c r="F43" s="157">
        <f>(F$9=INPUTS!$R$35)*F40</f>
        <v>0</v>
      </c>
      <c r="G43" s="157">
        <f>(G$9=INPUTS!$R$35)*G40</f>
        <v>0</v>
      </c>
      <c r="H43" s="157">
        <f>(H$9=INPUTS!$R$35)*H40</f>
        <v>0</v>
      </c>
      <c r="I43" s="157">
        <f>(I$9=INPUTS!$R$35)*I40</f>
        <v>0</v>
      </c>
      <c r="J43" s="157">
        <f>(J$9=INPUTS!$R$35)*J40</f>
        <v>0</v>
      </c>
      <c r="K43" s="157">
        <f>(K$9=INPUTS!$R$35)*K40</f>
        <v>3537682.6327859806</v>
      </c>
      <c r="L43" s="146"/>
      <c r="M43" s="146"/>
      <c r="N43" s="146"/>
      <c r="O43" s="146"/>
      <c r="P43" s="132"/>
      <c r="Q43" s="149">
        <f>MAX(E43:O43)</f>
        <v>3537682.6327859806</v>
      </c>
      <c r="R43" s="130"/>
      <c r="S43" s="130"/>
      <c r="T43" s="130"/>
      <c r="U43" s="130"/>
      <c r="V43" s="130"/>
      <c r="W43" s="130"/>
      <c r="X43" s="130"/>
      <c r="Y43" s="130"/>
      <c r="Z43" s="130"/>
    </row>
    <row r="44" spans="1:26" ht="15.75" customHeight="1" x14ac:dyDescent="0.2">
      <c r="A44" s="130"/>
      <c r="B44" s="130" t="s">
        <v>168</v>
      </c>
      <c r="C44" s="130"/>
      <c r="D44" s="171">
        <f>INPUTS!R38</f>
        <v>0.05</v>
      </c>
      <c r="E44" s="157"/>
      <c r="F44" s="157">
        <f t="shared" ref="F44:K44" si="20">-F43*$D44</f>
        <v>0</v>
      </c>
      <c r="G44" s="157">
        <f t="shared" si="20"/>
        <v>0</v>
      </c>
      <c r="H44" s="157">
        <f t="shared" si="20"/>
        <v>0</v>
      </c>
      <c r="I44" s="157">
        <f t="shared" si="20"/>
        <v>0</v>
      </c>
      <c r="J44" s="157">
        <f t="shared" si="20"/>
        <v>0</v>
      </c>
      <c r="K44" s="157">
        <f t="shared" si="20"/>
        <v>-176884.13163929904</v>
      </c>
      <c r="L44" s="146"/>
      <c r="M44" s="146"/>
      <c r="N44" s="146"/>
      <c r="O44" s="146"/>
      <c r="P44" s="132"/>
      <c r="Q44" s="149">
        <f t="shared" ref="Q44:Q45" si="21">MIN(E44:O44)</f>
        <v>-176884.13163929904</v>
      </c>
      <c r="R44" s="130"/>
      <c r="S44" s="130"/>
      <c r="T44" s="130"/>
      <c r="U44" s="130"/>
      <c r="V44" s="130"/>
      <c r="W44" s="130"/>
      <c r="X44" s="130"/>
      <c r="Y44" s="130"/>
      <c r="Z44" s="130"/>
    </row>
    <row r="45" spans="1:26" ht="15.75" customHeight="1" x14ac:dyDescent="0.2">
      <c r="A45" s="130"/>
      <c r="B45" s="130" t="s">
        <v>160</v>
      </c>
      <c r="C45" s="130"/>
      <c r="D45" s="130"/>
      <c r="E45" s="157"/>
      <c r="F45" s="157">
        <f>-IF(AND(INPUTS!$R$14="Yes",F$9=INPUTS!$R$15),LOOKUP(INPUTS!$R$15*12,'SENIOR LOAN'!$B$22:$B$381,'SENIOR LOAN'!$G$22:$G$381),IF(AND(INPUTS!$R$14="No",F$9=INPUTS!$R$35),LOOKUP(INPUTS!$R$35*12,'SENIOR LOAN'!$B$22:$B$381,'SENIOR LOAN'!$G$22:$G$381)))</f>
        <v>0</v>
      </c>
      <c r="G45" s="157">
        <f>-IF(AND(INPUTS!$R$14="Yes",G$9=INPUTS!$R$15),LOOKUP(INPUTS!$R$15*12,'SENIOR LOAN'!$B$22:$B$381,'SENIOR LOAN'!$G$22:$G$381),IF(AND(INPUTS!$R$14="No",G$9=INPUTS!$R$35),LOOKUP(INPUTS!$R$35*12,'SENIOR LOAN'!$B$22:$B$381,'SENIOR LOAN'!$G$22:$G$381)))</f>
        <v>0</v>
      </c>
      <c r="H45" s="157">
        <f>-IF(AND(INPUTS!$R$14="Yes",H$9=INPUTS!$R$15),LOOKUP(INPUTS!$R$15*12,'SENIOR LOAN'!$B$22:$B$381,'SENIOR LOAN'!$G$22:$G$381),IF(AND(INPUTS!$R$14="No",H$9=INPUTS!$R$35),LOOKUP(INPUTS!$R$35*12,'SENIOR LOAN'!$B$22:$B$381,'SENIOR LOAN'!$G$22:$G$381)))</f>
        <v>-1427050.9877262462</v>
      </c>
      <c r="I45" s="157">
        <f>-IF(AND(INPUTS!$R$14="Yes",I$9=INPUTS!$R$15),LOOKUP(INPUTS!$R$15*12,'SENIOR LOAN'!$B$22:$B$381,'SENIOR LOAN'!$G$22:$G$381),IF(AND(INPUTS!$R$14="No",I$9=INPUTS!$R$35),LOOKUP(INPUTS!$R$35*12,'SENIOR LOAN'!$B$22:$B$381,'SENIOR LOAN'!$G$22:$G$381)))</f>
        <v>0</v>
      </c>
      <c r="J45" s="157">
        <f>-IF(AND(INPUTS!$R$14="Yes",J$9=INPUTS!$R$15),LOOKUP(INPUTS!$R$15*12,'SENIOR LOAN'!$B$22:$B$381,'SENIOR LOAN'!$G$22:$G$381),IF(AND(INPUTS!$R$14="No",J$9=INPUTS!$R$35),LOOKUP(INPUTS!$R$35*12,'SENIOR LOAN'!$B$22:$B$381,'SENIOR LOAN'!$G$22:$G$381)))</f>
        <v>0</v>
      </c>
      <c r="K45" s="157">
        <f>-IF(AND(INPUTS!$R$14="Yes",K$9=INPUTS!$R$15),LOOKUP(INPUTS!$R$15*12,'SENIOR LOAN'!$B$22:$B$381,'SENIOR LOAN'!$G$22:$G$381),IF(AND(INPUTS!$R$14="No",K$9=INPUTS!$R$35),LOOKUP(INPUTS!$R$35*12,'SENIOR LOAN'!$B$22:$B$381,'SENIOR LOAN'!$G$22:$G$381)))</f>
        <v>0</v>
      </c>
      <c r="L45" s="146"/>
      <c r="M45" s="146"/>
      <c r="N45" s="146"/>
      <c r="O45" s="146"/>
      <c r="P45" s="132"/>
      <c r="Q45" s="149">
        <f t="shared" si="21"/>
        <v>-1427050.9877262462</v>
      </c>
      <c r="R45" s="130"/>
      <c r="S45" s="130"/>
      <c r="T45" s="130"/>
      <c r="U45" s="130"/>
      <c r="V45" s="130"/>
      <c r="W45" s="130"/>
      <c r="X45" s="130"/>
      <c r="Y45" s="130"/>
      <c r="Z45" s="130"/>
    </row>
    <row r="46" spans="1:26" ht="15.75" customHeight="1" x14ac:dyDescent="0.2">
      <c r="A46" s="130"/>
      <c r="B46" s="130" t="s">
        <v>161</v>
      </c>
      <c r="C46" s="130"/>
      <c r="D46" s="130"/>
      <c r="E46" s="157"/>
      <c r="F46" s="157">
        <f t="array" ref="F46">-IF(INPUTS!$F$15&gt;0,IF(OR(AND(INPUTS!$R$14="Yes",F$9=INPUTS!$R$15),AND(F$9=INPUTS!$R$35,SUMPRODUCT((INPUTS!$R$14="Yes")*(E$9:$F$9=INPUTS!$R$15))=0)),INPUTS!$F$15+SUM($F29:F29),0),0)</f>
        <v>0</v>
      </c>
      <c r="G46" s="157">
        <f t="array" ref="G46">-IF(INPUTS!$F$15&gt;0,IF(OR(AND(INPUTS!$R$14="Yes",G$9=INPUTS!$R$15),AND(G$9=INPUTS!$R$35,SUMPRODUCT((INPUTS!$R$14="Yes")*(F$9:$F$9=INPUTS!$R$15))=0)),INPUTS!$F$15+SUM($F29:G29),0),0)</f>
        <v>0</v>
      </c>
      <c r="H46" s="157">
        <f t="array" ref="H46">-IF(INPUTS!$F$15&gt;0,IF(OR(AND(INPUTS!$R$14="Yes",H$9=INPUTS!$R$15),AND(H$9=INPUTS!$R$35,SUMPRODUCT((INPUTS!$R$14="Yes")*($F$9:G$9=INPUTS!$R$15))=0)),INPUTS!$F$15+SUM($F29:H29),0),0)</f>
        <v>0</v>
      </c>
      <c r="I46" s="157">
        <f t="array" ref="I46">-IF(INPUTS!$F$15&gt;0,IF(OR(AND(INPUTS!$R$14="Yes",I$9=INPUTS!$R$15),AND(I$9=INPUTS!$R$35,SUMPRODUCT((INPUTS!$R$14="Yes")*($F$9:H$9=INPUTS!$R$15))=0)),INPUTS!$F$15+SUM($F29:I29),0),0)</f>
        <v>0</v>
      </c>
      <c r="J46" s="157">
        <f t="array" ref="J46">-IF(INPUTS!$F$15&gt;0,IF(OR(AND(INPUTS!$R$14="Yes",J$9=INPUTS!$R$15),AND(J$9=INPUTS!$R$35,SUMPRODUCT((INPUTS!$R$14="Yes")*($F$9:I$9=INPUTS!$R$15))=0)),INPUTS!$F$15+SUM($F29:J29),0),0)</f>
        <v>0</v>
      </c>
      <c r="K46" s="157">
        <f t="array" ref="K46">-IF(INPUTS!$F$15&gt;0,IF(OR(AND(INPUTS!$R$14="Yes",K$9=INPUTS!$R$15),AND(K$9=INPUTS!$R$35,SUMPRODUCT((INPUTS!$R$14="Yes")*($F$9:J$9=INPUTS!$R$15))=0)),INPUTS!$F$15+SUM($F29:K29),0),0)</f>
        <v>0</v>
      </c>
      <c r="L46" s="146"/>
      <c r="M46" s="146"/>
      <c r="N46" s="146"/>
      <c r="O46" s="146"/>
      <c r="P46" s="132"/>
      <c r="Q46" s="149"/>
      <c r="R46" s="130"/>
      <c r="S46" s="130"/>
      <c r="T46" s="130"/>
      <c r="U46" s="130"/>
      <c r="V46" s="130"/>
      <c r="W46" s="130"/>
      <c r="X46" s="130"/>
      <c r="Y46" s="130"/>
      <c r="Z46" s="130"/>
    </row>
    <row r="47" spans="1:26" ht="15.75" customHeight="1" x14ac:dyDescent="0.2">
      <c r="A47" s="130"/>
      <c r="B47" s="130" t="s">
        <v>169</v>
      </c>
      <c r="C47" s="130"/>
      <c r="D47" s="130"/>
      <c r="E47" s="157"/>
      <c r="F47" s="157">
        <f>-IFERROR(IF(AND(INPUTS!$R$14="Yes",F$9=INPUTS!$R$35),LOOKUP(INPUTS!$R$35*12,'REFI LOAN'!$B$22:$B$381,'REFI LOAN'!$G$22:$G$381),0),0)</f>
        <v>0</v>
      </c>
      <c r="G47" s="157">
        <f>-IFERROR(IF(AND(INPUTS!$R$14="Yes",G$9=INPUTS!$R$35),LOOKUP(INPUTS!$R$35*12,'REFI LOAN'!$B$22:$B$381,'REFI LOAN'!$G$22:$G$381),0),0)</f>
        <v>0</v>
      </c>
      <c r="H47" s="157">
        <f>-IFERROR(IF(AND(INPUTS!$R$14="Yes",H$9=INPUTS!$R$35),LOOKUP(INPUTS!$R$35*12,'REFI LOAN'!$B$22:$B$381,'REFI LOAN'!$G$22:$G$381),0),0)</f>
        <v>0</v>
      </c>
      <c r="I47" s="157">
        <f>-IFERROR(IF(AND(INPUTS!$R$14="Yes",I$9=INPUTS!$R$35),LOOKUP(INPUTS!$R$35*12,'REFI LOAN'!$B$22:$B$381,'REFI LOAN'!$G$22:$G$381),0),0)</f>
        <v>0</v>
      </c>
      <c r="J47" s="157">
        <f>-IFERROR(IF(AND(INPUTS!$R$14="Yes",J$9=INPUTS!$R$35),LOOKUP(INPUTS!$R$35*12,'REFI LOAN'!$B$22:$B$381,'REFI LOAN'!$G$22:$G$381),0),0)</f>
        <v>0</v>
      </c>
      <c r="K47" s="157">
        <f>-IFERROR(IF(AND(INPUTS!$R$14="Yes",K$9=INPUTS!$R$35),LOOKUP(INPUTS!$R$35*12,'REFI LOAN'!$B$22:$B$381,'REFI LOAN'!$G$22:$G$381),0),0)</f>
        <v>-1866963.3188897318</v>
      </c>
      <c r="L47" s="146"/>
      <c r="M47" s="146"/>
      <c r="N47" s="146"/>
      <c r="O47" s="146"/>
      <c r="P47" s="132"/>
      <c r="Q47" s="149">
        <f t="shared" ref="Q47:Q48" si="22">MIN(E47:O47)</f>
        <v>-1866963.3188897318</v>
      </c>
      <c r="R47" s="130"/>
      <c r="S47" s="130"/>
      <c r="T47" s="130"/>
      <c r="U47" s="130"/>
      <c r="V47" s="130"/>
      <c r="W47" s="130"/>
      <c r="X47" s="130"/>
      <c r="Y47" s="130"/>
      <c r="Z47" s="130"/>
    </row>
    <row r="48" spans="1:26" ht="15.75" customHeight="1" x14ac:dyDescent="0.2">
      <c r="A48" s="130"/>
      <c r="B48" s="130" t="s">
        <v>162</v>
      </c>
      <c r="C48" s="130"/>
      <c r="D48" s="130"/>
      <c r="E48" s="157"/>
      <c r="F48" s="157">
        <f>(INPUTS!$R$14="Yes")*(F$9=INPUTS!$R$15)*INPUTS!$R$24</f>
        <v>0</v>
      </c>
      <c r="G48" s="157">
        <f>(INPUTS!$R$14="Yes")*(G$9=INPUTS!$R$15)*INPUTS!$R$24</f>
        <v>0</v>
      </c>
      <c r="H48" s="157">
        <f>(INPUTS!$R$14="Yes")*(H$9=INPUTS!$R$15)*INPUTS!$R$24</f>
        <v>-38106.553192172309</v>
      </c>
      <c r="I48" s="157">
        <f>(INPUTS!$R$14="Yes")*(I$9=INPUTS!$R$15)*INPUTS!$R$24</f>
        <v>0</v>
      </c>
      <c r="J48" s="157">
        <f>(INPUTS!$R$14="Yes")*(J$9=INPUTS!$R$15)*INPUTS!$R$24</f>
        <v>0</v>
      </c>
      <c r="K48" s="157">
        <f>(INPUTS!$R$14="Yes")*(K$9=INPUTS!$R$15)*INPUTS!$R$24</f>
        <v>0</v>
      </c>
      <c r="L48" s="146"/>
      <c r="M48" s="146"/>
      <c r="N48" s="146"/>
      <c r="O48" s="146"/>
      <c r="P48" s="132"/>
      <c r="Q48" s="149">
        <f t="shared" si="22"/>
        <v>-38106.553192172309</v>
      </c>
      <c r="R48" s="130"/>
      <c r="S48" s="130"/>
      <c r="T48" s="130"/>
      <c r="U48" s="130"/>
      <c r="V48" s="130"/>
      <c r="W48" s="130"/>
      <c r="X48" s="130"/>
      <c r="Y48" s="130"/>
      <c r="Z48" s="130"/>
    </row>
    <row r="49" spans="1:26" ht="15.75" customHeight="1" x14ac:dyDescent="0.2">
      <c r="A49" s="130"/>
      <c r="B49" s="132" t="s">
        <v>170</v>
      </c>
      <c r="C49" s="130"/>
      <c r="D49" s="130"/>
      <c r="E49" s="165">
        <f>-INPUTS!D17</f>
        <v>-1139600</v>
      </c>
      <c r="F49" s="165">
        <f t="shared" ref="F49:K49" si="23">F30+F33+F43+F44+F45+F46+F47+F48</f>
        <v>33413.343999999983</v>
      </c>
      <c r="G49" s="165">
        <f t="shared" si="23"/>
        <v>100898.07887999999</v>
      </c>
      <c r="H49" s="165">
        <f t="shared" si="23"/>
        <v>521895.4306507312</v>
      </c>
      <c r="I49" s="165">
        <f t="shared" si="23"/>
        <v>94915.514141213513</v>
      </c>
      <c r="J49" s="165">
        <f t="shared" si="23"/>
        <v>102759.06407294849</v>
      </c>
      <c r="K49" s="165">
        <f t="shared" si="23"/>
        <v>1567423.8437775017</v>
      </c>
      <c r="L49" s="166"/>
      <c r="M49" s="166"/>
      <c r="N49" s="166"/>
      <c r="O49" s="166"/>
      <c r="P49" s="132"/>
      <c r="Q49" s="172">
        <f>SUM(E49:K49)</f>
        <v>1281705.2755223948</v>
      </c>
      <c r="R49" s="172"/>
      <c r="S49" s="130"/>
      <c r="T49" s="130"/>
      <c r="U49" s="130"/>
      <c r="V49" s="130"/>
      <c r="W49" s="130"/>
      <c r="X49" s="130"/>
      <c r="Y49" s="130"/>
      <c r="Z49" s="130"/>
    </row>
    <row r="50" spans="1:26" ht="15.75" customHeight="1" x14ac:dyDescent="0.2">
      <c r="A50" s="130"/>
      <c r="B50" s="130"/>
      <c r="C50" s="173"/>
      <c r="D50" s="173"/>
      <c r="E50" s="130"/>
      <c r="F50" s="130"/>
      <c r="G50" s="174"/>
      <c r="H50" s="174"/>
      <c r="I50" s="174"/>
      <c r="J50" s="174"/>
      <c r="K50" s="174"/>
      <c r="L50" s="174"/>
      <c r="M50" s="174"/>
      <c r="N50" s="174"/>
      <c r="O50" s="174"/>
      <c r="P50" s="132"/>
      <c r="Q50" s="174"/>
      <c r="R50" s="174"/>
      <c r="S50" s="130"/>
      <c r="T50" s="130"/>
      <c r="U50" s="130"/>
      <c r="V50" s="130"/>
      <c r="W50" s="130"/>
      <c r="X50" s="130"/>
      <c r="Y50" s="130"/>
      <c r="Z50" s="130"/>
    </row>
    <row r="51" spans="1:26" ht="15.75" customHeight="1" x14ac:dyDescent="0.2">
      <c r="A51" s="130"/>
      <c r="B51" s="175" t="s">
        <v>111</v>
      </c>
      <c r="C51" s="175"/>
      <c r="D51" s="175"/>
      <c r="E51" s="176"/>
      <c r="F51" s="177"/>
      <c r="G51" s="130"/>
      <c r="H51" s="174"/>
      <c r="I51" s="178"/>
      <c r="J51" s="174"/>
      <c r="K51" s="174"/>
      <c r="L51" s="174"/>
      <c r="M51" s="174"/>
      <c r="N51" s="174"/>
      <c r="O51" s="174"/>
      <c r="P51" s="132"/>
      <c r="Q51" s="174"/>
      <c r="R51" s="174"/>
      <c r="S51" s="130"/>
      <c r="T51" s="130"/>
      <c r="U51" s="130"/>
      <c r="V51" s="130"/>
      <c r="W51" s="130"/>
      <c r="X51" s="130"/>
      <c r="Y51" s="130"/>
      <c r="Z51" s="130"/>
    </row>
    <row r="52" spans="1:26" ht="15.75" customHeight="1" x14ac:dyDescent="0.2">
      <c r="A52" s="130"/>
      <c r="B52" s="137" t="s">
        <v>171</v>
      </c>
      <c r="C52" s="132"/>
      <c r="D52" s="137"/>
      <c r="E52" s="179">
        <f>IRR(E49:K49)</f>
        <v>0.16935242517374149</v>
      </c>
      <c r="F52" s="180"/>
      <c r="G52" s="130"/>
      <c r="H52" s="174"/>
      <c r="I52" s="178"/>
      <c r="J52" s="174"/>
      <c r="K52" s="174"/>
      <c r="L52" s="174"/>
      <c r="M52" s="174"/>
      <c r="N52" s="174"/>
      <c r="O52" s="174"/>
      <c r="P52" s="132"/>
      <c r="Q52" s="174"/>
      <c r="R52" s="174"/>
      <c r="S52" s="130"/>
      <c r="T52" s="130"/>
      <c r="U52" s="130"/>
      <c r="V52" s="130"/>
      <c r="W52" s="130"/>
      <c r="X52" s="130"/>
      <c r="Y52" s="130"/>
      <c r="Z52" s="130"/>
    </row>
    <row r="53" spans="1:26" ht="15.75" customHeight="1" x14ac:dyDescent="0.2">
      <c r="A53" s="130"/>
      <c r="B53" s="137" t="s">
        <v>172</v>
      </c>
      <c r="C53" s="132"/>
      <c r="D53" s="137"/>
      <c r="E53" s="181">
        <f>Q43+Q44+INPUTS!R42</f>
        <v>1493835.1822569498</v>
      </c>
      <c r="F53" s="182"/>
      <c r="G53" s="132"/>
      <c r="H53" s="173"/>
      <c r="I53" s="173"/>
      <c r="J53" s="183"/>
      <c r="K53" s="130"/>
      <c r="L53" s="148"/>
      <c r="M53" s="148"/>
      <c r="N53" s="148"/>
      <c r="O53" s="148"/>
      <c r="P53" s="132"/>
      <c r="Q53" s="148"/>
      <c r="R53" s="148"/>
      <c r="S53" s="130"/>
      <c r="T53" s="130"/>
      <c r="U53" s="130"/>
      <c r="V53" s="130"/>
      <c r="W53" s="130"/>
      <c r="X53" s="130"/>
      <c r="Y53" s="130"/>
      <c r="Z53" s="130"/>
    </row>
    <row r="54" spans="1:26" ht="15.75" customHeight="1" x14ac:dyDescent="0.2">
      <c r="A54" s="130"/>
      <c r="B54" s="173" t="s">
        <v>173</v>
      </c>
      <c r="C54" s="130"/>
      <c r="D54" s="173"/>
      <c r="E54" s="184">
        <f t="shared" ref="E54:E55" si="24">Q43</f>
        <v>3537682.6327859806</v>
      </c>
      <c r="F54" s="182"/>
      <c r="G54" s="132"/>
      <c r="H54" s="173"/>
      <c r="I54" s="173"/>
      <c r="J54" s="183"/>
      <c r="K54" s="130"/>
      <c r="L54" s="148"/>
      <c r="M54" s="148"/>
      <c r="N54" s="148"/>
      <c r="O54" s="148"/>
      <c r="P54" s="132"/>
      <c r="Q54" s="148"/>
      <c r="R54" s="148"/>
      <c r="S54" s="130"/>
      <c r="T54" s="130"/>
      <c r="U54" s="130"/>
      <c r="V54" s="130"/>
      <c r="W54" s="130"/>
      <c r="X54" s="130"/>
      <c r="Y54" s="130"/>
      <c r="Z54" s="130"/>
    </row>
    <row r="55" spans="1:26" ht="15.75" customHeight="1" x14ac:dyDescent="0.2">
      <c r="A55" s="130"/>
      <c r="B55" s="173" t="s">
        <v>174</v>
      </c>
      <c r="C55" s="130"/>
      <c r="D55" s="173"/>
      <c r="E55" s="184">
        <f t="shared" si="24"/>
        <v>-176884.13163929904</v>
      </c>
      <c r="F55" s="182"/>
      <c r="G55" s="132"/>
      <c r="H55" s="173"/>
      <c r="I55" s="173"/>
      <c r="J55" s="183"/>
      <c r="K55" s="130"/>
      <c r="L55" s="148"/>
      <c r="M55" s="148"/>
      <c r="N55" s="148"/>
      <c r="O55" s="148"/>
      <c r="P55" s="132"/>
      <c r="Q55" s="148"/>
      <c r="R55" s="148"/>
      <c r="S55" s="130"/>
      <c r="T55" s="130"/>
      <c r="U55" s="130"/>
      <c r="V55" s="130"/>
      <c r="W55" s="130"/>
      <c r="X55" s="130"/>
      <c r="Y55" s="130"/>
      <c r="Z55" s="130"/>
    </row>
    <row r="56" spans="1:26" ht="15.75" customHeight="1" x14ac:dyDescent="0.2">
      <c r="A56" s="130"/>
      <c r="B56" s="173" t="s">
        <v>175</v>
      </c>
      <c r="C56" s="130"/>
      <c r="D56" s="173"/>
      <c r="E56" s="184">
        <f>Q30</f>
        <v>487299.9745752482</v>
      </c>
      <c r="F56" s="182"/>
      <c r="G56" s="132"/>
      <c r="H56" s="173"/>
      <c r="I56" s="173"/>
      <c r="J56" s="183"/>
      <c r="K56" s="130"/>
      <c r="L56" s="148"/>
      <c r="M56" s="148"/>
      <c r="N56" s="148"/>
      <c r="O56" s="148"/>
      <c r="P56" s="132"/>
      <c r="Q56" s="148"/>
      <c r="R56" s="148"/>
      <c r="S56" s="130"/>
      <c r="T56" s="130"/>
      <c r="U56" s="130"/>
      <c r="V56" s="130"/>
      <c r="W56" s="130"/>
      <c r="X56" s="130"/>
      <c r="Y56" s="130"/>
      <c r="Z56" s="130"/>
    </row>
    <row r="57" spans="1:26" ht="15.75" customHeight="1" x14ac:dyDescent="0.2">
      <c r="A57" s="130"/>
      <c r="B57" s="173" t="str">
        <f>B32</f>
        <v>Net Cash from Refinance</v>
      </c>
      <c r="C57" s="130"/>
      <c r="D57" s="173"/>
      <c r="E57" s="184">
        <f>Q37</f>
        <v>440170.11869019701</v>
      </c>
      <c r="F57" s="182"/>
      <c r="G57" s="132"/>
      <c r="H57" s="173"/>
      <c r="I57" s="173"/>
      <c r="J57" s="183"/>
      <c r="K57" s="130"/>
      <c r="L57" s="148"/>
      <c r="M57" s="148"/>
      <c r="N57" s="148"/>
      <c r="O57" s="148"/>
      <c r="P57" s="132"/>
      <c r="Q57" s="148"/>
      <c r="R57" s="148"/>
      <c r="S57" s="130"/>
      <c r="T57" s="130"/>
      <c r="U57" s="130"/>
      <c r="V57" s="130"/>
      <c r="W57" s="130"/>
      <c r="X57" s="130"/>
      <c r="Y57" s="130"/>
      <c r="Z57" s="130"/>
    </row>
    <row r="58" spans="1:26" ht="15.75" customHeight="1" x14ac:dyDescent="0.2">
      <c r="A58" s="130"/>
      <c r="B58" s="173" t="s">
        <v>176</v>
      </c>
      <c r="C58" s="130"/>
      <c r="D58" s="173"/>
      <c r="E58" s="184">
        <f>E49</f>
        <v>-1139600</v>
      </c>
      <c r="F58" s="182"/>
      <c r="G58" s="132"/>
      <c r="H58" s="173"/>
      <c r="I58" s="173"/>
      <c r="J58" s="183"/>
      <c r="K58" s="130"/>
      <c r="L58" s="148"/>
      <c r="M58" s="148"/>
      <c r="N58" s="148"/>
      <c r="O58" s="148"/>
      <c r="P58" s="132"/>
      <c r="Q58" s="148"/>
      <c r="R58" s="148"/>
      <c r="S58" s="130"/>
      <c r="T58" s="130"/>
      <c r="U58" s="130"/>
      <c r="V58" s="130"/>
      <c r="W58" s="130"/>
      <c r="X58" s="130"/>
      <c r="Y58" s="130"/>
      <c r="Z58" s="130"/>
    </row>
    <row r="59" spans="1:26" ht="15.75" customHeight="1" x14ac:dyDescent="0.2">
      <c r="A59" s="130"/>
      <c r="B59" s="173" t="s">
        <v>177</v>
      </c>
      <c r="C59" s="130"/>
      <c r="D59" s="173"/>
      <c r="E59" s="184">
        <f>INPUTS!R42</f>
        <v>-1866963.3188897318</v>
      </c>
      <c r="F59" s="182"/>
      <c r="G59" s="182"/>
      <c r="H59" s="173"/>
      <c r="I59" s="173"/>
      <c r="J59" s="183"/>
      <c r="K59" s="130"/>
      <c r="L59" s="148"/>
      <c r="M59" s="148"/>
      <c r="N59" s="148"/>
      <c r="O59" s="148"/>
      <c r="P59" s="132"/>
      <c r="Q59" s="148"/>
      <c r="R59" s="148"/>
      <c r="S59" s="130"/>
      <c r="T59" s="130"/>
      <c r="U59" s="130"/>
      <c r="V59" s="130"/>
      <c r="W59" s="130"/>
      <c r="X59" s="130"/>
      <c r="Y59" s="130"/>
      <c r="Z59" s="130"/>
    </row>
    <row r="60" spans="1:26" ht="15.75" customHeight="1" x14ac:dyDescent="0.2">
      <c r="A60" s="130"/>
      <c r="B60" s="137" t="s">
        <v>178</v>
      </c>
      <c r="C60" s="132"/>
      <c r="D60" s="137"/>
      <c r="E60" s="181">
        <f>SUM(E54:E59)</f>
        <v>1281705.2755223948</v>
      </c>
      <c r="F60" s="182"/>
      <c r="G60" s="182"/>
      <c r="H60" s="173"/>
      <c r="I60" s="173"/>
      <c r="J60" s="183"/>
      <c r="K60" s="130"/>
      <c r="L60" s="148"/>
      <c r="M60" s="148"/>
      <c r="N60" s="148"/>
      <c r="O60" s="148"/>
      <c r="P60" s="132"/>
      <c r="Q60" s="148"/>
      <c r="R60" s="148"/>
      <c r="S60" s="130"/>
      <c r="T60" s="130"/>
      <c r="U60" s="130"/>
      <c r="V60" s="130"/>
      <c r="W60" s="130"/>
      <c r="X60" s="130"/>
      <c r="Y60" s="130"/>
      <c r="Z60" s="130"/>
    </row>
    <row r="61" spans="1:26" ht="15.75" customHeight="1" x14ac:dyDescent="0.2">
      <c r="A61" s="130"/>
      <c r="B61" s="185" t="s">
        <v>179</v>
      </c>
      <c r="C61" s="186"/>
      <c r="D61" s="186"/>
      <c r="E61" s="187">
        <f>E60/-E58</f>
        <v>1.1246975039684055</v>
      </c>
      <c r="F61" s="188"/>
      <c r="G61" s="173"/>
      <c r="H61" s="173"/>
      <c r="I61" s="173"/>
      <c r="J61" s="130"/>
      <c r="K61" s="130"/>
      <c r="L61" s="130"/>
      <c r="M61" s="130"/>
      <c r="N61" s="130"/>
      <c r="O61" s="130"/>
      <c r="P61" s="132"/>
      <c r="Q61" s="130"/>
      <c r="R61" s="130"/>
      <c r="S61" s="130"/>
      <c r="T61" s="130"/>
      <c r="U61" s="130"/>
      <c r="V61" s="130"/>
      <c r="W61" s="130"/>
      <c r="X61" s="130"/>
      <c r="Y61" s="130"/>
      <c r="Z61" s="130"/>
    </row>
    <row r="62" spans="1:26" ht="13.5" hidden="1" customHeight="1" x14ac:dyDescent="0.2">
      <c r="A62" s="130"/>
      <c r="B62" s="130"/>
      <c r="C62" s="189"/>
      <c r="D62" s="189"/>
      <c r="E62" s="190" t="s">
        <v>5</v>
      </c>
      <c r="F62" s="189" t="s">
        <v>180</v>
      </c>
      <c r="G62" s="173"/>
      <c r="H62" s="173"/>
      <c r="I62" s="173"/>
      <c r="J62" s="130"/>
      <c r="K62" s="130"/>
      <c r="L62" s="130"/>
      <c r="M62" s="130"/>
      <c r="N62" s="130"/>
      <c r="O62" s="130"/>
      <c r="P62" s="132"/>
      <c r="Q62" s="130"/>
      <c r="R62" s="130"/>
      <c r="S62" s="130"/>
      <c r="T62" s="130"/>
      <c r="U62" s="130"/>
      <c r="V62" s="130"/>
      <c r="W62" s="130"/>
      <c r="X62" s="130"/>
      <c r="Y62" s="130"/>
      <c r="Z62" s="130"/>
    </row>
    <row r="63" spans="1:26" ht="15.75" hidden="1" customHeight="1" x14ac:dyDescent="0.2">
      <c r="A63" s="130"/>
      <c r="B63" s="130"/>
      <c r="C63" s="137" t="s">
        <v>181</v>
      </c>
      <c r="D63" s="191">
        <v>0.9</v>
      </c>
      <c r="E63" s="174">
        <f>-E58*D63</f>
        <v>1025640</v>
      </c>
      <c r="F63" s="191">
        <v>0.65</v>
      </c>
      <c r="G63" s="173"/>
      <c r="H63" s="173"/>
      <c r="I63" s="173"/>
      <c r="J63" s="130"/>
      <c r="K63" s="130"/>
      <c r="L63" s="130"/>
      <c r="M63" s="130"/>
      <c r="N63" s="130"/>
      <c r="O63" s="130"/>
      <c r="P63" s="132"/>
      <c r="Q63" s="130"/>
      <c r="R63" s="130"/>
      <c r="S63" s="130"/>
      <c r="T63" s="130"/>
      <c r="U63" s="130"/>
      <c r="V63" s="130"/>
      <c r="W63" s="130"/>
      <c r="X63" s="130"/>
      <c r="Y63" s="130"/>
      <c r="Z63" s="130"/>
    </row>
    <row r="64" spans="1:26" ht="15.75" hidden="1" customHeight="1" x14ac:dyDescent="0.2">
      <c r="A64" s="130"/>
      <c r="B64" s="130"/>
      <c r="C64" s="137" t="s">
        <v>182</v>
      </c>
      <c r="D64" s="191">
        <v>0.1</v>
      </c>
      <c r="E64" s="174">
        <f>-E58*D64</f>
        <v>113960</v>
      </c>
      <c r="F64" s="191">
        <v>0.35</v>
      </c>
      <c r="G64" s="173"/>
      <c r="H64" s="173"/>
      <c r="I64" s="173"/>
      <c r="J64" s="130"/>
      <c r="K64" s="130"/>
      <c r="L64" s="130"/>
      <c r="M64" s="130"/>
      <c r="N64" s="130"/>
      <c r="O64" s="130"/>
      <c r="P64" s="132"/>
      <c r="Q64" s="130"/>
      <c r="R64" s="130"/>
      <c r="S64" s="130"/>
      <c r="T64" s="130"/>
      <c r="U64" s="130"/>
      <c r="V64" s="130"/>
      <c r="W64" s="130"/>
      <c r="X64" s="130"/>
      <c r="Y64" s="130"/>
      <c r="Z64" s="130"/>
    </row>
    <row r="65" spans="1:26" ht="16.5" hidden="1" customHeight="1" x14ac:dyDescent="0.2">
      <c r="A65" s="130"/>
      <c r="B65" s="130"/>
      <c r="C65" s="137" t="s">
        <v>6</v>
      </c>
      <c r="D65" s="192">
        <f t="shared" ref="D65:F65" si="25">SUM(D63:D64)</f>
        <v>1</v>
      </c>
      <c r="E65" s="193">
        <f t="shared" si="25"/>
        <v>1139600</v>
      </c>
      <c r="F65" s="192">
        <f t="shared" si="25"/>
        <v>1</v>
      </c>
      <c r="G65" s="173"/>
      <c r="H65" s="173"/>
      <c r="I65" s="173"/>
      <c r="J65" s="130"/>
      <c r="K65" s="130"/>
      <c r="L65" s="130"/>
      <c r="M65" s="130"/>
      <c r="N65" s="130"/>
      <c r="O65" s="130"/>
      <c r="P65" s="132"/>
      <c r="Q65" s="130"/>
      <c r="R65" s="130"/>
      <c r="S65" s="130"/>
      <c r="T65" s="130"/>
      <c r="U65" s="130"/>
      <c r="V65" s="130"/>
      <c r="W65" s="130"/>
      <c r="X65" s="130"/>
      <c r="Y65" s="130"/>
      <c r="Z65" s="130"/>
    </row>
    <row r="66" spans="1:26" ht="12.75" hidden="1" customHeight="1" x14ac:dyDescent="0.2">
      <c r="A66" s="130"/>
      <c r="B66" s="130"/>
      <c r="C66" s="130"/>
      <c r="D66" s="130"/>
      <c r="E66" s="130"/>
      <c r="F66" s="188"/>
      <c r="G66" s="173"/>
      <c r="H66" s="173"/>
      <c r="I66" s="173"/>
      <c r="J66" s="130"/>
      <c r="K66" s="130"/>
      <c r="L66" s="130"/>
      <c r="M66" s="130"/>
      <c r="N66" s="130"/>
      <c r="O66" s="130"/>
      <c r="P66" s="132"/>
      <c r="Q66" s="130"/>
      <c r="R66" s="130"/>
      <c r="S66" s="130"/>
      <c r="T66" s="130"/>
      <c r="U66" s="130"/>
      <c r="V66" s="130"/>
      <c r="W66" s="130"/>
      <c r="X66" s="130"/>
      <c r="Y66" s="130"/>
      <c r="Z66" s="130"/>
    </row>
    <row r="67" spans="1:26" ht="13.5" hidden="1" customHeight="1" x14ac:dyDescent="0.2">
      <c r="A67" s="130"/>
      <c r="B67" s="130"/>
      <c r="C67" s="189"/>
      <c r="D67" s="189"/>
      <c r="E67" s="190" t="s">
        <v>183</v>
      </c>
      <c r="F67" s="189" t="s">
        <v>184</v>
      </c>
      <c r="G67" s="189" t="s">
        <v>185</v>
      </c>
      <c r="H67" s="189" t="s">
        <v>179</v>
      </c>
      <c r="I67" s="190" t="s">
        <v>186</v>
      </c>
      <c r="J67" s="130"/>
      <c r="K67" s="130"/>
      <c r="L67" s="130"/>
      <c r="M67" s="130"/>
      <c r="N67" s="130"/>
      <c r="O67" s="130"/>
      <c r="P67" s="132"/>
      <c r="Q67" s="130"/>
      <c r="R67" s="130"/>
      <c r="S67" s="130"/>
      <c r="T67" s="130"/>
      <c r="U67" s="130"/>
      <c r="V67" s="130"/>
      <c r="W67" s="130"/>
      <c r="X67" s="130"/>
      <c r="Y67" s="130"/>
      <c r="Z67" s="130"/>
    </row>
    <row r="68" spans="1:26" ht="15.75" hidden="1" customHeight="1" x14ac:dyDescent="0.2">
      <c r="A68" s="130"/>
      <c r="B68" s="130"/>
      <c r="C68" s="137" t="s">
        <v>187</v>
      </c>
      <c r="D68" s="191">
        <v>0.1</v>
      </c>
      <c r="E68" s="194">
        <f>D68*E63</f>
        <v>102564</v>
      </c>
      <c r="F68" s="148">
        <f>(E60-E68)*F63</f>
        <v>766441.8290895567</v>
      </c>
      <c r="G68" s="195">
        <f t="shared" ref="G68:G69" si="26">SUM(E68:F68)</f>
        <v>869005.8290895567</v>
      </c>
      <c r="H68" s="196">
        <f t="shared" ref="H68:H69" si="27">G68/E63</f>
        <v>0.84728153064384848</v>
      </c>
      <c r="I68" s="196">
        <f t="shared" ref="I68:I69" si="28">H68/6</f>
        <v>0.14121358844064141</v>
      </c>
      <c r="J68" s="130"/>
      <c r="K68" s="130"/>
      <c r="L68" s="130"/>
      <c r="M68" s="130"/>
      <c r="N68" s="130"/>
      <c r="O68" s="130"/>
      <c r="P68" s="132"/>
      <c r="Q68" s="130"/>
      <c r="R68" s="130"/>
      <c r="S68" s="130"/>
      <c r="T68" s="130"/>
      <c r="U68" s="130"/>
      <c r="V68" s="130"/>
      <c r="W68" s="130"/>
      <c r="X68" s="130"/>
      <c r="Y68" s="130"/>
      <c r="Z68" s="130"/>
    </row>
    <row r="69" spans="1:26" ht="15.75" hidden="1" customHeight="1" x14ac:dyDescent="0.2">
      <c r="A69" s="130"/>
      <c r="B69" s="130"/>
      <c r="C69" s="137" t="s">
        <v>188</v>
      </c>
      <c r="D69" s="130"/>
      <c r="E69" s="130"/>
      <c r="F69" s="148">
        <f>E60-G68</f>
        <v>412699.4464328381</v>
      </c>
      <c r="G69" s="195">
        <f t="shared" si="26"/>
        <v>412699.4464328381</v>
      </c>
      <c r="H69" s="197">
        <f t="shared" si="27"/>
        <v>3.6214412638894182</v>
      </c>
      <c r="I69" s="196">
        <f t="shared" si="28"/>
        <v>0.6035735439815697</v>
      </c>
      <c r="J69" s="130"/>
      <c r="K69" s="130"/>
      <c r="L69" s="130"/>
      <c r="M69" s="130"/>
      <c r="N69" s="130"/>
      <c r="O69" s="130"/>
      <c r="P69" s="132"/>
      <c r="Q69" s="130"/>
      <c r="R69" s="130"/>
      <c r="S69" s="130"/>
      <c r="T69" s="130"/>
      <c r="U69" s="130"/>
      <c r="V69" s="130"/>
      <c r="W69" s="130"/>
      <c r="X69" s="130"/>
      <c r="Y69" s="130"/>
      <c r="Z69" s="130"/>
    </row>
    <row r="70" spans="1:26" ht="12.75" customHeight="1" x14ac:dyDescent="0.2">
      <c r="A70" s="198"/>
      <c r="B70" s="198" t="s">
        <v>189</v>
      </c>
      <c r="C70" s="198"/>
      <c r="D70" s="198"/>
      <c r="E70" s="199">
        <f>E60-SUM(E49:K49)</f>
        <v>0</v>
      </c>
      <c r="F70" s="200"/>
      <c r="G70" s="201"/>
      <c r="H70" s="201"/>
      <c r="I70" s="201"/>
      <c r="J70" s="198"/>
      <c r="K70" s="198"/>
      <c r="L70" s="198"/>
      <c r="M70" s="198"/>
      <c r="N70" s="198"/>
      <c r="O70" s="198"/>
      <c r="P70" s="198"/>
      <c r="Q70" s="198"/>
      <c r="R70" s="198"/>
      <c r="S70" s="198"/>
      <c r="T70" s="198"/>
      <c r="U70" s="198"/>
      <c r="V70" s="198"/>
      <c r="W70" s="198"/>
      <c r="X70" s="198"/>
      <c r="Y70" s="198"/>
      <c r="Z70" s="198"/>
    </row>
    <row r="71" spans="1:26" ht="12.75" customHeight="1" x14ac:dyDescent="0.2">
      <c r="A71" s="130"/>
      <c r="B71" s="130"/>
      <c r="C71" s="130"/>
      <c r="D71" s="130"/>
      <c r="E71" s="130"/>
      <c r="F71" s="188"/>
      <c r="G71" s="173"/>
      <c r="H71" s="173"/>
      <c r="I71" s="173"/>
      <c r="J71" s="130"/>
      <c r="K71" s="130"/>
      <c r="L71" s="130"/>
      <c r="M71" s="130"/>
      <c r="N71" s="130"/>
      <c r="O71" s="130"/>
      <c r="P71" s="130"/>
      <c r="Q71" s="130"/>
      <c r="R71" s="130"/>
      <c r="S71" s="130"/>
      <c r="T71" s="130"/>
      <c r="U71" s="130"/>
      <c r="V71" s="130"/>
      <c r="W71" s="130"/>
      <c r="X71" s="130"/>
      <c r="Y71" s="130"/>
      <c r="Z71" s="130"/>
    </row>
    <row r="72" spans="1:26" ht="12.75" customHeight="1" x14ac:dyDescent="0.2">
      <c r="A72" s="130"/>
      <c r="B72" s="130"/>
      <c r="C72" s="130"/>
      <c r="D72" s="130"/>
      <c r="E72" s="130"/>
      <c r="F72" s="188"/>
      <c r="G72" s="173"/>
      <c r="H72" s="173"/>
      <c r="I72" s="173"/>
      <c r="J72" s="130"/>
      <c r="K72" s="130"/>
      <c r="L72" s="130"/>
      <c r="M72" s="130"/>
      <c r="N72" s="130"/>
      <c r="O72" s="130"/>
      <c r="P72" s="130"/>
      <c r="Q72" s="130"/>
      <c r="R72" s="130"/>
      <c r="S72" s="130"/>
      <c r="T72" s="130"/>
      <c r="U72" s="130"/>
      <c r="V72" s="130"/>
      <c r="W72" s="130"/>
      <c r="X72" s="130"/>
      <c r="Y72" s="130"/>
      <c r="Z72" s="130"/>
    </row>
    <row r="73" spans="1:26" ht="12.75" customHeight="1" x14ac:dyDescent="0.2">
      <c r="A73" s="130"/>
      <c r="B73" s="130"/>
      <c r="C73" s="130"/>
      <c r="D73" s="130"/>
      <c r="E73" s="130"/>
      <c r="F73" s="188"/>
      <c r="G73" s="173"/>
      <c r="H73" s="173"/>
      <c r="I73" s="173"/>
      <c r="J73" s="130"/>
      <c r="K73" s="130"/>
      <c r="L73" s="130"/>
      <c r="M73" s="130"/>
      <c r="N73" s="130"/>
      <c r="O73" s="130"/>
      <c r="P73" s="130"/>
      <c r="Q73" s="130"/>
      <c r="R73" s="130"/>
      <c r="S73" s="130"/>
      <c r="T73" s="130"/>
      <c r="U73" s="130"/>
      <c r="V73" s="130"/>
      <c r="W73" s="130"/>
      <c r="X73" s="130"/>
      <c r="Y73" s="130"/>
      <c r="Z73" s="130"/>
    </row>
    <row r="74" spans="1:26" ht="12.75" customHeight="1" x14ac:dyDescent="0.2">
      <c r="A74" s="130"/>
      <c r="B74" s="130"/>
      <c r="C74" s="130"/>
      <c r="D74" s="130"/>
      <c r="E74" s="130"/>
      <c r="F74" s="188"/>
      <c r="G74" s="173"/>
      <c r="H74" s="173"/>
      <c r="I74" s="173"/>
      <c r="J74" s="130"/>
      <c r="K74" s="130"/>
      <c r="L74" s="130"/>
      <c r="M74" s="130"/>
      <c r="N74" s="130"/>
      <c r="O74" s="130"/>
      <c r="P74" s="130"/>
      <c r="Q74" s="130"/>
      <c r="R74" s="130"/>
      <c r="S74" s="130"/>
      <c r="T74" s="130"/>
      <c r="U74" s="130"/>
      <c r="V74" s="130"/>
      <c r="W74" s="130"/>
      <c r="X74" s="130"/>
      <c r="Y74" s="130"/>
      <c r="Z74" s="130"/>
    </row>
    <row r="75" spans="1:26" ht="12.75" customHeight="1" x14ac:dyDescent="0.2">
      <c r="A75" s="130"/>
      <c r="B75" s="130"/>
      <c r="C75" s="130"/>
      <c r="D75" s="130"/>
      <c r="E75" s="130"/>
      <c r="F75" s="188"/>
      <c r="G75" s="173"/>
      <c r="H75" s="173"/>
      <c r="I75" s="173"/>
      <c r="J75" s="130"/>
      <c r="K75" s="130"/>
      <c r="L75" s="130"/>
      <c r="M75" s="130"/>
      <c r="N75" s="130"/>
      <c r="O75" s="130"/>
      <c r="P75" s="130"/>
      <c r="Q75" s="130"/>
      <c r="R75" s="130"/>
      <c r="S75" s="130"/>
      <c r="T75" s="130"/>
      <c r="U75" s="130"/>
      <c r="V75" s="130"/>
      <c r="W75" s="130"/>
      <c r="X75" s="130"/>
      <c r="Y75" s="130"/>
      <c r="Z75" s="130"/>
    </row>
    <row r="76" spans="1:26" ht="12.75" customHeight="1" x14ac:dyDescent="0.2">
      <c r="A76" s="130"/>
      <c r="B76" s="130"/>
      <c r="C76" s="130"/>
      <c r="D76" s="130"/>
      <c r="E76" s="130"/>
      <c r="F76" s="188"/>
      <c r="G76" s="173"/>
      <c r="H76" s="173"/>
      <c r="I76" s="173"/>
      <c r="J76" s="130"/>
      <c r="K76" s="130"/>
      <c r="L76" s="130"/>
      <c r="M76" s="130"/>
      <c r="N76" s="130"/>
      <c r="O76" s="130"/>
      <c r="P76" s="130"/>
      <c r="Q76" s="130"/>
      <c r="R76" s="130"/>
      <c r="S76" s="130"/>
      <c r="T76" s="130"/>
      <c r="U76" s="130"/>
      <c r="V76" s="130"/>
      <c r="W76" s="130"/>
      <c r="X76" s="130"/>
      <c r="Y76" s="130"/>
      <c r="Z76" s="130"/>
    </row>
    <row r="77" spans="1:26" ht="12.75" customHeight="1" x14ac:dyDescent="0.2">
      <c r="A77" s="130"/>
      <c r="B77" s="130"/>
      <c r="C77" s="130"/>
      <c r="D77" s="130"/>
      <c r="E77" s="130"/>
      <c r="F77" s="188"/>
      <c r="G77" s="173"/>
      <c r="H77" s="173"/>
      <c r="I77" s="173"/>
      <c r="J77" s="130"/>
      <c r="K77" s="130"/>
      <c r="L77" s="130"/>
      <c r="M77" s="130"/>
      <c r="N77" s="130"/>
      <c r="O77" s="130"/>
      <c r="P77" s="130"/>
      <c r="Q77" s="130"/>
      <c r="R77" s="130"/>
      <c r="S77" s="130"/>
      <c r="T77" s="130"/>
      <c r="U77" s="130"/>
      <c r="V77" s="130"/>
      <c r="W77" s="130"/>
      <c r="X77" s="130"/>
      <c r="Y77" s="130"/>
      <c r="Z77" s="130"/>
    </row>
    <row r="78" spans="1:26" ht="12.75" customHeight="1" x14ac:dyDescent="0.2">
      <c r="A78" s="130"/>
      <c r="B78" s="130"/>
      <c r="C78" s="130"/>
      <c r="D78" s="130"/>
      <c r="E78" s="130"/>
      <c r="F78" s="188"/>
      <c r="G78" s="173"/>
      <c r="H78" s="173"/>
      <c r="I78" s="173"/>
      <c r="J78" s="130"/>
      <c r="K78" s="130"/>
      <c r="L78" s="130"/>
      <c r="M78" s="130"/>
      <c r="N78" s="130"/>
      <c r="O78" s="130"/>
      <c r="P78" s="130"/>
      <c r="Q78" s="130"/>
      <c r="R78" s="130"/>
      <c r="S78" s="130"/>
      <c r="T78" s="130"/>
      <c r="U78" s="130"/>
      <c r="V78" s="130"/>
      <c r="W78" s="130"/>
      <c r="X78" s="130"/>
      <c r="Y78" s="130"/>
      <c r="Z78" s="130"/>
    </row>
    <row r="79" spans="1:26" ht="12.75" customHeight="1" x14ac:dyDescent="0.2">
      <c r="A79" s="130"/>
      <c r="B79" s="130"/>
      <c r="C79" s="130"/>
      <c r="D79" s="130"/>
      <c r="E79" s="130"/>
      <c r="F79" s="188"/>
      <c r="G79" s="173"/>
      <c r="H79" s="173"/>
      <c r="I79" s="173"/>
      <c r="J79" s="130"/>
      <c r="K79" s="130"/>
      <c r="L79" s="130"/>
      <c r="M79" s="130"/>
      <c r="N79" s="130"/>
      <c r="O79" s="130"/>
      <c r="P79" s="130"/>
      <c r="Q79" s="130"/>
      <c r="R79" s="130"/>
      <c r="S79" s="130"/>
      <c r="T79" s="130"/>
      <c r="U79" s="130"/>
      <c r="V79" s="130"/>
      <c r="W79" s="130"/>
      <c r="X79" s="130"/>
      <c r="Y79" s="130"/>
      <c r="Z79" s="130"/>
    </row>
    <row r="80" spans="1:26" ht="12.75" customHeight="1" x14ac:dyDescent="0.2">
      <c r="A80" s="130"/>
      <c r="B80" s="130"/>
      <c r="C80" s="130"/>
      <c r="D80" s="130"/>
      <c r="E80" s="130"/>
      <c r="F80" s="188"/>
      <c r="G80" s="173"/>
      <c r="H80" s="173"/>
      <c r="I80" s="173"/>
      <c r="J80" s="130"/>
      <c r="K80" s="130"/>
      <c r="L80" s="130"/>
      <c r="M80" s="130"/>
      <c r="N80" s="130"/>
      <c r="O80" s="130"/>
      <c r="P80" s="130"/>
      <c r="Q80" s="130"/>
      <c r="R80" s="130"/>
      <c r="S80" s="130"/>
      <c r="T80" s="130"/>
      <c r="U80" s="130"/>
      <c r="V80" s="130"/>
      <c r="W80" s="130"/>
      <c r="X80" s="130"/>
      <c r="Y80" s="130"/>
      <c r="Z80" s="130"/>
    </row>
    <row r="81" spans="1:26" ht="12.75" customHeight="1" x14ac:dyDescent="0.2">
      <c r="A81" s="130"/>
      <c r="B81" s="130"/>
      <c r="C81" s="130"/>
      <c r="D81" s="130"/>
      <c r="E81" s="130"/>
      <c r="F81" s="188"/>
      <c r="G81" s="173"/>
      <c r="H81" s="173"/>
      <c r="I81" s="173"/>
      <c r="J81" s="130"/>
      <c r="K81" s="130"/>
      <c r="L81" s="130"/>
      <c r="M81" s="130"/>
      <c r="N81" s="130"/>
      <c r="O81" s="130"/>
      <c r="P81" s="130"/>
      <c r="Q81" s="130"/>
      <c r="R81" s="130"/>
      <c r="S81" s="130"/>
      <c r="T81" s="130"/>
      <c r="U81" s="130"/>
      <c r="V81" s="130"/>
      <c r="W81" s="130"/>
      <c r="X81" s="130"/>
      <c r="Y81" s="130"/>
      <c r="Z81" s="130"/>
    </row>
    <row r="82" spans="1:26" ht="12.75" customHeight="1" x14ac:dyDescent="0.2">
      <c r="A82" s="130"/>
      <c r="B82" s="130"/>
      <c r="C82" s="130"/>
      <c r="D82" s="130"/>
      <c r="E82" s="130"/>
      <c r="F82" s="188"/>
      <c r="G82" s="173"/>
      <c r="H82" s="173"/>
      <c r="I82" s="173"/>
      <c r="J82" s="130"/>
      <c r="K82" s="130"/>
      <c r="L82" s="130"/>
      <c r="M82" s="130"/>
      <c r="N82" s="130"/>
      <c r="O82" s="130"/>
      <c r="P82" s="130"/>
      <c r="Q82" s="130"/>
      <c r="R82" s="130"/>
      <c r="S82" s="130"/>
      <c r="T82" s="130"/>
      <c r="U82" s="130"/>
      <c r="V82" s="130"/>
      <c r="W82" s="130"/>
      <c r="X82" s="130"/>
      <c r="Y82" s="130"/>
      <c r="Z82" s="130"/>
    </row>
    <row r="83" spans="1:26" ht="12.75" customHeight="1" x14ac:dyDescent="0.2">
      <c r="A83" s="130"/>
      <c r="B83" s="130"/>
      <c r="C83" s="130"/>
      <c r="D83" s="130"/>
      <c r="E83" s="130"/>
      <c r="F83" s="188"/>
      <c r="G83" s="173"/>
      <c r="H83" s="173"/>
      <c r="I83" s="173"/>
      <c r="J83" s="130"/>
      <c r="K83" s="130"/>
      <c r="L83" s="130"/>
      <c r="M83" s="130"/>
      <c r="N83" s="130"/>
      <c r="O83" s="130"/>
      <c r="P83" s="130"/>
      <c r="Q83" s="130"/>
      <c r="R83" s="130"/>
      <c r="S83" s="130"/>
      <c r="T83" s="130"/>
      <c r="U83" s="130"/>
      <c r="V83" s="130"/>
      <c r="W83" s="130"/>
      <c r="X83" s="130"/>
      <c r="Y83" s="130"/>
      <c r="Z83" s="130"/>
    </row>
    <row r="84" spans="1:26" ht="12.75" customHeight="1" x14ac:dyDescent="0.2">
      <c r="A84" s="130"/>
      <c r="B84" s="130"/>
      <c r="C84" s="130"/>
      <c r="D84" s="130"/>
      <c r="E84" s="130"/>
      <c r="F84" s="188"/>
      <c r="G84" s="173"/>
      <c r="H84" s="173"/>
      <c r="I84" s="173"/>
      <c r="J84" s="130"/>
      <c r="K84" s="130"/>
      <c r="L84" s="130"/>
      <c r="M84" s="130"/>
      <c r="N84" s="130"/>
      <c r="O84" s="130"/>
      <c r="P84" s="130"/>
      <c r="Q84" s="130"/>
      <c r="R84" s="130"/>
      <c r="S84" s="130"/>
      <c r="T84" s="130"/>
      <c r="U84" s="130"/>
      <c r="V84" s="130"/>
      <c r="W84" s="130"/>
      <c r="X84" s="130"/>
      <c r="Y84" s="130"/>
      <c r="Z84" s="130"/>
    </row>
    <row r="85" spans="1:26" ht="12.75" customHeight="1" x14ac:dyDescent="0.2">
      <c r="A85" s="130"/>
      <c r="B85" s="130"/>
      <c r="C85" s="130"/>
      <c r="D85" s="130"/>
      <c r="E85" s="130"/>
      <c r="F85" s="188"/>
      <c r="G85" s="173"/>
      <c r="H85" s="173"/>
      <c r="I85" s="173"/>
      <c r="J85" s="130"/>
      <c r="K85" s="130"/>
      <c r="L85" s="130"/>
      <c r="M85" s="130"/>
      <c r="N85" s="130"/>
      <c r="O85" s="130"/>
      <c r="P85" s="130"/>
      <c r="Q85" s="130"/>
      <c r="R85" s="130"/>
      <c r="S85" s="130"/>
      <c r="T85" s="130"/>
      <c r="U85" s="130"/>
      <c r="V85" s="130"/>
      <c r="W85" s="130"/>
      <c r="X85" s="130"/>
      <c r="Y85" s="130"/>
      <c r="Z85" s="130"/>
    </row>
    <row r="86" spans="1:26" ht="12.75" customHeight="1" x14ac:dyDescent="0.2">
      <c r="A86" s="130"/>
      <c r="B86" s="130"/>
      <c r="C86" s="130"/>
      <c r="D86" s="130"/>
      <c r="E86" s="130"/>
      <c r="F86" s="188"/>
      <c r="G86" s="173"/>
      <c r="H86" s="173"/>
      <c r="I86" s="173"/>
      <c r="J86" s="130"/>
      <c r="K86" s="130"/>
      <c r="L86" s="130"/>
      <c r="M86" s="130"/>
      <c r="N86" s="130"/>
      <c r="O86" s="130"/>
      <c r="P86" s="130"/>
      <c r="Q86" s="130"/>
      <c r="R86" s="130"/>
      <c r="S86" s="130"/>
      <c r="T86" s="130"/>
      <c r="U86" s="130"/>
      <c r="V86" s="130"/>
      <c r="W86" s="130"/>
      <c r="X86" s="130"/>
      <c r="Y86" s="130"/>
      <c r="Z86" s="130"/>
    </row>
    <row r="87" spans="1:26" ht="12.75" customHeight="1" x14ac:dyDescent="0.2">
      <c r="A87" s="130"/>
      <c r="B87" s="130"/>
      <c r="C87" s="130"/>
      <c r="D87" s="130"/>
      <c r="E87" s="130"/>
      <c r="F87" s="188"/>
      <c r="G87" s="173"/>
      <c r="H87" s="173"/>
      <c r="I87" s="173"/>
      <c r="J87" s="130"/>
      <c r="K87" s="130"/>
      <c r="L87" s="130"/>
      <c r="M87" s="130"/>
      <c r="N87" s="130"/>
      <c r="O87" s="130"/>
      <c r="P87" s="130"/>
      <c r="Q87" s="130"/>
      <c r="R87" s="130"/>
      <c r="S87" s="130"/>
      <c r="T87" s="130"/>
      <c r="U87" s="130"/>
      <c r="V87" s="130"/>
      <c r="W87" s="130"/>
      <c r="X87" s="130"/>
      <c r="Y87" s="130"/>
      <c r="Z87" s="130"/>
    </row>
    <row r="88" spans="1:26" ht="12.75" customHeight="1" x14ac:dyDescent="0.2">
      <c r="A88" s="130"/>
      <c r="B88" s="130"/>
      <c r="C88" s="130"/>
      <c r="D88" s="130"/>
      <c r="E88" s="130"/>
      <c r="F88" s="188"/>
      <c r="G88" s="173"/>
      <c r="H88" s="173"/>
      <c r="I88" s="173"/>
      <c r="J88" s="130"/>
      <c r="K88" s="130"/>
      <c r="L88" s="130"/>
      <c r="M88" s="130"/>
      <c r="N88" s="130"/>
      <c r="O88" s="130"/>
      <c r="P88" s="130"/>
      <c r="Q88" s="130"/>
      <c r="R88" s="130"/>
      <c r="S88" s="130"/>
      <c r="T88" s="130"/>
      <c r="U88" s="130"/>
      <c r="V88" s="130"/>
      <c r="W88" s="130"/>
      <c r="X88" s="130"/>
      <c r="Y88" s="130"/>
      <c r="Z88" s="130"/>
    </row>
    <row r="89" spans="1:26" ht="12.75" customHeight="1" x14ac:dyDescent="0.2">
      <c r="A89" s="130"/>
      <c r="B89" s="130"/>
      <c r="C89" s="130"/>
      <c r="D89" s="130"/>
      <c r="E89" s="130"/>
      <c r="F89" s="188"/>
      <c r="G89" s="173"/>
      <c r="H89" s="173"/>
      <c r="I89" s="173"/>
      <c r="J89" s="130"/>
      <c r="K89" s="130"/>
      <c r="L89" s="130"/>
      <c r="M89" s="130"/>
      <c r="N89" s="130"/>
      <c r="O89" s="130"/>
      <c r="P89" s="130"/>
      <c r="Q89" s="130"/>
      <c r="R89" s="130"/>
      <c r="S89" s="130"/>
      <c r="T89" s="130"/>
      <c r="U89" s="130"/>
      <c r="V89" s="130"/>
      <c r="W89" s="130"/>
      <c r="X89" s="130"/>
      <c r="Y89" s="130"/>
      <c r="Z89" s="130"/>
    </row>
    <row r="90" spans="1:26" ht="12.75" customHeight="1" x14ac:dyDescent="0.2">
      <c r="A90" s="130"/>
      <c r="B90" s="130"/>
      <c r="C90" s="130"/>
      <c r="D90" s="130"/>
      <c r="E90" s="130"/>
      <c r="F90" s="188"/>
      <c r="G90" s="173"/>
      <c r="H90" s="173"/>
      <c r="I90" s="173"/>
      <c r="J90" s="130"/>
      <c r="K90" s="130"/>
      <c r="L90" s="130"/>
      <c r="M90" s="130"/>
      <c r="N90" s="130"/>
      <c r="O90" s="130"/>
      <c r="P90" s="130"/>
      <c r="Q90" s="130"/>
      <c r="R90" s="130"/>
      <c r="S90" s="130"/>
      <c r="T90" s="130"/>
      <c r="U90" s="130"/>
      <c r="V90" s="130"/>
      <c r="W90" s="130"/>
      <c r="X90" s="130"/>
      <c r="Y90" s="130"/>
      <c r="Z90" s="130"/>
    </row>
    <row r="91" spans="1:26" ht="12.75" customHeight="1" x14ac:dyDescent="0.2">
      <c r="A91" s="130"/>
      <c r="B91" s="130"/>
      <c r="C91" s="130"/>
      <c r="D91" s="130"/>
      <c r="E91" s="130"/>
      <c r="F91" s="188"/>
      <c r="G91" s="173"/>
      <c r="H91" s="173"/>
      <c r="I91" s="173"/>
      <c r="J91" s="130"/>
      <c r="K91" s="130"/>
      <c r="L91" s="130"/>
      <c r="M91" s="130"/>
      <c r="N91" s="130"/>
      <c r="O91" s="130"/>
      <c r="P91" s="130"/>
      <c r="Q91" s="130"/>
      <c r="R91" s="130"/>
      <c r="S91" s="130"/>
      <c r="T91" s="130"/>
      <c r="U91" s="130"/>
      <c r="V91" s="130"/>
      <c r="W91" s="130"/>
      <c r="X91" s="130"/>
      <c r="Y91" s="130"/>
      <c r="Z91" s="130"/>
    </row>
    <row r="92" spans="1:26" ht="12.75" customHeight="1" x14ac:dyDescent="0.2">
      <c r="A92" s="130"/>
      <c r="B92" s="130"/>
      <c r="C92" s="130"/>
      <c r="D92" s="130"/>
      <c r="E92" s="130"/>
      <c r="F92" s="188"/>
      <c r="G92" s="173"/>
      <c r="H92" s="173"/>
      <c r="I92" s="173"/>
      <c r="J92" s="130"/>
      <c r="K92" s="130"/>
      <c r="L92" s="130"/>
      <c r="M92" s="130"/>
      <c r="N92" s="130"/>
      <c r="O92" s="130"/>
      <c r="P92" s="130"/>
      <c r="Q92" s="130"/>
      <c r="R92" s="130"/>
      <c r="S92" s="130"/>
      <c r="T92" s="130"/>
      <c r="U92" s="130"/>
      <c r="V92" s="130"/>
      <c r="W92" s="130"/>
      <c r="X92" s="130"/>
      <c r="Y92" s="130"/>
      <c r="Z92" s="130"/>
    </row>
    <row r="93" spans="1:26" ht="12.75" customHeight="1" x14ac:dyDescent="0.2">
      <c r="A93" s="130"/>
      <c r="B93" s="130"/>
      <c r="C93" s="130"/>
      <c r="D93" s="130"/>
      <c r="E93" s="130"/>
      <c r="F93" s="188"/>
      <c r="G93" s="173"/>
      <c r="H93" s="173"/>
      <c r="I93" s="173"/>
      <c r="J93" s="130"/>
      <c r="K93" s="130"/>
      <c r="L93" s="130"/>
      <c r="M93" s="130"/>
      <c r="N93" s="130"/>
      <c r="O93" s="130"/>
      <c r="P93" s="130"/>
      <c r="Q93" s="130"/>
      <c r="R93" s="130"/>
      <c r="S93" s="130"/>
      <c r="T93" s="130"/>
      <c r="U93" s="130"/>
      <c r="V93" s="130"/>
      <c r="W93" s="130"/>
      <c r="X93" s="130"/>
      <c r="Y93" s="130"/>
      <c r="Z93" s="130"/>
    </row>
    <row r="94" spans="1:26" ht="12.75" customHeight="1" x14ac:dyDescent="0.2">
      <c r="A94" s="130"/>
      <c r="B94" s="130"/>
      <c r="C94" s="130"/>
      <c r="D94" s="130"/>
      <c r="E94" s="130"/>
      <c r="F94" s="188"/>
      <c r="G94" s="173"/>
      <c r="H94" s="173"/>
      <c r="I94" s="173"/>
      <c r="J94" s="130"/>
      <c r="K94" s="130"/>
      <c r="L94" s="130"/>
      <c r="M94" s="130"/>
      <c r="N94" s="130"/>
      <c r="O94" s="130"/>
      <c r="P94" s="130"/>
      <c r="Q94" s="130"/>
      <c r="R94" s="130"/>
      <c r="S94" s="130"/>
      <c r="T94" s="130"/>
      <c r="U94" s="130"/>
      <c r="V94" s="130"/>
      <c r="W94" s="130"/>
      <c r="X94" s="130"/>
      <c r="Y94" s="130"/>
      <c r="Z94" s="130"/>
    </row>
    <row r="95" spans="1:26" ht="12.75" customHeight="1" x14ac:dyDescent="0.2">
      <c r="A95" s="130"/>
      <c r="B95" s="130"/>
      <c r="C95" s="130"/>
      <c r="D95" s="130"/>
      <c r="E95" s="130"/>
      <c r="F95" s="188"/>
      <c r="G95" s="173"/>
      <c r="H95" s="173"/>
      <c r="I95" s="173"/>
      <c r="J95" s="130"/>
      <c r="K95" s="130"/>
      <c r="L95" s="130"/>
      <c r="M95" s="130"/>
      <c r="N95" s="130"/>
      <c r="O95" s="130"/>
      <c r="P95" s="130"/>
      <c r="Q95" s="130"/>
      <c r="R95" s="130"/>
      <c r="S95" s="130"/>
      <c r="T95" s="130"/>
      <c r="U95" s="130"/>
      <c r="V95" s="130"/>
      <c r="W95" s="130"/>
      <c r="X95" s="130"/>
      <c r="Y95" s="130"/>
      <c r="Z95" s="130"/>
    </row>
    <row r="96" spans="1:26" ht="12.75" customHeight="1" x14ac:dyDescent="0.2">
      <c r="A96" s="130"/>
      <c r="B96" s="130"/>
      <c r="C96" s="130"/>
      <c r="D96" s="130"/>
      <c r="E96" s="130"/>
      <c r="F96" s="188"/>
      <c r="G96" s="173"/>
      <c r="H96" s="173"/>
      <c r="I96" s="173"/>
      <c r="J96" s="130"/>
      <c r="K96" s="130"/>
      <c r="L96" s="130"/>
      <c r="M96" s="130"/>
      <c r="N96" s="130"/>
      <c r="O96" s="130"/>
      <c r="P96" s="130"/>
      <c r="Q96" s="130"/>
      <c r="R96" s="130"/>
      <c r="S96" s="130"/>
      <c r="T96" s="130"/>
      <c r="U96" s="130"/>
      <c r="V96" s="130"/>
      <c r="W96" s="130"/>
      <c r="X96" s="130"/>
      <c r="Y96" s="130"/>
      <c r="Z96" s="130"/>
    </row>
    <row r="97" spans="1:26" ht="12.75" customHeight="1" x14ac:dyDescent="0.2">
      <c r="A97" s="130"/>
      <c r="B97" s="130"/>
      <c r="C97" s="130"/>
      <c r="D97" s="130"/>
      <c r="E97" s="130"/>
      <c r="F97" s="188"/>
      <c r="G97" s="173"/>
      <c r="H97" s="173"/>
      <c r="I97" s="173"/>
      <c r="J97" s="130"/>
      <c r="K97" s="130"/>
      <c r="L97" s="130"/>
      <c r="M97" s="130"/>
      <c r="N97" s="130"/>
      <c r="O97" s="130"/>
      <c r="P97" s="130"/>
      <c r="Q97" s="130"/>
      <c r="R97" s="130"/>
      <c r="S97" s="130"/>
      <c r="T97" s="130"/>
      <c r="U97" s="130"/>
      <c r="V97" s="130"/>
      <c r="W97" s="130"/>
      <c r="X97" s="130"/>
      <c r="Y97" s="130"/>
      <c r="Z97" s="130"/>
    </row>
    <row r="98" spans="1:26" ht="12.75" customHeight="1" x14ac:dyDescent="0.2">
      <c r="A98" s="130"/>
      <c r="B98" s="130"/>
      <c r="C98" s="130"/>
      <c r="D98" s="130"/>
      <c r="E98" s="130"/>
      <c r="F98" s="188"/>
      <c r="G98" s="173"/>
      <c r="H98" s="173"/>
      <c r="I98" s="173"/>
      <c r="J98" s="130"/>
      <c r="K98" s="130"/>
      <c r="L98" s="130"/>
      <c r="M98" s="130"/>
      <c r="N98" s="130"/>
      <c r="O98" s="130"/>
      <c r="P98" s="130"/>
      <c r="Q98" s="130"/>
      <c r="R98" s="130"/>
      <c r="S98" s="130"/>
      <c r="T98" s="130"/>
      <c r="U98" s="130"/>
      <c r="V98" s="130"/>
      <c r="W98" s="130"/>
      <c r="X98" s="130"/>
      <c r="Y98" s="130"/>
      <c r="Z98" s="130"/>
    </row>
    <row r="99" spans="1:26" ht="12.75" customHeight="1" x14ac:dyDescent="0.2">
      <c r="A99" s="130"/>
      <c r="B99" s="130"/>
      <c r="C99" s="130"/>
      <c r="D99" s="130"/>
      <c r="E99" s="130"/>
      <c r="F99" s="188"/>
      <c r="G99" s="173"/>
      <c r="H99" s="173"/>
      <c r="I99" s="173"/>
      <c r="J99" s="130"/>
      <c r="K99" s="130"/>
      <c r="L99" s="130"/>
      <c r="M99" s="130"/>
      <c r="N99" s="130"/>
      <c r="O99" s="130"/>
      <c r="P99" s="130"/>
      <c r="Q99" s="130"/>
      <c r="R99" s="130"/>
      <c r="S99" s="130"/>
      <c r="T99" s="130"/>
      <c r="U99" s="130"/>
      <c r="V99" s="130"/>
      <c r="W99" s="130"/>
      <c r="X99" s="130"/>
      <c r="Y99" s="130"/>
      <c r="Z99" s="130"/>
    </row>
    <row r="100" spans="1:26" ht="12.75" customHeight="1" x14ac:dyDescent="0.2">
      <c r="A100" s="130"/>
      <c r="B100" s="130"/>
      <c r="C100" s="130"/>
      <c r="D100" s="130"/>
      <c r="E100" s="130"/>
      <c r="F100" s="188"/>
      <c r="G100" s="173"/>
      <c r="H100" s="173"/>
      <c r="I100" s="173"/>
      <c r="J100" s="130"/>
      <c r="K100" s="130"/>
      <c r="L100" s="130"/>
      <c r="M100" s="130"/>
      <c r="N100" s="130"/>
      <c r="O100" s="130"/>
      <c r="P100" s="130"/>
      <c r="Q100" s="130"/>
      <c r="R100" s="130"/>
      <c r="S100" s="130"/>
      <c r="T100" s="130"/>
      <c r="U100" s="130"/>
      <c r="V100" s="130"/>
      <c r="W100" s="130"/>
      <c r="X100" s="130"/>
      <c r="Y100" s="130"/>
      <c r="Z100" s="130"/>
    </row>
    <row r="101" spans="1:26" ht="12.75" customHeight="1" x14ac:dyDescent="0.2">
      <c r="A101" s="130"/>
      <c r="B101" s="130"/>
      <c r="C101" s="130"/>
      <c r="D101" s="130"/>
      <c r="E101" s="130"/>
      <c r="F101" s="188"/>
      <c r="G101" s="173"/>
      <c r="H101" s="173"/>
      <c r="I101" s="173"/>
      <c r="J101" s="130"/>
      <c r="K101" s="130"/>
      <c r="L101" s="130"/>
      <c r="M101" s="130"/>
      <c r="N101" s="130"/>
      <c r="O101" s="130"/>
      <c r="P101" s="130"/>
      <c r="Q101" s="130"/>
      <c r="R101" s="130"/>
      <c r="S101" s="130"/>
      <c r="T101" s="130"/>
      <c r="U101" s="130"/>
      <c r="V101" s="130"/>
      <c r="W101" s="130"/>
      <c r="X101" s="130"/>
      <c r="Y101" s="130"/>
      <c r="Z101" s="130"/>
    </row>
    <row r="102" spans="1:26" ht="12.75" customHeight="1" x14ac:dyDescent="0.2">
      <c r="A102" s="130"/>
      <c r="B102" s="130"/>
      <c r="C102" s="130"/>
      <c r="D102" s="130"/>
      <c r="E102" s="130"/>
      <c r="F102" s="188"/>
      <c r="G102" s="173"/>
      <c r="H102" s="173"/>
      <c r="I102" s="173"/>
      <c r="J102" s="130"/>
      <c r="K102" s="130"/>
      <c r="L102" s="130"/>
      <c r="M102" s="130"/>
      <c r="N102" s="130"/>
      <c r="O102" s="130"/>
      <c r="P102" s="130"/>
      <c r="Q102" s="130"/>
      <c r="R102" s="130"/>
      <c r="S102" s="130"/>
      <c r="T102" s="130"/>
      <c r="U102" s="130"/>
      <c r="V102" s="130"/>
      <c r="W102" s="130"/>
      <c r="X102" s="130"/>
      <c r="Y102" s="130"/>
      <c r="Z102" s="130"/>
    </row>
    <row r="103" spans="1:26" ht="12.75" customHeight="1" x14ac:dyDescent="0.2">
      <c r="A103" s="130"/>
      <c r="B103" s="130"/>
      <c r="C103" s="130"/>
      <c r="D103" s="130"/>
      <c r="E103" s="130"/>
      <c r="F103" s="188"/>
      <c r="G103" s="173"/>
      <c r="H103" s="173"/>
      <c r="I103" s="173"/>
      <c r="J103" s="130"/>
      <c r="K103" s="130"/>
      <c r="L103" s="130"/>
      <c r="M103" s="130"/>
      <c r="N103" s="130"/>
      <c r="O103" s="130"/>
      <c r="P103" s="130"/>
      <c r="Q103" s="130"/>
      <c r="R103" s="130"/>
      <c r="S103" s="130"/>
      <c r="T103" s="130"/>
      <c r="U103" s="130"/>
      <c r="V103" s="130"/>
      <c r="W103" s="130"/>
      <c r="X103" s="130"/>
      <c r="Y103" s="130"/>
      <c r="Z103" s="130"/>
    </row>
    <row r="104" spans="1:26" ht="12.75" customHeight="1" x14ac:dyDescent="0.2">
      <c r="A104" s="130"/>
      <c r="B104" s="130"/>
      <c r="C104" s="130"/>
      <c r="D104" s="130"/>
      <c r="E104" s="130"/>
      <c r="F104" s="188"/>
      <c r="G104" s="173"/>
      <c r="H104" s="173"/>
      <c r="I104" s="173"/>
      <c r="J104" s="130"/>
      <c r="K104" s="130"/>
      <c r="L104" s="130"/>
      <c r="M104" s="130"/>
      <c r="N104" s="130"/>
      <c r="O104" s="130"/>
      <c r="P104" s="130"/>
      <c r="Q104" s="130"/>
      <c r="R104" s="130"/>
      <c r="S104" s="130"/>
      <c r="T104" s="130"/>
      <c r="U104" s="130"/>
      <c r="V104" s="130"/>
      <c r="W104" s="130"/>
      <c r="X104" s="130"/>
      <c r="Y104" s="130"/>
      <c r="Z104" s="130"/>
    </row>
    <row r="105" spans="1:26" ht="12.75" customHeight="1" x14ac:dyDescent="0.2">
      <c r="A105" s="130"/>
      <c r="B105" s="130"/>
      <c r="C105" s="130"/>
      <c r="D105" s="130"/>
      <c r="E105" s="130"/>
      <c r="F105" s="188"/>
      <c r="G105" s="173"/>
      <c r="H105" s="173"/>
      <c r="I105" s="173"/>
      <c r="J105" s="130"/>
      <c r="K105" s="130"/>
      <c r="L105" s="130"/>
      <c r="M105" s="130"/>
      <c r="N105" s="130"/>
      <c r="O105" s="130"/>
      <c r="P105" s="130"/>
      <c r="Q105" s="130"/>
      <c r="R105" s="130"/>
      <c r="S105" s="130"/>
      <c r="T105" s="130"/>
      <c r="U105" s="130"/>
      <c r="V105" s="130"/>
      <c r="W105" s="130"/>
      <c r="X105" s="130"/>
      <c r="Y105" s="130"/>
      <c r="Z105" s="130"/>
    </row>
    <row r="106" spans="1:26" ht="12.75" customHeight="1" x14ac:dyDescent="0.2">
      <c r="A106" s="130"/>
      <c r="B106" s="130"/>
      <c r="C106" s="130"/>
      <c r="D106" s="130"/>
      <c r="E106" s="130"/>
      <c r="F106" s="188"/>
      <c r="G106" s="173"/>
      <c r="H106" s="173"/>
      <c r="I106" s="173"/>
      <c r="J106" s="130"/>
      <c r="K106" s="130"/>
      <c r="L106" s="130"/>
      <c r="M106" s="130"/>
      <c r="N106" s="130"/>
      <c r="O106" s="130"/>
      <c r="P106" s="130"/>
      <c r="Q106" s="130"/>
      <c r="R106" s="130"/>
      <c r="S106" s="130"/>
      <c r="T106" s="130"/>
      <c r="U106" s="130"/>
      <c r="V106" s="130"/>
      <c r="W106" s="130"/>
      <c r="X106" s="130"/>
      <c r="Y106" s="130"/>
      <c r="Z106" s="130"/>
    </row>
    <row r="107" spans="1:26" ht="12.75" customHeight="1" x14ac:dyDescent="0.2">
      <c r="A107" s="130"/>
      <c r="B107" s="130"/>
      <c r="C107" s="130"/>
      <c r="D107" s="130"/>
      <c r="E107" s="130"/>
      <c r="F107" s="188"/>
      <c r="G107" s="173"/>
      <c r="H107" s="173"/>
      <c r="I107" s="173"/>
      <c r="J107" s="130"/>
      <c r="K107" s="130"/>
      <c r="L107" s="130"/>
      <c r="M107" s="130"/>
      <c r="N107" s="130"/>
      <c r="O107" s="130"/>
      <c r="P107" s="130"/>
      <c r="Q107" s="130"/>
      <c r="R107" s="130"/>
      <c r="S107" s="130"/>
      <c r="T107" s="130"/>
      <c r="U107" s="130"/>
      <c r="V107" s="130"/>
      <c r="W107" s="130"/>
      <c r="X107" s="130"/>
      <c r="Y107" s="130"/>
      <c r="Z107" s="130"/>
    </row>
    <row r="108" spans="1:26" ht="12.75" customHeight="1" x14ac:dyDescent="0.2">
      <c r="A108" s="130"/>
      <c r="B108" s="130"/>
      <c r="C108" s="130"/>
      <c r="D108" s="130"/>
      <c r="E108" s="130"/>
      <c r="F108" s="188"/>
      <c r="G108" s="173"/>
      <c r="H108" s="173"/>
      <c r="I108" s="173"/>
      <c r="J108" s="130"/>
      <c r="K108" s="130"/>
      <c r="L108" s="130"/>
      <c r="M108" s="130"/>
      <c r="N108" s="130"/>
      <c r="O108" s="130"/>
      <c r="P108" s="130"/>
      <c r="Q108" s="130"/>
      <c r="R108" s="130"/>
      <c r="S108" s="130"/>
      <c r="T108" s="130"/>
      <c r="U108" s="130"/>
      <c r="V108" s="130"/>
      <c r="W108" s="130"/>
      <c r="X108" s="130"/>
      <c r="Y108" s="130"/>
      <c r="Z108" s="130"/>
    </row>
    <row r="109" spans="1:26" ht="12.75" customHeight="1" x14ac:dyDescent="0.2">
      <c r="A109" s="130"/>
      <c r="B109" s="130"/>
      <c r="C109" s="130"/>
      <c r="D109" s="130"/>
      <c r="E109" s="130"/>
      <c r="F109" s="188"/>
      <c r="G109" s="173"/>
      <c r="H109" s="173"/>
      <c r="I109" s="173"/>
      <c r="J109" s="130"/>
      <c r="K109" s="130"/>
      <c r="L109" s="130"/>
      <c r="M109" s="130"/>
      <c r="N109" s="130"/>
      <c r="O109" s="130"/>
      <c r="P109" s="130"/>
      <c r="Q109" s="130"/>
      <c r="R109" s="130"/>
      <c r="S109" s="130"/>
      <c r="T109" s="130"/>
      <c r="U109" s="130"/>
      <c r="V109" s="130"/>
      <c r="W109" s="130"/>
      <c r="X109" s="130"/>
      <c r="Y109" s="130"/>
      <c r="Z109" s="130"/>
    </row>
    <row r="110" spans="1:26" ht="12.75" customHeight="1" x14ac:dyDescent="0.2">
      <c r="A110" s="130"/>
      <c r="B110" s="130"/>
      <c r="C110" s="130"/>
      <c r="D110" s="130"/>
      <c r="E110" s="130"/>
      <c r="F110" s="188"/>
      <c r="G110" s="173"/>
      <c r="H110" s="173"/>
      <c r="I110" s="173"/>
      <c r="J110" s="130"/>
      <c r="K110" s="130"/>
      <c r="L110" s="130"/>
      <c r="M110" s="130"/>
      <c r="N110" s="130"/>
      <c r="O110" s="130"/>
      <c r="P110" s="130"/>
      <c r="Q110" s="130"/>
      <c r="R110" s="130"/>
      <c r="S110" s="130"/>
      <c r="T110" s="130"/>
      <c r="U110" s="130"/>
      <c r="V110" s="130"/>
      <c r="W110" s="130"/>
      <c r="X110" s="130"/>
      <c r="Y110" s="130"/>
      <c r="Z110" s="130"/>
    </row>
    <row r="111" spans="1:26" ht="12.75" customHeight="1" x14ac:dyDescent="0.2">
      <c r="A111" s="130"/>
      <c r="B111" s="130"/>
      <c r="C111" s="130"/>
      <c r="D111" s="130"/>
      <c r="E111" s="130"/>
      <c r="F111" s="188"/>
      <c r="G111" s="173"/>
      <c r="H111" s="173"/>
      <c r="I111" s="173"/>
      <c r="J111" s="130"/>
      <c r="K111" s="130"/>
      <c r="L111" s="130"/>
      <c r="M111" s="130"/>
      <c r="N111" s="130"/>
      <c r="O111" s="130"/>
      <c r="P111" s="130"/>
      <c r="Q111" s="130"/>
      <c r="R111" s="130"/>
      <c r="S111" s="130"/>
      <c r="T111" s="130"/>
      <c r="U111" s="130"/>
      <c r="V111" s="130"/>
      <c r="W111" s="130"/>
      <c r="X111" s="130"/>
      <c r="Y111" s="130"/>
      <c r="Z111" s="130"/>
    </row>
    <row r="112" spans="1:26" ht="12.75" customHeight="1" x14ac:dyDescent="0.2">
      <c r="A112" s="130"/>
      <c r="B112" s="130"/>
      <c r="C112" s="130"/>
      <c r="D112" s="130"/>
      <c r="E112" s="130"/>
      <c r="F112" s="188"/>
      <c r="G112" s="173"/>
      <c r="H112" s="173"/>
      <c r="I112" s="173"/>
      <c r="J112" s="130"/>
      <c r="K112" s="130"/>
      <c r="L112" s="130"/>
      <c r="M112" s="130"/>
      <c r="N112" s="130"/>
      <c r="O112" s="130"/>
      <c r="P112" s="130"/>
      <c r="Q112" s="130"/>
      <c r="R112" s="130"/>
      <c r="S112" s="130"/>
      <c r="T112" s="130"/>
      <c r="U112" s="130"/>
      <c r="V112" s="130"/>
      <c r="W112" s="130"/>
      <c r="X112" s="130"/>
      <c r="Y112" s="130"/>
      <c r="Z112" s="130"/>
    </row>
    <row r="113" spans="1:26" ht="12.75" customHeight="1" x14ac:dyDescent="0.2">
      <c r="A113" s="130"/>
      <c r="B113" s="130"/>
      <c r="C113" s="130"/>
      <c r="D113" s="130"/>
      <c r="E113" s="130"/>
      <c r="F113" s="188"/>
      <c r="G113" s="173"/>
      <c r="H113" s="173"/>
      <c r="I113" s="173"/>
      <c r="J113" s="130"/>
      <c r="K113" s="130"/>
      <c r="L113" s="130"/>
      <c r="M113" s="130"/>
      <c r="N113" s="130"/>
      <c r="O113" s="130"/>
      <c r="P113" s="130"/>
      <c r="Q113" s="130"/>
      <c r="R113" s="130"/>
      <c r="S113" s="130"/>
      <c r="T113" s="130"/>
      <c r="U113" s="130"/>
      <c r="V113" s="130"/>
      <c r="W113" s="130"/>
      <c r="X113" s="130"/>
      <c r="Y113" s="130"/>
      <c r="Z113" s="130"/>
    </row>
    <row r="114" spans="1:26" ht="12.75" customHeight="1" x14ac:dyDescent="0.2">
      <c r="A114" s="130"/>
      <c r="B114" s="130"/>
      <c r="C114" s="130"/>
      <c r="D114" s="130"/>
      <c r="E114" s="130"/>
      <c r="F114" s="188"/>
      <c r="G114" s="173"/>
      <c r="H114" s="173"/>
      <c r="I114" s="173"/>
      <c r="J114" s="130"/>
      <c r="K114" s="130"/>
      <c r="L114" s="130"/>
      <c r="M114" s="130"/>
      <c r="N114" s="130"/>
      <c r="O114" s="130"/>
      <c r="P114" s="130"/>
      <c r="Q114" s="130"/>
      <c r="R114" s="130"/>
      <c r="S114" s="130"/>
      <c r="T114" s="130"/>
      <c r="U114" s="130"/>
      <c r="V114" s="130"/>
      <c r="W114" s="130"/>
      <c r="X114" s="130"/>
      <c r="Y114" s="130"/>
      <c r="Z114" s="130"/>
    </row>
    <row r="115" spans="1:26" ht="12.75" customHeight="1" x14ac:dyDescent="0.2">
      <c r="A115" s="130"/>
      <c r="B115" s="130"/>
      <c r="C115" s="130"/>
      <c r="D115" s="130"/>
      <c r="E115" s="130"/>
      <c r="F115" s="188"/>
      <c r="G115" s="173"/>
      <c r="H115" s="173"/>
      <c r="I115" s="173"/>
      <c r="J115" s="130"/>
      <c r="K115" s="130"/>
      <c r="L115" s="130"/>
      <c r="M115" s="130"/>
      <c r="N115" s="130"/>
      <c r="O115" s="130"/>
      <c r="P115" s="130"/>
      <c r="Q115" s="130"/>
      <c r="R115" s="130"/>
      <c r="S115" s="130"/>
      <c r="T115" s="130"/>
      <c r="U115" s="130"/>
      <c r="V115" s="130"/>
      <c r="W115" s="130"/>
      <c r="X115" s="130"/>
      <c r="Y115" s="130"/>
      <c r="Z115" s="130"/>
    </row>
    <row r="116" spans="1:26" ht="12.75" customHeight="1" x14ac:dyDescent="0.2">
      <c r="A116" s="130"/>
      <c r="B116" s="130"/>
      <c r="C116" s="130"/>
      <c r="D116" s="130"/>
      <c r="E116" s="130"/>
      <c r="F116" s="188"/>
      <c r="G116" s="173"/>
      <c r="H116" s="173"/>
      <c r="I116" s="173"/>
      <c r="J116" s="130"/>
      <c r="K116" s="130"/>
      <c r="L116" s="130"/>
      <c r="M116" s="130"/>
      <c r="N116" s="130"/>
      <c r="O116" s="130"/>
      <c r="P116" s="130"/>
      <c r="Q116" s="130"/>
      <c r="R116" s="130"/>
      <c r="S116" s="130"/>
      <c r="T116" s="130"/>
      <c r="U116" s="130"/>
      <c r="V116" s="130"/>
      <c r="W116" s="130"/>
      <c r="X116" s="130"/>
      <c r="Y116" s="130"/>
      <c r="Z116" s="130"/>
    </row>
    <row r="117" spans="1:26" ht="12.75" customHeight="1" x14ac:dyDescent="0.2">
      <c r="A117" s="130"/>
      <c r="B117" s="130"/>
      <c r="C117" s="130"/>
      <c r="D117" s="130"/>
      <c r="E117" s="130"/>
      <c r="F117" s="188"/>
      <c r="G117" s="173"/>
      <c r="H117" s="173"/>
      <c r="I117" s="173"/>
      <c r="J117" s="130"/>
      <c r="K117" s="130"/>
      <c r="L117" s="130"/>
      <c r="M117" s="130"/>
      <c r="N117" s="130"/>
      <c r="O117" s="130"/>
      <c r="P117" s="130"/>
      <c r="Q117" s="130"/>
      <c r="R117" s="130"/>
      <c r="S117" s="130"/>
      <c r="T117" s="130"/>
      <c r="U117" s="130"/>
      <c r="V117" s="130"/>
      <c r="W117" s="130"/>
      <c r="X117" s="130"/>
      <c r="Y117" s="130"/>
      <c r="Z117" s="130"/>
    </row>
    <row r="118" spans="1:26" ht="12.75" customHeight="1" x14ac:dyDescent="0.2">
      <c r="A118" s="130"/>
      <c r="B118" s="130"/>
      <c r="C118" s="130"/>
      <c r="D118" s="130"/>
      <c r="E118" s="130"/>
      <c r="F118" s="188"/>
      <c r="G118" s="173"/>
      <c r="H118" s="173"/>
      <c r="I118" s="173"/>
      <c r="J118" s="130"/>
      <c r="K118" s="130"/>
      <c r="L118" s="130"/>
      <c r="M118" s="130"/>
      <c r="N118" s="130"/>
      <c r="O118" s="130"/>
      <c r="P118" s="130"/>
      <c r="Q118" s="130"/>
      <c r="R118" s="130"/>
      <c r="S118" s="130"/>
      <c r="T118" s="130"/>
      <c r="U118" s="130"/>
      <c r="V118" s="130"/>
      <c r="W118" s="130"/>
      <c r="X118" s="130"/>
      <c r="Y118" s="130"/>
      <c r="Z118" s="130"/>
    </row>
    <row r="119" spans="1:26" ht="12.75" customHeight="1" x14ac:dyDescent="0.2">
      <c r="A119" s="130"/>
      <c r="B119" s="130"/>
      <c r="C119" s="130"/>
      <c r="D119" s="130"/>
      <c r="E119" s="130"/>
      <c r="F119" s="188"/>
      <c r="G119" s="173"/>
      <c r="H119" s="173"/>
      <c r="I119" s="173"/>
      <c r="J119" s="130"/>
      <c r="K119" s="130"/>
      <c r="L119" s="130"/>
      <c r="M119" s="130"/>
      <c r="N119" s="130"/>
      <c r="O119" s="130"/>
      <c r="P119" s="130"/>
      <c r="Q119" s="130"/>
      <c r="R119" s="130"/>
      <c r="S119" s="130"/>
      <c r="T119" s="130"/>
      <c r="U119" s="130"/>
      <c r="V119" s="130"/>
      <c r="W119" s="130"/>
      <c r="X119" s="130"/>
      <c r="Y119" s="130"/>
      <c r="Z119" s="130"/>
    </row>
    <row r="120" spans="1:26" ht="12.75" customHeight="1" x14ac:dyDescent="0.2">
      <c r="A120" s="130"/>
      <c r="B120" s="130"/>
      <c r="C120" s="130"/>
      <c r="D120" s="130"/>
      <c r="E120" s="130"/>
      <c r="F120" s="188"/>
      <c r="G120" s="173"/>
      <c r="H120" s="173"/>
      <c r="I120" s="173"/>
      <c r="J120" s="130"/>
      <c r="K120" s="130"/>
      <c r="L120" s="130"/>
      <c r="M120" s="130"/>
      <c r="N120" s="130"/>
      <c r="O120" s="130"/>
      <c r="P120" s="130"/>
      <c r="Q120" s="130"/>
      <c r="R120" s="130"/>
      <c r="S120" s="130"/>
      <c r="T120" s="130"/>
      <c r="U120" s="130"/>
      <c r="V120" s="130"/>
      <c r="W120" s="130"/>
      <c r="X120" s="130"/>
      <c r="Y120" s="130"/>
      <c r="Z120" s="130"/>
    </row>
    <row r="121" spans="1:26" ht="12.75" customHeight="1" x14ac:dyDescent="0.2">
      <c r="A121" s="130"/>
      <c r="B121" s="130"/>
      <c r="C121" s="130"/>
      <c r="D121" s="130"/>
      <c r="E121" s="130"/>
      <c r="F121" s="188"/>
      <c r="G121" s="173"/>
      <c r="H121" s="173"/>
      <c r="I121" s="173"/>
      <c r="J121" s="130"/>
      <c r="K121" s="130"/>
      <c r="L121" s="130"/>
      <c r="M121" s="130"/>
      <c r="N121" s="130"/>
      <c r="O121" s="130"/>
      <c r="P121" s="130"/>
      <c r="Q121" s="130"/>
      <c r="R121" s="130"/>
      <c r="S121" s="130"/>
      <c r="T121" s="130"/>
      <c r="U121" s="130"/>
      <c r="V121" s="130"/>
      <c r="W121" s="130"/>
      <c r="X121" s="130"/>
      <c r="Y121" s="130"/>
      <c r="Z121" s="130"/>
    </row>
    <row r="122" spans="1:26" ht="12.75" customHeight="1" x14ac:dyDescent="0.2">
      <c r="A122" s="130"/>
      <c r="B122" s="130"/>
      <c r="C122" s="130"/>
      <c r="D122" s="130"/>
      <c r="E122" s="130"/>
      <c r="F122" s="188"/>
      <c r="G122" s="173"/>
      <c r="H122" s="173"/>
      <c r="I122" s="173"/>
      <c r="J122" s="130"/>
      <c r="K122" s="130"/>
      <c r="L122" s="130"/>
      <c r="M122" s="130"/>
      <c r="N122" s="130"/>
      <c r="O122" s="130"/>
      <c r="P122" s="130"/>
      <c r="Q122" s="130"/>
      <c r="R122" s="130"/>
      <c r="S122" s="130"/>
      <c r="T122" s="130"/>
      <c r="U122" s="130"/>
      <c r="V122" s="130"/>
      <c r="W122" s="130"/>
      <c r="X122" s="130"/>
      <c r="Y122" s="130"/>
      <c r="Z122" s="130"/>
    </row>
    <row r="123" spans="1:26" ht="12.75" customHeight="1" x14ac:dyDescent="0.2">
      <c r="A123" s="130"/>
      <c r="B123" s="130"/>
      <c r="C123" s="130"/>
      <c r="D123" s="130"/>
      <c r="E123" s="130"/>
      <c r="F123" s="188"/>
      <c r="G123" s="173"/>
      <c r="H123" s="173"/>
      <c r="I123" s="173"/>
      <c r="J123" s="130"/>
      <c r="K123" s="130"/>
      <c r="L123" s="130"/>
      <c r="M123" s="130"/>
      <c r="N123" s="130"/>
      <c r="O123" s="130"/>
      <c r="P123" s="130"/>
      <c r="Q123" s="130"/>
      <c r="R123" s="130"/>
      <c r="S123" s="130"/>
      <c r="T123" s="130"/>
      <c r="U123" s="130"/>
      <c r="V123" s="130"/>
      <c r="W123" s="130"/>
      <c r="X123" s="130"/>
      <c r="Y123" s="130"/>
      <c r="Z123" s="130"/>
    </row>
    <row r="124" spans="1:26" ht="12.75" customHeight="1" x14ac:dyDescent="0.2">
      <c r="A124" s="130"/>
      <c r="B124" s="130"/>
      <c r="C124" s="130"/>
      <c r="D124" s="130"/>
      <c r="E124" s="130"/>
      <c r="F124" s="188"/>
      <c r="G124" s="173"/>
      <c r="H124" s="173"/>
      <c r="I124" s="173"/>
      <c r="J124" s="130"/>
      <c r="K124" s="130"/>
      <c r="L124" s="130"/>
      <c r="M124" s="130"/>
      <c r="N124" s="130"/>
      <c r="O124" s="130"/>
      <c r="P124" s="130"/>
      <c r="Q124" s="130"/>
      <c r="R124" s="130"/>
      <c r="S124" s="130"/>
      <c r="T124" s="130"/>
      <c r="U124" s="130"/>
      <c r="V124" s="130"/>
      <c r="W124" s="130"/>
      <c r="X124" s="130"/>
      <c r="Y124" s="130"/>
      <c r="Z124" s="130"/>
    </row>
    <row r="125" spans="1:26" ht="12.75" customHeight="1" x14ac:dyDescent="0.2">
      <c r="A125" s="130"/>
      <c r="B125" s="130"/>
      <c r="C125" s="130"/>
      <c r="D125" s="130"/>
      <c r="E125" s="130"/>
      <c r="F125" s="188"/>
      <c r="G125" s="173"/>
      <c r="H125" s="173"/>
      <c r="I125" s="173"/>
      <c r="J125" s="130"/>
      <c r="K125" s="130"/>
      <c r="L125" s="130"/>
      <c r="M125" s="130"/>
      <c r="N125" s="130"/>
      <c r="O125" s="130"/>
      <c r="P125" s="130"/>
      <c r="Q125" s="130"/>
      <c r="R125" s="130"/>
      <c r="S125" s="130"/>
      <c r="T125" s="130"/>
      <c r="U125" s="130"/>
      <c r="V125" s="130"/>
      <c r="W125" s="130"/>
      <c r="X125" s="130"/>
      <c r="Y125" s="130"/>
      <c r="Z125" s="130"/>
    </row>
    <row r="126" spans="1:26" ht="12.75" customHeight="1" x14ac:dyDescent="0.2">
      <c r="A126" s="130"/>
      <c r="B126" s="130"/>
      <c r="C126" s="130"/>
      <c r="D126" s="130"/>
      <c r="E126" s="130"/>
      <c r="F126" s="188"/>
      <c r="G126" s="173"/>
      <c r="H126" s="173"/>
      <c r="I126" s="173"/>
      <c r="J126" s="130"/>
      <c r="K126" s="130"/>
      <c r="L126" s="130"/>
      <c r="M126" s="130"/>
      <c r="N126" s="130"/>
      <c r="O126" s="130"/>
      <c r="P126" s="130"/>
      <c r="Q126" s="130"/>
      <c r="R126" s="130"/>
      <c r="S126" s="130"/>
      <c r="T126" s="130"/>
      <c r="U126" s="130"/>
      <c r="V126" s="130"/>
      <c r="W126" s="130"/>
      <c r="X126" s="130"/>
      <c r="Y126" s="130"/>
      <c r="Z126" s="130"/>
    </row>
    <row r="127" spans="1:26" ht="12.75" customHeight="1" x14ac:dyDescent="0.2">
      <c r="A127" s="130"/>
      <c r="B127" s="130"/>
      <c r="C127" s="130"/>
      <c r="D127" s="130"/>
      <c r="E127" s="130"/>
      <c r="F127" s="188"/>
      <c r="G127" s="173"/>
      <c r="H127" s="173"/>
      <c r="I127" s="173"/>
      <c r="J127" s="130"/>
      <c r="K127" s="130"/>
      <c r="L127" s="130"/>
      <c r="M127" s="130"/>
      <c r="N127" s="130"/>
      <c r="O127" s="130"/>
      <c r="P127" s="130"/>
      <c r="Q127" s="130"/>
      <c r="R127" s="130"/>
      <c r="S127" s="130"/>
      <c r="T127" s="130"/>
      <c r="U127" s="130"/>
      <c r="V127" s="130"/>
      <c r="W127" s="130"/>
      <c r="X127" s="130"/>
      <c r="Y127" s="130"/>
      <c r="Z127" s="130"/>
    </row>
    <row r="128" spans="1:26" ht="12.75" customHeight="1" x14ac:dyDescent="0.2">
      <c r="A128" s="130"/>
      <c r="B128" s="130"/>
      <c r="C128" s="130"/>
      <c r="D128" s="130"/>
      <c r="E128" s="130"/>
      <c r="F128" s="188"/>
      <c r="G128" s="173"/>
      <c r="H128" s="173"/>
      <c r="I128" s="173"/>
      <c r="J128" s="130"/>
      <c r="K128" s="130"/>
      <c r="L128" s="130"/>
      <c r="M128" s="130"/>
      <c r="N128" s="130"/>
      <c r="O128" s="130"/>
      <c r="P128" s="130"/>
      <c r="Q128" s="130"/>
      <c r="R128" s="130"/>
      <c r="S128" s="130"/>
      <c r="T128" s="130"/>
      <c r="U128" s="130"/>
      <c r="V128" s="130"/>
      <c r="W128" s="130"/>
      <c r="X128" s="130"/>
      <c r="Y128" s="130"/>
      <c r="Z128" s="130"/>
    </row>
    <row r="129" spans="1:26" ht="12.75" customHeight="1" x14ac:dyDescent="0.2">
      <c r="A129" s="130"/>
      <c r="B129" s="130"/>
      <c r="C129" s="130"/>
      <c r="D129" s="130"/>
      <c r="E129" s="130"/>
      <c r="F129" s="188"/>
      <c r="G129" s="173"/>
      <c r="H129" s="173"/>
      <c r="I129" s="173"/>
      <c r="J129" s="130"/>
      <c r="K129" s="130"/>
      <c r="L129" s="130"/>
      <c r="M129" s="130"/>
      <c r="N129" s="130"/>
      <c r="O129" s="130"/>
      <c r="P129" s="130"/>
      <c r="Q129" s="130"/>
      <c r="R129" s="130"/>
      <c r="S129" s="130"/>
      <c r="T129" s="130"/>
      <c r="U129" s="130"/>
      <c r="V129" s="130"/>
      <c r="W129" s="130"/>
      <c r="X129" s="130"/>
      <c r="Y129" s="130"/>
      <c r="Z129" s="130"/>
    </row>
    <row r="130" spans="1:26" ht="12.75" customHeight="1" x14ac:dyDescent="0.2">
      <c r="A130" s="130"/>
      <c r="B130" s="130"/>
      <c r="C130" s="130"/>
      <c r="D130" s="130"/>
      <c r="E130" s="130"/>
      <c r="F130" s="188"/>
      <c r="G130" s="173"/>
      <c r="H130" s="173"/>
      <c r="I130" s="173"/>
      <c r="J130" s="130"/>
      <c r="K130" s="130"/>
      <c r="L130" s="130"/>
      <c r="M130" s="130"/>
      <c r="N130" s="130"/>
      <c r="O130" s="130"/>
      <c r="P130" s="130"/>
      <c r="Q130" s="130"/>
      <c r="R130" s="130"/>
      <c r="S130" s="130"/>
      <c r="T130" s="130"/>
      <c r="U130" s="130"/>
      <c r="V130" s="130"/>
      <c r="W130" s="130"/>
      <c r="X130" s="130"/>
      <c r="Y130" s="130"/>
      <c r="Z130" s="130"/>
    </row>
    <row r="131" spans="1:26" ht="12.75" customHeight="1" x14ac:dyDescent="0.2">
      <c r="A131" s="130"/>
      <c r="B131" s="130"/>
      <c r="C131" s="130"/>
      <c r="D131" s="130"/>
      <c r="E131" s="130"/>
      <c r="F131" s="188"/>
      <c r="G131" s="173"/>
      <c r="H131" s="173"/>
      <c r="I131" s="173"/>
      <c r="J131" s="130"/>
      <c r="K131" s="130"/>
      <c r="L131" s="130"/>
      <c r="M131" s="130"/>
      <c r="N131" s="130"/>
      <c r="O131" s="130"/>
      <c r="P131" s="130"/>
      <c r="Q131" s="130"/>
      <c r="R131" s="130"/>
      <c r="S131" s="130"/>
      <c r="T131" s="130"/>
      <c r="U131" s="130"/>
      <c r="V131" s="130"/>
      <c r="W131" s="130"/>
      <c r="X131" s="130"/>
      <c r="Y131" s="130"/>
      <c r="Z131" s="130"/>
    </row>
    <row r="132" spans="1:26" ht="12.75" customHeight="1" x14ac:dyDescent="0.2">
      <c r="A132" s="130"/>
      <c r="B132" s="130"/>
      <c r="C132" s="130"/>
      <c r="D132" s="130"/>
      <c r="E132" s="130"/>
      <c r="F132" s="188"/>
      <c r="G132" s="173"/>
      <c r="H132" s="173"/>
      <c r="I132" s="173"/>
      <c r="J132" s="130"/>
      <c r="K132" s="130"/>
      <c r="L132" s="130"/>
      <c r="M132" s="130"/>
      <c r="N132" s="130"/>
      <c r="O132" s="130"/>
      <c r="P132" s="130"/>
      <c r="Q132" s="130"/>
      <c r="R132" s="130"/>
      <c r="S132" s="130"/>
      <c r="T132" s="130"/>
      <c r="U132" s="130"/>
      <c r="V132" s="130"/>
      <c r="W132" s="130"/>
      <c r="X132" s="130"/>
      <c r="Y132" s="130"/>
      <c r="Z132" s="130"/>
    </row>
    <row r="133" spans="1:26" ht="12.75" customHeight="1" x14ac:dyDescent="0.2">
      <c r="A133" s="130"/>
      <c r="B133" s="130"/>
      <c r="C133" s="130"/>
      <c r="D133" s="130"/>
      <c r="E133" s="130"/>
      <c r="F133" s="188"/>
      <c r="G133" s="173"/>
      <c r="H133" s="173"/>
      <c r="I133" s="173"/>
      <c r="J133" s="130"/>
      <c r="K133" s="130"/>
      <c r="L133" s="130"/>
      <c r="M133" s="130"/>
      <c r="N133" s="130"/>
      <c r="O133" s="130"/>
      <c r="P133" s="130"/>
      <c r="Q133" s="130"/>
      <c r="R133" s="130"/>
      <c r="S133" s="130"/>
      <c r="T133" s="130"/>
      <c r="U133" s="130"/>
      <c r="V133" s="130"/>
      <c r="W133" s="130"/>
      <c r="X133" s="130"/>
      <c r="Y133" s="130"/>
      <c r="Z133" s="130"/>
    </row>
    <row r="134" spans="1:26" ht="12.75" customHeight="1" x14ac:dyDescent="0.2">
      <c r="A134" s="130"/>
      <c r="B134" s="130"/>
      <c r="C134" s="130"/>
      <c r="D134" s="130"/>
      <c r="E134" s="130"/>
      <c r="F134" s="188"/>
      <c r="G134" s="173"/>
      <c r="H134" s="173"/>
      <c r="I134" s="173"/>
      <c r="J134" s="130"/>
      <c r="K134" s="130"/>
      <c r="L134" s="130"/>
      <c r="M134" s="130"/>
      <c r="N134" s="130"/>
      <c r="O134" s="130"/>
      <c r="P134" s="130"/>
      <c r="Q134" s="130"/>
      <c r="R134" s="130"/>
      <c r="S134" s="130"/>
      <c r="T134" s="130"/>
      <c r="U134" s="130"/>
      <c r="V134" s="130"/>
      <c r="W134" s="130"/>
      <c r="X134" s="130"/>
      <c r="Y134" s="130"/>
      <c r="Z134" s="130"/>
    </row>
    <row r="135" spans="1:26" ht="12.75" customHeight="1" x14ac:dyDescent="0.2">
      <c r="A135" s="130"/>
      <c r="B135" s="130"/>
      <c r="C135" s="130"/>
      <c r="D135" s="130"/>
      <c r="E135" s="130"/>
      <c r="F135" s="188"/>
      <c r="G135" s="173"/>
      <c r="H135" s="173"/>
      <c r="I135" s="173"/>
      <c r="J135" s="130"/>
      <c r="K135" s="130"/>
      <c r="L135" s="130"/>
      <c r="M135" s="130"/>
      <c r="N135" s="130"/>
      <c r="O135" s="130"/>
      <c r="P135" s="130"/>
      <c r="Q135" s="130"/>
      <c r="R135" s="130"/>
      <c r="S135" s="130"/>
      <c r="T135" s="130"/>
      <c r="U135" s="130"/>
      <c r="V135" s="130"/>
      <c r="W135" s="130"/>
      <c r="X135" s="130"/>
      <c r="Y135" s="130"/>
      <c r="Z135" s="130"/>
    </row>
    <row r="136" spans="1:26" ht="12.75" customHeight="1" x14ac:dyDescent="0.2">
      <c r="A136" s="130"/>
      <c r="B136" s="130"/>
      <c r="C136" s="130"/>
      <c r="D136" s="130"/>
      <c r="E136" s="130"/>
      <c r="F136" s="188"/>
      <c r="G136" s="173"/>
      <c r="H136" s="173"/>
      <c r="I136" s="173"/>
      <c r="J136" s="130"/>
      <c r="K136" s="130"/>
      <c r="L136" s="130"/>
      <c r="M136" s="130"/>
      <c r="N136" s="130"/>
      <c r="O136" s="130"/>
      <c r="P136" s="130"/>
      <c r="Q136" s="130"/>
      <c r="R136" s="130"/>
      <c r="S136" s="130"/>
      <c r="T136" s="130"/>
      <c r="U136" s="130"/>
      <c r="V136" s="130"/>
      <c r="W136" s="130"/>
      <c r="X136" s="130"/>
      <c r="Y136" s="130"/>
      <c r="Z136" s="130"/>
    </row>
    <row r="137" spans="1:26" ht="12.75" customHeight="1" x14ac:dyDescent="0.2">
      <c r="A137" s="130"/>
      <c r="B137" s="130"/>
      <c r="C137" s="130"/>
      <c r="D137" s="130"/>
      <c r="E137" s="130"/>
      <c r="F137" s="188"/>
      <c r="G137" s="173"/>
      <c r="H137" s="173"/>
      <c r="I137" s="173"/>
      <c r="J137" s="130"/>
      <c r="K137" s="130"/>
      <c r="L137" s="130"/>
      <c r="M137" s="130"/>
      <c r="N137" s="130"/>
      <c r="O137" s="130"/>
      <c r="P137" s="130"/>
      <c r="Q137" s="130"/>
      <c r="R137" s="130"/>
      <c r="S137" s="130"/>
      <c r="T137" s="130"/>
      <c r="U137" s="130"/>
      <c r="V137" s="130"/>
      <c r="W137" s="130"/>
      <c r="X137" s="130"/>
      <c r="Y137" s="130"/>
      <c r="Z137" s="130"/>
    </row>
    <row r="138" spans="1:26" ht="12.75" customHeight="1" x14ac:dyDescent="0.2">
      <c r="A138" s="130"/>
      <c r="B138" s="130"/>
      <c r="C138" s="130"/>
      <c r="D138" s="130"/>
      <c r="E138" s="130"/>
      <c r="F138" s="188"/>
      <c r="G138" s="173"/>
      <c r="H138" s="173"/>
      <c r="I138" s="173"/>
      <c r="J138" s="130"/>
      <c r="K138" s="130"/>
      <c r="L138" s="130"/>
      <c r="M138" s="130"/>
      <c r="N138" s="130"/>
      <c r="O138" s="130"/>
      <c r="P138" s="130"/>
      <c r="Q138" s="130"/>
      <c r="R138" s="130"/>
      <c r="S138" s="130"/>
      <c r="T138" s="130"/>
      <c r="U138" s="130"/>
      <c r="V138" s="130"/>
      <c r="W138" s="130"/>
      <c r="X138" s="130"/>
      <c r="Y138" s="130"/>
      <c r="Z138" s="130"/>
    </row>
    <row r="139" spans="1:26" ht="12.75" customHeight="1" x14ac:dyDescent="0.2">
      <c r="A139" s="130"/>
      <c r="B139" s="130"/>
      <c r="C139" s="130"/>
      <c r="D139" s="130"/>
      <c r="E139" s="130"/>
      <c r="F139" s="188"/>
      <c r="G139" s="173"/>
      <c r="H139" s="173"/>
      <c r="I139" s="173"/>
      <c r="J139" s="130"/>
      <c r="K139" s="130"/>
      <c r="L139" s="130"/>
      <c r="M139" s="130"/>
      <c r="N139" s="130"/>
      <c r="O139" s="130"/>
      <c r="P139" s="130"/>
      <c r="Q139" s="130"/>
      <c r="R139" s="130"/>
      <c r="S139" s="130"/>
      <c r="T139" s="130"/>
      <c r="U139" s="130"/>
      <c r="V139" s="130"/>
      <c r="W139" s="130"/>
      <c r="X139" s="130"/>
      <c r="Y139" s="130"/>
      <c r="Z139" s="130"/>
    </row>
    <row r="140" spans="1:26" ht="12.75" customHeight="1" x14ac:dyDescent="0.2">
      <c r="A140" s="130"/>
      <c r="B140" s="130"/>
      <c r="C140" s="130"/>
      <c r="D140" s="130"/>
      <c r="E140" s="130"/>
      <c r="F140" s="188"/>
      <c r="G140" s="173"/>
      <c r="H140" s="173"/>
      <c r="I140" s="173"/>
      <c r="J140" s="130"/>
      <c r="K140" s="130"/>
      <c r="L140" s="130"/>
      <c r="M140" s="130"/>
      <c r="N140" s="130"/>
      <c r="O140" s="130"/>
      <c r="P140" s="130"/>
      <c r="Q140" s="130"/>
      <c r="R140" s="130"/>
      <c r="S140" s="130"/>
      <c r="T140" s="130"/>
      <c r="U140" s="130"/>
      <c r="V140" s="130"/>
      <c r="W140" s="130"/>
      <c r="X140" s="130"/>
      <c r="Y140" s="130"/>
      <c r="Z140" s="130"/>
    </row>
    <row r="141" spans="1:26" ht="12.75" customHeight="1" x14ac:dyDescent="0.2">
      <c r="A141" s="130"/>
      <c r="B141" s="130"/>
      <c r="C141" s="130"/>
      <c r="D141" s="130"/>
      <c r="E141" s="130"/>
      <c r="F141" s="188"/>
      <c r="G141" s="173"/>
      <c r="H141" s="173"/>
      <c r="I141" s="173"/>
      <c r="J141" s="130"/>
      <c r="K141" s="130"/>
      <c r="L141" s="130"/>
      <c r="M141" s="130"/>
      <c r="N141" s="130"/>
      <c r="O141" s="130"/>
      <c r="P141" s="130"/>
      <c r="Q141" s="130"/>
      <c r="R141" s="130"/>
      <c r="S141" s="130"/>
      <c r="T141" s="130"/>
      <c r="U141" s="130"/>
      <c r="V141" s="130"/>
      <c r="W141" s="130"/>
      <c r="X141" s="130"/>
      <c r="Y141" s="130"/>
      <c r="Z141" s="130"/>
    </row>
    <row r="142" spans="1:26" ht="12.75" customHeight="1" x14ac:dyDescent="0.2">
      <c r="A142" s="130"/>
      <c r="B142" s="130"/>
      <c r="C142" s="130"/>
      <c r="D142" s="130"/>
      <c r="E142" s="130"/>
      <c r="F142" s="188"/>
      <c r="G142" s="173"/>
      <c r="H142" s="173"/>
      <c r="I142" s="173"/>
      <c r="J142" s="130"/>
      <c r="K142" s="130"/>
      <c r="L142" s="130"/>
      <c r="M142" s="130"/>
      <c r="N142" s="130"/>
      <c r="O142" s="130"/>
      <c r="P142" s="130"/>
      <c r="Q142" s="130"/>
      <c r="R142" s="130"/>
      <c r="S142" s="130"/>
      <c r="T142" s="130"/>
      <c r="U142" s="130"/>
      <c r="V142" s="130"/>
      <c r="W142" s="130"/>
      <c r="X142" s="130"/>
      <c r="Y142" s="130"/>
      <c r="Z142" s="130"/>
    </row>
    <row r="143" spans="1:26" ht="12.75" customHeight="1" x14ac:dyDescent="0.2">
      <c r="A143" s="130"/>
      <c r="B143" s="130"/>
      <c r="C143" s="130"/>
      <c r="D143" s="130"/>
      <c r="E143" s="130"/>
      <c r="F143" s="188"/>
      <c r="G143" s="173"/>
      <c r="H143" s="173"/>
      <c r="I143" s="173"/>
      <c r="J143" s="130"/>
      <c r="K143" s="130"/>
      <c r="L143" s="130"/>
      <c r="M143" s="130"/>
      <c r="N143" s="130"/>
      <c r="O143" s="130"/>
      <c r="P143" s="130"/>
      <c r="Q143" s="130"/>
      <c r="R143" s="130"/>
      <c r="S143" s="130"/>
      <c r="T143" s="130"/>
      <c r="U143" s="130"/>
      <c r="V143" s="130"/>
      <c r="W143" s="130"/>
      <c r="X143" s="130"/>
      <c r="Y143" s="130"/>
      <c r="Z143" s="130"/>
    </row>
    <row r="144" spans="1:26" ht="12.75" customHeight="1" x14ac:dyDescent="0.2">
      <c r="A144" s="130"/>
      <c r="B144" s="130"/>
      <c r="C144" s="130"/>
      <c r="D144" s="130"/>
      <c r="E144" s="130"/>
      <c r="F144" s="188"/>
      <c r="G144" s="173"/>
      <c r="H144" s="173"/>
      <c r="I144" s="173"/>
      <c r="J144" s="130"/>
      <c r="K144" s="130"/>
      <c r="L144" s="130"/>
      <c r="M144" s="130"/>
      <c r="N144" s="130"/>
      <c r="O144" s="130"/>
      <c r="P144" s="130"/>
      <c r="Q144" s="130"/>
      <c r="R144" s="130"/>
      <c r="S144" s="130"/>
      <c r="T144" s="130"/>
      <c r="U144" s="130"/>
      <c r="V144" s="130"/>
      <c r="W144" s="130"/>
      <c r="X144" s="130"/>
      <c r="Y144" s="130"/>
      <c r="Z144" s="130"/>
    </row>
    <row r="145" spans="1:26" ht="12.75" customHeight="1" x14ac:dyDescent="0.2">
      <c r="A145" s="130"/>
      <c r="B145" s="130"/>
      <c r="C145" s="130"/>
      <c r="D145" s="130"/>
      <c r="E145" s="130"/>
      <c r="F145" s="188"/>
      <c r="G145" s="173"/>
      <c r="H145" s="173"/>
      <c r="I145" s="173"/>
      <c r="J145" s="130"/>
      <c r="K145" s="130"/>
      <c r="L145" s="130"/>
      <c r="M145" s="130"/>
      <c r="N145" s="130"/>
      <c r="O145" s="130"/>
      <c r="P145" s="130"/>
      <c r="Q145" s="130"/>
      <c r="R145" s="130"/>
      <c r="S145" s="130"/>
      <c r="T145" s="130"/>
      <c r="U145" s="130"/>
      <c r="V145" s="130"/>
      <c r="W145" s="130"/>
      <c r="X145" s="130"/>
      <c r="Y145" s="130"/>
      <c r="Z145" s="130"/>
    </row>
    <row r="146" spans="1:26" ht="12.75" customHeight="1" x14ac:dyDescent="0.2">
      <c r="A146" s="130"/>
      <c r="B146" s="130"/>
      <c r="C146" s="130"/>
      <c r="D146" s="130"/>
      <c r="E146" s="130"/>
      <c r="F146" s="188"/>
      <c r="G146" s="173"/>
      <c r="H146" s="173"/>
      <c r="I146" s="173"/>
      <c r="J146" s="130"/>
      <c r="K146" s="130"/>
      <c r="L146" s="130"/>
      <c r="M146" s="130"/>
      <c r="N146" s="130"/>
      <c r="O146" s="130"/>
      <c r="P146" s="130"/>
      <c r="Q146" s="130"/>
      <c r="R146" s="130"/>
      <c r="S146" s="130"/>
      <c r="T146" s="130"/>
      <c r="U146" s="130"/>
      <c r="V146" s="130"/>
      <c r="W146" s="130"/>
      <c r="X146" s="130"/>
      <c r="Y146" s="130"/>
      <c r="Z146" s="130"/>
    </row>
    <row r="147" spans="1:26" ht="12.75" customHeight="1" x14ac:dyDescent="0.2">
      <c r="A147" s="130"/>
      <c r="B147" s="130"/>
      <c r="C147" s="130"/>
      <c r="D147" s="130"/>
      <c r="E147" s="130"/>
      <c r="F147" s="188"/>
      <c r="G147" s="173"/>
      <c r="H147" s="173"/>
      <c r="I147" s="173"/>
      <c r="J147" s="130"/>
      <c r="K147" s="130"/>
      <c r="L147" s="130"/>
      <c r="M147" s="130"/>
      <c r="N147" s="130"/>
      <c r="O147" s="130"/>
      <c r="P147" s="130"/>
      <c r="Q147" s="130"/>
      <c r="R147" s="130"/>
      <c r="S147" s="130"/>
      <c r="T147" s="130"/>
      <c r="U147" s="130"/>
      <c r="V147" s="130"/>
      <c r="W147" s="130"/>
      <c r="X147" s="130"/>
      <c r="Y147" s="130"/>
      <c r="Z147" s="130"/>
    </row>
    <row r="148" spans="1:26" ht="12.75" customHeight="1" x14ac:dyDescent="0.2">
      <c r="A148" s="130"/>
      <c r="B148" s="130"/>
      <c r="C148" s="130"/>
      <c r="D148" s="130"/>
      <c r="E148" s="130"/>
      <c r="F148" s="188"/>
      <c r="G148" s="173"/>
      <c r="H148" s="173"/>
      <c r="I148" s="173"/>
      <c r="J148" s="130"/>
      <c r="K148" s="130"/>
      <c r="L148" s="130"/>
      <c r="M148" s="130"/>
      <c r="N148" s="130"/>
      <c r="O148" s="130"/>
      <c r="P148" s="130"/>
      <c r="Q148" s="130"/>
      <c r="R148" s="130"/>
      <c r="S148" s="130"/>
      <c r="T148" s="130"/>
      <c r="U148" s="130"/>
      <c r="V148" s="130"/>
      <c r="W148" s="130"/>
      <c r="X148" s="130"/>
      <c r="Y148" s="130"/>
      <c r="Z148" s="130"/>
    </row>
    <row r="149" spans="1:26" ht="12.75" customHeight="1" x14ac:dyDescent="0.2">
      <c r="A149" s="130"/>
      <c r="B149" s="130"/>
      <c r="C149" s="130"/>
      <c r="D149" s="130"/>
      <c r="E149" s="130"/>
      <c r="F149" s="188"/>
      <c r="G149" s="173"/>
      <c r="H149" s="173"/>
      <c r="I149" s="173"/>
      <c r="J149" s="130"/>
      <c r="K149" s="130"/>
      <c r="L149" s="130"/>
      <c r="M149" s="130"/>
      <c r="N149" s="130"/>
      <c r="O149" s="130"/>
      <c r="P149" s="130"/>
      <c r="Q149" s="130"/>
      <c r="R149" s="130"/>
      <c r="S149" s="130"/>
      <c r="T149" s="130"/>
      <c r="U149" s="130"/>
      <c r="V149" s="130"/>
      <c r="W149" s="130"/>
      <c r="X149" s="130"/>
      <c r="Y149" s="130"/>
      <c r="Z149" s="130"/>
    </row>
    <row r="150" spans="1:26" ht="12.75" customHeight="1" x14ac:dyDescent="0.2">
      <c r="A150" s="130"/>
      <c r="B150" s="130"/>
      <c r="C150" s="130"/>
      <c r="D150" s="130"/>
      <c r="E150" s="130"/>
      <c r="F150" s="188"/>
      <c r="G150" s="173"/>
      <c r="H150" s="173"/>
      <c r="I150" s="173"/>
      <c r="J150" s="130"/>
      <c r="K150" s="130"/>
      <c r="L150" s="130"/>
      <c r="M150" s="130"/>
      <c r="N150" s="130"/>
      <c r="O150" s="130"/>
      <c r="P150" s="130"/>
      <c r="Q150" s="130"/>
      <c r="R150" s="130"/>
      <c r="S150" s="130"/>
      <c r="T150" s="130"/>
      <c r="U150" s="130"/>
      <c r="V150" s="130"/>
      <c r="W150" s="130"/>
      <c r="X150" s="130"/>
      <c r="Y150" s="130"/>
      <c r="Z150" s="130"/>
    </row>
    <row r="151" spans="1:26" ht="12.75" customHeight="1" x14ac:dyDescent="0.2">
      <c r="A151" s="130"/>
      <c r="B151" s="130"/>
      <c r="C151" s="130"/>
      <c r="D151" s="130"/>
      <c r="E151" s="130"/>
      <c r="F151" s="188"/>
      <c r="G151" s="173"/>
      <c r="H151" s="173"/>
      <c r="I151" s="173"/>
      <c r="J151" s="130"/>
      <c r="K151" s="130"/>
      <c r="L151" s="130"/>
      <c r="M151" s="130"/>
      <c r="N151" s="130"/>
      <c r="O151" s="130"/>
      <c r="P151" s="130"/>
      <c r="Q151" s="130"/>
      <c r="R151" s="130"/>
      <c r="S151" s="130"/>
      <c r="T151" s="130"/>
      <c r="U151" s="130"/>
      <c r="V151" s="130"/>
      <c r="W151" s="130"/>
      <c r="X151" s="130"/>
      <c r="Y151" s="130"/>
      <c r="Z151" s="130"/>
    </row>
    <row r="152" spans="1:26" ht="12.75" customHeight="1" x14ac:dyDescent="0.2">
      <c r="A152" s="130"/>
      <c r="B152" s="130"/>
      <c r="C152" s="130"/>
      <c r="D152" s="130"/>
      <c r="E152" s="130"/>
      <c r="F152" s="188"/>
      <c r="G152" s="173"/>
      <c r="H152" s="173"/>
      <c r="I152" s="173"/>
      <c r="J152" s="130"/>
      <c r="K152" s="130"/>
      <c r="L152" s="130"/>
      <c r="M152" s="130"/>
      <c r="N152" s="130"/>
      <c r="O152" s="130"/>
      <c r="P152" s="130"/>
      <c r="Q152" s="130"/>
      <c r="R152" s="130"/>
      <c r="S152" s="130"/>
      <c r="T152" s="130"/>
      <c r="U152" s="130"/>
      <c r="V152" s="130"/>
      <c r="W152" s="130"/>
      <c r="X152" s="130"/>
      <c r="Y152" s="130"/>
      <c r="Z152" s="130"/>
    </row>
    <row r="153" spans="1:26" ht="12.75" customHeight="1" x14ac:dyDescent="0.2">
      <c r="A153" s="130"/>
      <c r="B153" s="130"/>
      <c r="C153" s="130"/>
      <c r="D153" s="130"/>
      <c r="E153" s="130"/>
      <c r="F153" s="188"/>
      <c r="G153" s="173"/>
      <c r="H153" s="173"/>
      <c r="I153" s="173"/>
      <c r="J153" s="130"/>
      <c r="K153" s="130"/>
      <c r="L153" s="130"/>
      <c r="M153" s="130"/>
      <c r="N153" s="130"/>
      <c r="O153" s="130"/>
      <c r="P153" s="130"/>
      <c r="Q153" s="130"/>
      <c r="R153" s="130"/>
      <c r="S153" s="130"/>
      <c r="T153" s="130"/>
      <c r="U153" s="130"/>
      <c r="V153" s="130"/>
      <c r="W153" s="130"/>
      <c r="X153" s="130"/>
      <c r="Y153" s="130"/>
      <c r="Z153" s="130"/>
    </row>
    <row r="154" spans="1:26" ht="12.75" customHeight="1" x14ac:dyDescent="0.2">
      <c r="A154" s="130"/>
      <c r="B154" s="130"/>
      <c r="C154" s="130"/>
      <c r="D154" s="130"/>
      <c r="E154" s="130"/>
      <c r="F154" s="188"/>
      <c r="G154" s="173"/>
      <c r="H154" s="173"/>
      <c r="I154" s="173"/>
      <c r="J154" s="130"/>
      <c r="K154" s="130"/>
      <c r="L154" s="130"/>
      <c r="M154" s="130"/>
      <c r="N154" s="130"/>
      <c r="O154" s="130"/>
      <c r="P154" s="130"/>
      <c r="Q154" s="130"/>
      <c r="R154" s="130"/>
      <c r="S154" s="130"/>
      <c r="T154" s="130"/>
      <c r="U154" s="130"/>
      <c r="V154" s="130"/>
      <c r="W154" s="130"/>
      <c r="X154" s="130"/>
      <c r="Y154" s="130"/>
      <c r="Z154" s="130"/>
    </row>
    <row r="155" spans="1:26" ht="12.75" customHeight="1" x14ac:dyDescent="0.2">
      <c r="A155" s="130"/>
      <c r="B155" s="130"/>
      <c r="C155" s="130"/>
      <c r="D155" s="130"/>
      <c r="E155" s="130"/>
      <c r="F155" s="188"/>
      <c r="G155" s="173"/>
      <c r="H155" s="173"/>
      <c r="I155" s="173"/>
      <c r="J155" s="130"/>
      <c r="K155" s="130"/>
      <c r="L155" s="130"/>
      <c r="M155" s="130"/>
      <c r="N155" s="130"/>
      <c r="O155" s="130"/>
      <c r="P155" s="130"/>
      <c r="Q155" s="130"/>
      <c r="R155" s="130"/>
      <c r="S155" s="130"/>
      <c r="T155" s="130"/>
      <c r="U155" s="130"/>
      <c r="V155" s="130"/>
      <c r="W155" s="130"/>
      <c r="X155" s="130"/>
      <c r="Y155" s="130"/>
      <c r="Z155" s="130"/>
    </row>
    <row r="156" spans="1:26" ht="12.75" customHeight="1" x14ac:dyDescent="0.2">
      <c r="A156" s="130"/>
      <c r="B156" s="130"/>
      <c r="C156" s="130"/>
      <c r="D156" s="130"/>
      <c r="E156" s="130"/>
      <c r="F156" s="188"/>
      <c r="G156" s="173"/>
      <c r="H156" s="173"/>
      <c r="I156" s="173"/>
      <c r="J156" s="130"/>
      <c r="K156" s="130"/>
      <c r="L156" s="130"/>
      <c r="M156" s="130"/>
      <c r="N156" s="130"/>
      <c r="O156" s="130"/>
      <c r="P156" s="130"/>
      <c r="Q156" s="130"/>
      <c r="R156" s="130"/>
      <c r="S156" s="130"/>
      <c r="T156" s="130"/>
      <c r="U156" s="130"/>
      <c r="V156" s="130"/>
      <c r="W156" s="130"/>
      <c r="X156" s="130"/>
      <c r="Y156" s="130"/>
      <c r="Z156" s="130"/>
    </row>
    <row r="157" spans="1:26" ht="12.75" customHeight="1" x14ac:dyDescent="0.2">
      <c r="A157" s="130"/>
      <c r="B157" s="130"/>
      <c r="C157" s="130"/>
      <c r="D157" s="130"/>
      <c r="E157" s="130"/>
      <c r="F157" s="188"/>
      <c r="G157" s="173"/>
      <c r="H157" s="173"/>
      <c r="I157" s="173"/>
      <c r="J157" s="130"/>
      <c r="K157" s="130"/>
      <c r="L157" s="130"/>
      <c r="M157" s="130"/>
      <c r="N157" s="130"/>
      <c r="O157" s="130"/>
      <c r="P157" s="130"/>
      <c r="Q157" s="130"/>
      <c r="R157" s="130"/>
      <c r="S157" s="130"/>
      <c r="T157" s="130"/>
      <c r="U157" s="130"/>
      <c r="V157" s="130"/>
      <c r="W157" s="130"/>
      <c r="X157" s="130"/>
      <c r="Y157" s="130"/>
      <c r="Z157" s="130"/>
    </row>
    <row r="158" spans="1:26" ht="12.75" customHeight="1" x14ac:dyDescent="0.2">
      <c r="A158" s="130"/>
      <c r="B158" s="130"/>
      <c r="C158" s="130"/>
      <c r="D158" s="130"/>
      <c r="E158" s="130"/>
      <c r="F158" s="188"/>
      <c r="G158" s="173"/>
      <c r="H158" s="173"/>
      <c r="I158" s="173"/>
      <c r="J158" s="130"/>
      <c r="K158" s="130"/>
      <c r="L158" s="130"/>
      <c r="M158" s="130"/>
      <c r="N158" s="130"/>
      <c r="O158" s="130"/>
      <c r="P158" s="130"/>
      <c r="Q158" s="130"/>
      <c r="R158" s="130"/>
      <c r="S158" s="130"/>
      <c r="T158" s="130"/>
      <c r="U158" s="130"/>
      <c r="V158" s="130"/>
      <c r="W158" s="130"/>
      <c r="X158" s="130"/>
      <c r="Y158" s="130"/>
      <c r="Z158" s="130"/>
    </row>
    <row r="159" spans="1:26" ht="12.75" customHeight="1" x14ac:dyDescent="0.2">
      <c r="A159" s="130"/>
      <c r="B159" s="130"/>
      <c r="C159" s="130"/>
      <c r="D159" s="130"/>
      <c r="E159" s="130"/>
      <c r="F159" s="188"/>
      <c r="G159" s="173"/>
      <c r="H159" s="173"/>
      <c r="I159" s="173"/>
      <c r="J159" s="130"/>
      <c r="K159" s="130"/>
      <c r="L159" s="130"/>
      <c r="M159" s="130"/>
      <c r="N159" s="130"/>
      <c r="O159" s="130"/>
      <c r="P159" s="130"/>
      <c r="Q159" s="130"/>
      <c r="R159" s="130"/>
      <c r="S159" s="130"/>
      <c r="T159" s="130"/>
      <c r="U159" s="130"/>
      <c r="V159" s="130"/>
      <c r="W159" s="130"/>
      <c r="X159" s="130"/>
      <c r="Y159" s="130"/>
      <c r="Z159" s="130"/>
    </row>
    <row r="160" spans="1:26" ht="12.75" customHeight="1" x14ac:dyDescent="0.2">
      <c r="A160" s="130"/>
      <c r="B160" s="130"/>
      <c r="C160" s="130"/>
      <c r="D160" s="130"/>
      <c r="E160" s="130"/>
      <c r="F160" s="188"/>
      <c r="G160" s="173"/>
      <c r="H160" s="173"/>
      <c r="I160" s="173"/>
      <c r="J160" s="130"/>
      <c r="K160" s="130"/>
      <c r="L160" s="130"/>
      <c r="M160" s="130"/>
      <c r="N160" s="130"/>
      <c r="O160" s="130"/>
      <c r="P160" s="130"/>
      <c r="Q160" s="130"/>
      <c r="R160" s="130"/>
      <c r="S160" s="130"/>
      <c r="T160" s="130"/>
      <c r="U160" s="130"/>
      <c r="V160" s="130"/>
      <c r="W160" s="130"/>
      <c r="X160" s="130"/>
      <c r="Y160" s="130"/>
      <c r="Z160" s="130"/>
    </row>
    <row r="161" spans="1:26" ht="12.75" customHeight="1" x14ac:dyDescent="0.2">
      <c r="A161" s="130"/>
      <c r="B161" s="130"/>
      <c r="C161" s="130"/>
      <c r="D161" s="130"/>
      <c r="E161" s="130"/>
      <c r="F161" s="188"/>
      <c r="G161" s="173"/>
      <c r="H161" s="173"/>
      <c r="I161" s="173"/>
      <c r="J161" s="130"/>
      <c r="K161" s="130"/>
      <c r="L161" s="130"/>
      <c r="M161" s="130"/>
      <c r="N161" s="130"/>
      <c r="O161" s="130"/>
      <c r="P161" s="130"/>
      <c r="Q161" s="130"/>
      <c r="R161" s="130"/>
      <c r="S161" s="130"/>
      <c r="T161" s="130"/>
      <c r="U161" s="130"/>
      <c r="V161" s="130"/>
      <c r="W161" s="130"/>
      <c r="X161" s="130"/>
      <c r="Y161" s="130"/>
      <c r="Z161" s="130"/>
    </row>
    <row r="162" spans="1:26" ht="12.75" customHeight="1" x14ac:dyDescent="0.2">
      <c r="A162" s="130"/>
      <c r="B162" s="130"/>
      <c r="C162" s="130"/>
      <c r="D162" s="130"/>
      <c r="E162" s="130"/>
      <c r="F162" s="188"/>
      <c r="G162" s="173"/>
      <c r="H162" s="173"/>
      <c r="I162" s="173"/>
      <c r="J162" s="130"/>
      <c r="K162" s="130"/>
      <c r="L162" s="130"/>
      <c r="M162" s="130"/>
      <c r="N162" s="130"/>
      <c r="O162" s="130"/>
      <c r="P162" s="130"/>
      <c r="Q162" s="130"/>
      <c r="R162" s="130"/>
      <c r="S162" s="130"/>
      <c r="T162" s="130"/>
      <c r="U162" s="130"/>
      <c r="V162" s="130"/>
      <c r="W162" s="130"/>
      <c r="X162" s="130"/>
      <c r="Y162" s="130"/>
      <c r="Z162" s="130"/>
    </row>
    <row r="163" spans="1:26" ht="12.75" customHeight="1" x14ac:dyDescent="0.2">
      <c r="A163" s="130"/>
      <c r="B163" s="130"/>
      <c r="C163" s="130"/>
      <c r="D163" s="130"/>
      <c r="E163" s="130"/>
      <c r="F163" s="188"/>
      <c r="G163" s="173"/>
      <c r="H163" s="173"/>
      <c r="I163" s="173"/>
      <c r="J163" s="130"/>
      <c r="K163" s="130"/>
      <c r="L163" s="130"/>
      <c r="M163" s="130"/>
      <c r="N163" s="130"/>
      <c r="O163" s="130"/>
      <c r="P163" s="130"/>
      <c r="Q163" s="130"/>
      <c r="R163" s="130"/>
      <c r="S163" s="130"/>
      <c r="T163" s="130"/>
      <c r="U163" s="130"/>
      <c r="V163" s="130"/>
      <c r="W163" s="130"/>
      <c r="X163" s="130"/>
      <c r="Y163" s="130"/>
      <c r="Z163" s="130"/>
    </row>
    <row r="164" spans="1:26" ht="12.75" customHeight="1" x14ac:dyDescent="0.2">
      <c r="A164" s="130"/>
      <c r="B164" s="130"/>
      <c r="C164" s="130"/>
      <c r="D164" s="130"/>
      <c r="E164" s="130"/>
      <c r="F164" s="188"/>
      <c r="G164" s="173"/>
      <c r="H164" s="173"/>
      <c r="I164" s="173"/>
      <c r="J164" s="130"/>
      <c r="K164" s="130"/>
      <c r="L164" s="130"/>
      <c r="M164" s="130"/>
      <c r="N164" s="130"/>
      <c r="O164" s="130"/>
      <c r="P164" s="130"/>
      <c r="Q164" s="130"/>
      <c r="R164" s="130"/>
      <c r="S164" s="130"/>
      <c r="T164" s="130"/>
      <c r="U164" s="130"/>
      <c r="V164" s="130"/>
      <c r="W164" s="130"/>
      <c r="X164" s="130"/>
      <c r="Y164" s="130"/>
      <c r="Z164" s="130"/>
    </row>
    <row r="165" spans="1:26" ht="12.75" customHeight="1" x14ac:dyDescent="0.2">
      <c r="A165" s="130"/>
      <c r="B165" s="130"/>
      <c r="C165" s="130"/>
      <c r="D165" s="130"/>
      <c r="E165" s="130"/>
      <c r="F165" s="188"/>
      <c r="G165" s="173"/>
      <c r="H165" s="173"/>
      <c r="I165" s="173"/>
      <c r="J165" s="130"/>
      <c r="K165" s="130"/>
      <c r="L165" s="130"/>
      <c r="M165" s="130"/>
      <c r="N165" s="130"/>
      <c r="O165" s="130"/>
      <c r="P165" s="130"/>
      <c r="Q165" s="130"/>
      <c r="R165" s="130"/>
      <c r="S165" s="130"/>
      <c r="T165" s="130"/>
      <c r="U165" s="130"/>
      <c r="V165" s="130"/>
      <c r="W165" s="130"/>
      <c r="X165" s="130"/>
      <c r="Y165" s="130"/>
      <c r="Z165" s="130"/>
    </row>
    <row r="166" spans="1:26" ht="12.75" customHeight="1" x14ac:dyDescent="0.2">
      <c r="A166" s="130"/>
      <c r="B166" s="130"/>
      <c r="C166" s="130"/>
      <c r="D166" s="130"/>
      <c r="E166" s="130"/>
      <c r="F166" s="188"/>
      <c r="G166" s="173"/>
      <c r="H166" s="173"/>
      <c r="I166" s="173"/>
      <c r="J166" s="130"/>
      <c r="K166" s="130"/>
      <c r="L166" s="130"/>
      <c r="M166" s="130"/>
      <c r="N166" s="130"/>
      <c r="O166" s="130"/>
      <c r="P166" s="130"/>
      <c r="Q166" s="130"/>
      <c r="R166" s="130"/>
      <c r="S166" s="130"/>
      <c r="T166" s="130"/>
      <c r="U166" s="130"/>
      <c r="V166" s="130"/>
      <c r="W166" s="130"/>
      <c r="X166" s="130"/>
      <c r="Y166" s="130"/>
      <c r="Z166" s="130"/>
    </row>
    <row r="167" spans="1:26" ht="12.75" customHeight="1" x14ac:dyDescent="0.2">
      <c r="A167" s="130"/>
      <c r="B167" s="130"/>
      <c r="C167" s="130"/>
      <c r="D167" s="130"/>
      <c r="E167" s="130"/>
      <c r="F167" s="188"/>
      <c r="G167" s="173"/>
      <c r="H167" s="173"/>
      <c r="I167" s="173"/>
      <c r="J167" s="130"/>
      <c r="K167" s="130"/>
      <c r="L167" s="130"/>
      <c r="M167" s="130"/>
      <c r="N167" s="130"/>
      <c r="O167" s="130"/>
      <c r="P167" s="130"/>
      <c r="Q167" s="130"/>
      <c r="R167" s="130"/>
      <c r="S167" s="130"/>
      <c r="T167" s="130"/>
      <c r="U167" s="130"/>
      <c r="V167" s="130"/>
      <c r="W167" s="130"/>
      <c r="X167" s="130"/>
      <c r="Y167" s="130"/>
      <c r="Z167" s="130"/>
    </row>
    <row r="168" spans="1:26" ht="12.75" customHeight="1" x14ac:dyDescent="0.2">
      <c r="A168" s="130"/>
      <c r="B168" s="130"/>
      <c r="C168" s="130"/>
      <c r="D168" s="130"/>
      <c r="E168" s="130"/>
      <c r="F168" s="188"/>
      <c r="G168" s="173"/>
      <c r="H168" s="173"/>
      <c r="I168" s="173"/>
      <c r="J168" s="130"/>
      <c r="K168" s="130"/>
      <c r="L168" s="130"/>
      <c r="M168" s="130"/>
      <c r="N168" s="130"/>
      <c r="O168" s="130"/>
      <c r="P168" s="130"/>
      <c r="Q168" s="130"/>
      <c r="R168" s="130"/>
      <c r="S168" s="130"/>
      <c r="T168" s="130"/>
      <c r="U168" s="130"/>
      <c r="V168" s="130"/>
      <c r="W168" s="130"/>
      <c r="X168" s="130"/>
      <c r="Y168" s="130"/>
      <c r="Z168" s="130"/>
    </row>
    <row r="169" spans="1:26" ht="12.75" customHeight="1" x14ac:dyDescent="0.2">
      <c r="A169" s="130"/>
      <c r="B169" s="130"/>
      <c r="C169" s="130"/>
      <c r="D169" s="130"/>
      <c r="E169" s="130"/>
      <c r="F169" s="188"/>
      <c r="G169" s="173"/>
      <c r="H169" s="173"/>
      <c r="I169" s="173"/>
      <c r="J169" s="130"/>
      <c r="K169" s="130"/>
      <c r="L169" s="130"/>
      <c r="M169" s="130"/>
      <c r="N169" s="130"/>
      <c r="O169" s="130"/>
      <c r="P169" s="130"/>
      <c r="Q169" s="130"/>
      <c r="R169" s="130"/>
      <c r="S169" s="130"/>
      <c r="T169" s="130"/>
      <c r="U169" s="130"/>
      <c r="V169" s="130"/>
      <c r="W169" s="130"/>
      <c r="X169" s="130"/>
      <c r="Y169" s="130"/>
      <c r="Z169" s="130"/>
    </row>
    <row r="170" spans="1:26" ht="12.75" customHeight="1" x14ac:dyDescent="0.2">
      <c r="A170" s="130"/>
      <c r="B170" s="130"/>
      <c r="C170" s="130"/>
      <c r="D170" s="130"/>
      <c r="E170" s="130"/>
      <c r="F170" s="188"/>
      <c r="G170" s="173"/>
      <c r="H170" s="173"/>
      <c r="I170" s="173"/>
      <c r="J170" s="130"/>
      <c r="K170" s="130"/>
      <c r="L170" s="130"/>
      <c r="M170" s="130"/>
      <c r="N170" s="130"/>
      <c r="O170" s="130"/>
      <c r="P170" s="130"/>
      <c r="Q170" s="130"/>
      <c r="R170" s="130"/>
      <c r="S170" s="130"/>
      <c r="T170" s="130"/>
      <c r="U170" s="130"/>
      <c r="V170" s="130"/>
      <c r="W170" s="130"/>
      <c r="X170" s="130"/>
      <c r="Y170" s="130"/>
      <c r="Z170" s="130"/>
    </row>
    <row r="171" spans="1:26" ht="12.75" customHeight="1" x14ac:dyDescent="0.2">
      <c r="A171" s="130"/>
      <c r="B171" s="130"/>
      <c r="C171" s="130"/>
      <c r="D171" s="130"/>
      <c r="E171" s="130"/>
      <c r="F171" s="188"/>
      <c r="G171" s="173"/>
      <c r="H171" s="173"/>
      <c r="I171" s="173"/>
      <c r="J171" s="130"/>
      <c r="K171" s="130"/>
      <c r="L171" s="130"/>
      <c r="M171" s="130"/>
      <c r="N171" s="130"/>
      <c r="O171" s="130"/>
      <c r="P171" s="130"/>
      <c r="Q171" s="130"/>
      <c r="R171" s="130"/>
      <c r="S171" s="130"/>
      <c r="T171" s="130"/>
      <c r="U171" s="130"/>
      <c r="V171" s="130"/>
      <c r="W171" s="130"/>
      <c r="X171" s="130"/>
      <c r="Y171" s="130"/>
      <c r="Z171" s="130"/>
    </row>
    <row r="172" spans="1:26" ht="12.75" customHeight="1" x14ac:dyDescent="0.2">
      <c r="A172" s="130"/>
      <c r="B172" s="130"/>
      <c r="C172" s="130"/>
      <c r="D172" s="130"/>
      <c r="E172" s="130"/>
      <c r="F172" s="188"/>
      <c r="G172" s="173"/>
      <c r="H172" s="173"/>
      <c r="I172" s="173"/>
      <c r="J172" s="130"/>
      <c r="K172" s="130"/>
      <c r="L172" s="130"/>
      <c r="M172" s="130"/>
      <c r="N172" s="130"/>
      <c r="O172" s="130"/>
      <c r="P172" s="130"/>
      <c r="Q172" s="130"/>
      <c r="R172" s="130"/>
      <c r="S172" s="130"/>
      <c r="T172" s="130"/>
      <c r="U172" s="130"/>
      <c r="V172" s="130"/>
      <c r="W172" s="130"/>
      <c r="X172" s="130"/>
      <c r="Y172" s="130"/>
      <c r="Z172" s="130"/>
    </row>
    <row r="173" spans="1:26" ht="12.75" customHeight="1" x14ac:dyDescent="0.2">
      <c r="A173" s="130"/>
      <c r="B173" s="130"/>
      <c r="C173" s="130"/>
      <c r="D173" s="130"/>
      <c r="E173" s="130"/>
      <c r="F173" s="188"/>
      <c r="G173" s="173"/>
      <c r="H173" s="173"/>
      <c r="I173" s="173"/>
      <c r="J173" s="130"/>
      <c r="K173" s="130"/>
      <c r="L173" s="130"/>
      <c r="M173" s="130"/>
      <c r="N173" s="130"/>
      <c r="O173" s="130"/>
      <c r="P173" s="130"/>
      <c r="Q173" s="130"/>
      <c r="R173" s="130"/>
      <c r="S173" s="130"/>
      <c r="T173" s="130"/>
      <c r="U173" s="130"/>
      <c r="V173" s="130"/>
      <c r="W173" s="130"/>
      <c r="X173" s="130"/>
      <c r="Y173" s="130"/>
      <c r="Z173" s="130"/>
    </row>
    <row r="174" spans="1:26" ht="12.75" customHeight="1" x14ac:dyDescent="0.2">
      <c r="A174" s="130"/>
      <c r="B174" s="130"/>
      <c r="C174" s="130"/>
      <c r="D174" s="130"/>
      <c r="E174" s="130"/>
      <c r="F174" s="188"/>
      <c r="G174" s="173"/>
      <c r="H174" s="173"/>
      <c r="I174" s="173"/>
      <c r="J174" s="130"/>
      <c r="K174" s="130"/>
      <c r="L174" s="130"/>
      <c r="M174" s="130"/>
      <c r="N174" s="130"/>
      <c r="O174" s="130"/>
      <c r="P174" s="130"/>
      <c r="Q174" s="130"/>
      <c r="R174" s="130"/>
      <c r="S174" s="130"/>
      <c r="T174" s="130"/>
      <c r="U174" s="130"/>
      <c r="V174" s="130"/>
      <c r="W174" s="130"/>
      <c r="X174" s="130"/>
      <c r="Y174" s="130"/>
      <c r="Z174" s="130"/>
    </row>
    <row r="175" spans="1:26" ht="12.75" customHeight="1" x14ac:dyDescent="0.2">
      <c r="A175" s="130"/>
      <c r="B175" s="130"/>
      <c r="C175" s="130"/>
      <c r="D175" s="130"/>
      <c r="E175" s="130"/>
      <c r="F175" s="188"/>
      <c r="G175" s="173"/>
      <c r="H175" s="173"/>
      <c r="I175" s="173"/>
      <c r="J175" s="130"/>
      <c r="K175" s="130"/>
      <c r="L175" s="130"/>
      <c r="M175" s="130"/>
      <c r="N175" s="130"/>
      <c r="O175" s="130"/>
      <c r="P175" s="130"/>
      <c r="Q175" s="130"/>
      <c r="R175" s="130"/>
      <c r="S175" s="130"/>
      <c r="T175" s="130"/>
      <c r="U175" s="130"/>
      <c r="V175" s="130"/>
      <c r="W175" s="130"/>
      <c r="X175" s="130"/>
      <c r="Y175" s="130"/>
      <c r="Z175" s="130"/>
    </row>
    <row r="176" spans="1:26" ht="12.75" customHeight="1" x14ac:dyDescent="0.2">
      <c r="A176" s="130"/>
      <c r="B176" s="130"/>
      <c r="C176" s="130"/>
      <c r="D176" s="130"/>
      <c r="E176" s="130"/>
      <c r="F176" s="188"/>
      <c r="G176" s="173"/>
      <c r="H176" s="173"/>
      <c r="I176" s="173"/>
      <c r="J176" s="130"/>
      <c r="K176" s="130"/>
      <c r="L176" s="130"/>
      <c r="M176" s="130"/>
      <c r="N176" s="130"/>
      <c r="O176" s="130"/>
      <c r="P176" s="130"/>
      <c r="Q176" s="130"/>
      <c r="R176" s="130"/>
      <c r="S176" s="130"/>
      <c r="T176" s="130"/>
      <c r="U176" s="130"/>
      <c r="V176" s="130"/>
      <c r="W176" s="130"/>
      <c r="X176" s="130"/>
      <c r="Y176" s="130"/>
      <c r="Z176" s="130"/>
    </row>
    <row r="177" spans="1:26" ht="12.75" customHeight="1" x14ac:dyDescent="0.2">
      <c r="A177" s="130"/>
      <c r="B177" s="130"/>
      <c r="C177" s="130"/>
      <c r="D177" s="130"/>
      <c r="E177" s="130"/>
      <c r="F177" s="188"/>
      <c r="G177" s="173"/>
      <c r="H177" s="173"/>
      <c r="I177" s="173"/>
      <c r="J177" s="130"/>
      <c r="K177" s="130"/>
      <c r="L177" s="130"/>
      <c r="M177" s="130"/>
      <c r="N177" s="130"/>
      <c r="O177" s="130"/>
      <c r="P177" s="130"/>
      <c r="Q177" s="130"/>
      <c r="R177" s="130"/>
      <c r="S177" s="130"/>
      <c r="T177" s="130"/>
      <c r="U177" s="130"/>
      <c r="V177" s="130"/>
      <c r="W177" s="130"/>
      <c r="X177" s="130"/>
      <c r="Y177" s="130"/>
      <c r="Z177" s="130"/>
    </row>
    <row r="178" spans="1:26" ht="12.75" customHeight="1" x14ac:dyDescent="0.2">
      <c r="A178" s="130"/>
      <c r="B178" s="130"/>
      <c r="C178" s="130"/>
      <c r="D178" s="130"/>
      <c r="E178" s="130"/>
      <c r="F178" s="188"/>
      <c r="G178" s="173"/>
      <c r="H178" s="173"/>
      <c r="I178" s="173"/>
      <c r="J178" s="130"/>
      <c r="K178" s="130"/>
      <c r="L178" s="130"/>
      <c r="M178" s="130"/>
      <c r="N178" s="130"/>
      <c r="O178" s="130"/>
      <c r="P178" s="130"/>
      <c r="Q178" s="130"/>
      <c r="R178" s="130"/>
      <c r="S178" s="130"/>
      <c r="T178" s="130"/>
      <c r="U178" s="130"/>
      <c r="V178" s="130"/>
      <c r="W178" s="130"/>
      <c r="X178" s="130"/>
      <c r="Y178" s="130"/>
      <c r="Z178" s="130"/>
    </row>
    <row r="179" spans="1:26" ht="12.75" customHeight="1" x14ac:dyDescent="0.2">
      <c r="A179" s="130"/>
      <c r="B179" s="130"/>
      <c r="C179" s="130"/>
      <c r="D179" s="130"/>
      <c r="E179" s="130"/>
      <c r="F179" s="188"/>
      <c r="G179" s="173"/>
      <c r="H179" s="173"/>
      <c r="I179" s="173"/>
      <c r="J179" s="130"/>
      <c r="K179" s="130"/>
      <c r="L179" s="130"/>
      <c r="M179" s="130"/>
      <c r="N179" s="130"/>
      <c r="O179" s="130"/>
      <c r="P179" s="130"/>
      <c r="Q179" s="130"/>
      <c r="R179" s="130"/>
      <c r="S179" s="130"/>
      <c r="T179" s="130"/>
      <c r="U179" s="130"/>
      <c r="V179" s="130"/>
      <c r="W179" s="130"/>
      <c r="X179" s="130"/>
      <c r="Y179" s="130"/>
      <c r="Z179" s="130"/>
    </row>
    <row r="180" spans="1:26" ht="12.75" customHeight="1" x14ac:dyDescent="0.2">
      <c r="A180" s="130"/>
      <c r="B180" s="130"/>
      <c r="C180" s="130"/>
      <c r="D180" s="130"/>
      <c r="E180" s="130"/>
      <c r="F180" s="188"/>
      <c r="G180" s="173"/>
      <c r="H180" s="173"/>
      <c r="I180" s="173"/>
      <c r="J180" s="130"/>
      <c r="K180" s="130"/>
      <c r="L180" s="130"/>
      <c r="M180" s="130"/>
      <c r="N180" s="130"/>
      <c r="O180" s="130"/>
      <c r="P180" s="130"/>
      <c r="Q180" s="130"/>
      <c r="R180" s="130"/>
      <c r="S180" s="130"/>
      <c r="T180" s="130"/>
      <c r="U180" s="130"/>
      <c r="V180" s="130"/>
      <c r="W180" s="130"/>
      <c r="X180" s="130"/>
      <c r="Y180" s="130"/>
      <c r="Z180" s="130"/>
    </row>
    <row r="181" spans="1:26" ht="12.75" customHeight="1" x14ac:dyDescent="0.2">
      <c r="A181" s="130"/>
      <c r="B181" s="130"/>
      <c r="C181" s="130"/>
      <c r="D181" s="130"/>
      <c r="E181" s="130"/>
      <c r="F181" s="188"/>
      <c r="G181" s="173"/>
      <c r="H181" s="173"/>
      <c r="I181" s="173"/>
      <c r="J181" s="130"/>
      <c r="K181" s="130"/>
      <c r="L181" s="130"/>
      <c r="M181" s="130"/>
      <c r="N181" s="130"/>
      <c r="O181" s="130"/>
      <c r="P181" s="130"/>
      <c r="Q181" s="130"/>
      <c r="R181" s="130"/>
      <c r="S181" s="130"/>
      <c r="T181" s="130"/>
      <c r="U181" s="130"/>
      <c r="V181" s="130"/>
      <c r="W181" s="130"/>
      <c r="X181" s="130"/>
      <c r="Y181" s="130"/>
      <c r="Z181" s="130"/>
    </row>
    <row r="182" spans="1:26" ht="12.75" customHeight="1" x14ac:dyDescent="0.2">
      <c r="A182" s="130"/>
      <c r="B182" s="130"/>
      <c r="C182" s="130"/>
      <c r="D182" s="130"/>
      <c r="E182" s="130"/>
      <c r="F182" s="188"/>
      <c r="G182" s="173"/>
      <c r="H182" s="173"/>
      <c r="I182" s="173"/>
      <c r="J182" s="130"/>
      <c r="K182" s="130"/>
      <c r="L182" s="130"/>
      <c r="M182" s="130"/>
      <c r="N182" s="130"/>
      <c r="O182" s="130"/>
      <c r="P182" s="130"/>
      <c r="Q182" s="130"/>
      <c r="R182" s="130"/>
      <c r="S182" s="130"/>
      <c r="T182" s="130"/>
      <c r="U182" s="130"/>
      <c r="V182" s="130"/>
      <c r="W182" s="130"/>
      <c r="X182" s="130"/>
      <c r="Y182" s="130"/>
      <c r="Z182" s="130"/>
    </row>
    <row r="183" spans="1:26" ht="12.75" customHeight="1" x14ac:dyDescent="0.2">
      <c r="A183" s="130"/>
      <c r="B183" s="130"/>
      <c r="C183" s="130"/>
      <c r="D183" s="130"/>
      <c r="E183" s="130"/>
      <c r="F183" s="188"/>
      <c r="G183" s="173"/>
      <c r="H183" s="173"/>
      <c r="I183" s="173"/>
      <c r="J183" s="130"/>
      <c r="K183" s="130"/>
      <c r="L183" s="130"/>
      <c r="M183" s="130"/>
      <c r="N183" s="130"/>
      <c r="O183" s="130"/>
      <c r="P183" s="130"/>
      <c r="Q183" s="130"/>
      <c r="R183" s="130"/>
      <c r="S183" s="130"/>
      <c r="T183" s="130"/>
      <c r="U183" s="130"/>
      <c r="V183" s="130"/>
      <c r="W183" s="130"/>
      <c r="X183" s="130"/>
      <c r="Y183" s="130"/>
      <c r="Z183" s="130"/>
    </row>
    <row r="184" spans="1:26" ht="12.75" customHeight="1" x14ac:dyDescent="0.2">
      <c r="A184" s="130"/>
      <c r="B184" s="130"/>
      <c r="C184" s="130"/>
      <c r="D184" s="130"/>
      <c r="E184" s="130"/>
      <c r="F184" s="188"/>
      <c r="G184" s="173"/>
      <c r="H184" s="173"/>
      <c r="I184" s="173"/>
      <c r="J184" s="130"/>
      <c r="K184" s="130"/>
      <c r="L184" s="130"/>
      <c r="M184" s="130"/>
      <c r="N184" s="130"/>
      <c r="O184" s="130"/>
      <c r="P184" s="130"/>
      <c r="Q184" s="130"/>
      <c r="R184" s="130"/>
      <c r="S184" s="130"/>
      <c r="T184" s="130"/>
      <c r="U184" s="130"/>
      <c r="V184" s="130"/>
      <c r="W184" s="130"/>
      <c r="X184" s="130"/>
      <c r="Y184" s="130"/>
      <c r="Z184" s="130"/>
    </row>
    <row r="185" spans="1:26" ht="12.75" customHeight="1" x14ac:dyDescent="0.2">
      <c r="A185" s="130"/>
      <c r="B185" s="130"/>
      <c r="C185" s="130"/>
      <c r="D185" s="130"/>
      <c r="E185" s="130"/>
      <c r="F185" s="188"/>
      <c r="G185" s="173"/>
      <c r="H185" s="173"/>
      <c r="I185" s="173"/>
      <c r="J185" s="130"/>
      <c r="K185" s="130"/>
      <c r="L185" s="130"/>
      <c r="M185" s="130"/>
      <c r="N185" s="130"/>
      <c r="O185" s="130"/>
      <c r="P185" s="130"/>
      <c r="Q185" s="130"/>
      <c r="R185" s="130"/>
      <c r="S185" s="130"/>
      <c r="T185" s="130"/>
      <c r="U185" s="130"/>
      <c r="V185" s="130"/>
      <c r="W185" s="130"/>
      <c r="X185" s="130"/>
      <c r="Y185" s="130"/>
      <c r="Z185" s="130"/>
    </row>
    <row r="186" spans="1:26" ht="12.75" customHeight="1" x14ac:dyDescent="0.2">
      <c r="A186" s="130"/>
      <c r="B186" s="130"/>
      <c r="C186" s="130"/>
      <c r="D186" s="130"/>
      <c r="E186" s="130"/>
      <c r="F186" s="188"/>
      <c r="G186" s="173"/>
      <c r="H186" s="173"/>
      <c r="I186" s="173"/>
      <c r="J186" s="130"/>
      <c r="K186" s="130"/>
      <c r="L186" s="130"/>
      <c r="M186" s="130"/>
      <c r="N186" s="130"/>
      <c r="O186" s="130"/>
      <c r="P186" s="130"/>
      <c r="Q186" s="130"/>
      <c r="R186" s="130"/>
      <c r="S186" s="130"/>
      <c r="T186" s="130"/>
      <c r="U186" s="130"/>
      <c r="V186" s="130"/>
      <c r="W186" s="130"/>
      <c r="X186" s="130"/>
      <c r="Y186" s="130"/>
      <c r="Z186" s="130"/>
    </row>
    <row r="187" spans="1:26" ht="12.75" customHeight="1" x14ac:dyDescent="0.2">
      <c r="A187" s="130"/>
      <c r="B187" s="130"/>
      <c r="C187" s="130"/>
      <c r="D187" s="130"/>
      <c r="E187" s="130"/>
      <c r="F187" s="188"/>
      <c r="G187" s="173"/>
      <c r="H187" s="173"/>
      <c r="I187" s="173"/>
      <c r="J187" s="130"/>
      <c r="K187" s="130"/>
      <c r="L187" s="130"/>
      <c r="M187" s="130"/>
      <c r="N187" s="130"/>
      <c r="O187" s="130"/>
      <c r="P187" s="130"/>
      <c r="Q187" s="130"/>
      <c r="R187" s="130"/>
      <c r="S187" s="130"/>
      <c r="T187" s="130"/>
      <c r="U187" s="130"/>
      <c r="V187" s="130"/>
      <c r="W187" s="130"/>
      <c r="X187" s="130"/>
      <c r="Y187" s="130"/>
      <c r="Z187" s="130"/>
    </row>
    <row r="188" spans="1:26" ht="12.75" customHeight="1" x14ac:dyDescent="0.2">
      <c r="A188" s="130"/>
      <c r="B188" s="130"/>
      <c r="C188" s="130"/>
      <c r="D188" s="130"/>
      <c r="E188" s="130"/>
      <c r="F188" s="188"/>
      <c r="G188" s="173"/>
      <c r="H188" s="173"/>
      <c r="I188" s="173"/>
      <c r="J188" s="130"/>
      <c r="K188" s="130"/>
      <c r="L188" s="130"/>
      <c r="M188" s="130"/>
      <c r="N188" s="130"/>
      <c r="O188" s="130"/>
      <c r="P188" s="130"/>
      <c r="Q188" s="130"/>
      <c r="R188" s="130"/>
      <c r="S188" s="130"/>
      <c r="T188" s="130"/>
      <c r="U188" s="130"/>
      <c r="V188" s="130"/>
      <c r="W188" s="130"/>
      <c r="X188" s="130"/>
      <c r="Y188" s="130"/>
      <c r="Z188" s="130"/>
    </row>
    <row r="189" spans="1:26" ht="12.75" customHeight="1" x14ac:dyDescent="0.2">
      <c r="A189" s="130"/>
      <c r="B189" s="130"/>
      <c r="C189" s="130"/>
      <c r="D189" s="130"/>
      <c r="E189" s="130"/>
      <c r="F189" s="188"/>
      <c r="G189" s="173"/>
      <c r="H189" s="173"/>
      <c r="I189" s="173"/>
      <c r="J189" s="130"/>
      <c r="K189" s="130"/>
      <c r="L189" s="130"/>
      <c r="M189" s="130"/>
      <c r="N189" s="130"/>
      <c r="O189" s="130"/>
      <c r="P189" s="130"/>
      <c r="Q189" s="130"/>
      <c r="R189" s="130"/>
      <c r="S189" s="130"/>
      <c r="T189" s="130"/>
      <c r="U189" s="130"/>
      <c r="V189" s="130"/>
      <c r="W189" s="130"/>
      <c r="X189" s="130"/>
      <c r="Y189" s="130"/>
      <c r="Z189" s="130"/>
    </row>
    <row r="190" spans="1:26" ht="12.75" customHeight="1" x14ac:dyDescent="0.2">
      <c r="A190" s="130"/>
      <c r="B190" s="130"/>
      <c r="C190" s="130"/>
      <c r="D190" s="130"/>
      <c r="E190" s="130"/>
      <c r="F190" s="188"/>
      <c r="G190" s="173"/>
      <c r="H190" s="173"/>
      <c r="I190" s="173"/>
      <c r="J190" s="130"/>
      <c r="K190" s="130"/>
      <c r="L190" s="130"/>
      <c r="M190" s="130"/>
      <c r="N190" s="130"/>
      <c r="O190" s="130"/>
      <c r="P190" s="130"/>
      <c r="Q190" s="130"/>
      <c r="R190" s="130"/>
      <c r="S190" s="130"/>
      <c r="T190" s="130"/>
      <c r="U190" s="130"/>
      <c r="V190" s="130"/>
      <c r="W190" s="130"/>
      <c r="X190" s="130"/>
      <c r="Y190" s="130"/>
      <c r="Z190" s="130"/>
    </row>
    <row r="191" spans="1:26" ht="12.75" customHeight="1" x14ac:dyDescent="0.2">
      <c r="A191" s="130"/>
      <c r="B191" s="130"/>
      <c r="C191" s="130"/>
      <c r="D191" s="130"/>
      <c r="E191" s="130"/>
      <c r="F191" s="188"/>
      <c r="G191" s="173"/>
      <c r="H191" s="173"/>
      <c r="I191" s="173"/>
      <c r="J191" s="130"/>
      <c r="K191" s="130"/>
      <c r="L191" s="130"/>
      <c r="M191" s="130"/>
      <c r="N191" s="130"/>
      <c r="O191" s="130"/>
      <c r="P191" s="130"/>
      <c r="Q191" s="130"/>
      <c r="R191" s="130"/>
      <c r="S191" s="130"/>
      <c r="T191" s="130"/>
      <c r="U191" s="130"/>
      <c r="V191" s="130"/>
      <c r="W191" s="130"/>
      <c r="X191" s="130"/>
      <c r="Y191" s="130"/>
      <c r="Z191" s="130"/>
    </row>
    <row r="192" spans="1:26" ht="12.75" customHeight="1" x14ac:dyDescent="0.2">
      <c r="A192" s="130"/>
      <c r="B192" s="130"/>
      <c r="C192" s="130"/>
      <c r="D192" s="130"/>
      <c r="E192" s="130"/>
      <c r="F192" s="188"/>
      <c r="G192" s="173"/>
      <c r="H192" s="173"/>
      <c r="I192" s="173"/>
      <c r="J192" s="130"/>
      <c r="K192" s="130"/>
      <c r="L192" s="130"/>
      <c r="M192" s="130"/>
      <c r="N192" s="130"/>
      <c r="O192" s="130"/>
      <c r="P192" s="130"/>
      <c r="Q192" s="130"/>
      <c r="R192" s="130"/>
      <c r="S192" s="130"/>
      <c r="T192" s="130"/>
      <c r="U192" s="130"/>
      <c r="V192" s="130"/>
      <c r="W192" s="130"/>
      <c r="X192" s="130"/>
      <c r="Y192" s="130"/>
      <c r="Z192" s="130"/>
    </row>
    <row r="193" spans="1:26" ht="12.75" customHeight="1" x14ac:dyDescent="0.2">
      <c r="A193" s="130"/>
      <c r="B193" s="130"/>
      <c r="C193" s="130"/>
      <c r="D193" s="130"/>
      <c r="E193" s="130"/>
      <c r="F193" s="188"/>
      <c r="G193" s="173"/>
      <c r="H193" s="173"/>
      <c r="I193" s="173"/>
      <c r="J193" s="130"/>
      <c r="K193" s="130"/>
      <c r="L193" s="130"/>
      <c r="M193" s="130"/>
      <c r="N193" s="130"/>
      <c r="O193" s="130"/>
      <c r="P193" s="130"/>
      <c r="Q193" s="130"/>
      <c r="R193" s="130"/>
      <c r="S193" s="130"/>
      <c r="T193" s="130"/>
      <c r="U193" s="130"/>
      <c r="V193" s="130"/>
      <c r="W193" s="130"/>
      <c r="X193" s="130"/>
      <c r="Y193" s="130"/>
      <c r="Z193" s="130"/>
    </row>
    <row r="194" spans="1:26" ht="12.75" customHeight="1" x14ac:dyDescent="0.2">
      <c r="A194" s="130"/>
      <c r="B194" s="130"/>
      <c r="C194" s="130"/>
      <c r="D194" s="130"/>
      <c r="E194" s="130"/>
      <c r="F194" s="188"/>
      <c r="G194" s="173"/>
      <c r="H194" s="173"/>
      <c r="I194" s="173"/>
      <c r="J194" s="130"/>
      <c r="K194" s="130"/>
      <c r="L194" s="130"/>
      <c r="M194" s="130"/>
      <c r="N194" s="130"/>
      <c r="O194" s="130"/>
      <c r="P194" s="130"/>
      <c r="Q194" s="130"/>
      <c r="R194" s="130"/>
      <c r="S194" s="130"/>
      <c r="T194" s="130"/>
      <c r="U194" s="130"/>
      <c r="V194" s="130"/>
      <c r="W194" s="130"/>
      <c r="X194" s="130"/>
      <c r="Y194" s="130"/>
      <c r="Z194" s="130"/>
    </row>
    <row r="195" spans="1:26" ht="12.75" customHeight="1" x14ac:dyDescent="0.2">
      <c r="A195" s="130"/>
      <c r="B195" s="130"/>
      <c r="C195" s="130"/>
      <c r="D195" s="130"/>
      <c r="E195" s="130"/>
      <c r="F195" s="188"/>
      <c r="G195" s="173"/>
      <c r="H195" s="173"/>
      <c r="I195" s="173"/>
      <c r="J195" s="130"/>
      <c r="K195" s="130"/>
      <c r="L195" s="130"/>
      <c r="M195" s="130"/>
      <c r="N195" s="130"/>
      <c r="O195" s="130"/>
      <c r="P195" s="130"/>
      <c r="Q195" s="130"/>
      <c r="R195" s="130"/>
      <c r="S195" s="130"/>
      <c r="T195" s="130"/>
      <c r="U195" s="130"/>
      <c r="V195" s="130"/>
      <c r="W195" s="130"/>
      <c r="X195" s="130"/>
      <c r="Y195" s="130"/>
      <c r="Z195" s="130"/>
    </row>
    <row r="196" spans="1:26" ht="12.75" customHeight="1" x14ac:dyDescent="0.2">
      <c r="A196" s="130"/>
      <c r="B196" s="130"/>
      <c r="C196" s="130"/>
      <c r="D196" s="130"/>
      <c r="E196" s="130"/>
      <c r="F196" s="188"/>
      <c r="G196" s="173"/>
      <c r="H196" s="173"/>
      <c r="I196" s="173"/>
      <c r="J196" s="130"/>
      <c r="K196" s="130"/>
      <c r="L196" s="130"/>
      <c r="M196" s="130"/>
      <c r="N196" s="130"/>
      <c r="O196" s="130"/>
      <c r="P196" s="130"/>
      <c r="Q196" s="130"/>
      <c r="R196" s="130"/>
      <c r="S196" s="130"/>
      <c r="T196" s="130"/>
      <c r="U196" s="130"/>
      <c r="V196" s="130"/>
      <c r="W196" s="130"/>
      <c r="X196" s="130"/>
      <c r="Y196" s="130"/>
      <c r="Z196" s="130"/>
    </row>
    <row r="197" spans="1:26" ht="12.75" customHeight="1" x14ac:dyDescent="0.2">
      <c r="A197" s="130"/>
      <c r="B197" s="130"/>
      <c r="C197" s="130"/>
      <c r="D197" s="130"/>
      <c r="E197" s="130"/>
      <c r="F197" s="188"/>
      <c r="G197" s="173"/>
      <c r="H197" s="173"/>
      <c r="I197" s="173"/>
      <c r="J197" s="130"/>
      <c r="K197" s="130"/>
      <c r="L197" s="130"/>
      <c r="M197" s="130"/>
      <c r="N197" s="130"/>
      <c r="O197" s="130"/>
      <c r="P197" s="130"/>
      <c r="Q197" s="130"/>
      <c r="R197" s="130"/>
      <c r="S197" s="130"/>
      <c r="T197" s="130"/>
      <c r="U197" s="130"/>
      <c r="V197" s="130"/>
      <c r="W197" s="130"/>
      <c r="X197" s="130"/>
      <c r="Y197" s="130"/>
      <c r="Z197" s="130"/>
    </row>
    <row r="198" spans="1:26" ht="12.75" customHeight="1" x14ac:dyDescent="0.2">
      <c r="A198" s="130"/>
      <c r="B198" s="130"/>
      <c r="C198" s="130"/>
      <c r="D198" s="130"/>
      <c r="E198" s="130"/>
      <c r="F198" s="188"/>
      <c r="G198" s="173"/>
      <c r="H198" s="173"/>
      <c r="I198" s="173"/>
      <c r="J198" s="130"/>
      <c r="K198" s="130"/>
      <c r="L198" s="130"/>
      <c r="M198" s="130"/>
      <c r="N198" s="130"/>
      <c r="O198" s="130"/>
      <c r="P198" s="130"/>
      <c r="Q198" s="130"/>
      <c r="R198" s="130"/>
      <c r="S198" s="130"/>
      <c r="T198" s="130"/>
      <c r="U198" s="130"/>
      <c r="V198" s="130"/>
      <c r="W198" s="130"/>
      <c r="X198" s="130"/>
      <c r="Y198" s="130"/>
      <c r="Z198" s="130"/>
    </row>
    <row r="199" spans="1:26" ht="12.75" customHeight="1" x14ac:dyDescent="0.2">
      <c r="A199" s="130"/>
      <c r="B199" s="130"/>
      <c r="C199" s="130"/>
      <c r="D199" s="130"/>
      <c r="E199" s="130"/>
      <c r="F199" s="188"/>
      <c r="G199" s="173"/>
      <c r="H199" s="173"/>
      <c r="I199" s="173"/>
      <c r="J199" s="130"/>
      <c r="K199" s="130"/>
      <c r="L199" s="130"/>
      <c r="M199" s="130"/>
      <c r="N199" s="130"/>
      <c r="O199" s="130"/>
      <c r="P199" s="130"/>
      <c r="Q199" s="130"/>
      <c r="R199" s="130"/>
      <c r="S199" s="130"/>
      <c r="T199" s="130"/>
      <c r="U199" s="130"/>
      <c r="V199" s="130"/>
      <c r="W199" s="130"/>
      <c r="X199" s="130"/>
      <c r="Y199" s="130"/>
      <c r="Z199" s="130"/>
    </row>
    <row r="200" spans="1:26" ht="12.75" customHeight="1" x14ac:dyDescent="0.2">
      <c r="A200" s="130"/>
      <c r="B200" s="130"/>
      <c r="C200" s="130"/>
      <c r="D200" s="130"/>
      <c r="E200" s="130"/>
      <c r="F200" s="188"/>
      <c r="G200" s="173"/>
      <c r="H200" s="173"/>
      <c r="I200" s="173"/>
      <c r="J200" s="130"/>
      <c r="K200" s="130"/>
      <c r="L200" s="130"/>
      <c r="M200" s="130"/>
      <c r="N200" s="130"/>
      <c r="O200" s="130"/>
      <c r="P200" s="130"/>
      <c r="Q200" s="130"/>
      <c r="R200" s="130"/>
      <c r="S200" s="130"/>
      <c r="T200" s="130"/>
      <c r="U200" s="130"/>
      <c r="V200" s="130"/>
      <c r="W200" s="130"/>
      <c r="X200" s="130"/>
      <c r="Y200" s="130"/>
      <c r="Z200" s="130"/>
    </row>
    <row r="201" spans="1:26" ht="12.75" customHeight="1" x14ac:dyDescent="0.2">
      <c r="A201" s="130"/>
      <c r="B201" s="130"/>
      <c r="C201" s="130"/>
      <c r="D201" s="130"/>
      <c r="E201" s="130"/>
      <c r="F201" s="188"/>
      <c r="G201" s="173"/>
      <c r="H201" s="173"/>
      <c r="I201" s="173"/>
      <c r="J201" s="130"/>
      <c r="K201" s="130"/>
      <c r="L201" s="130"/>
      <c r="M201" s="130"/>
      <c r="N201" s="130"/>
      <c r="O201" s="130"/>
      <c r="P201" s="130"/>
      <c r="Q201" s="130"/>
      <c r="R201" s="130"/>
      <c r="S201" s="130"/>
      <c r="T201" s="130"/>
      <c r="U201" s="130"/>
      <c r="V201" s="130"/>
      <c r="W201" s="130"/>
      <c r="X201" s="130"/>
      <c r="Y201" s="130"/>
      <c r="Z201" s="130"/>
    </row>
    <row r="202" spans="1:26" ht="12.75" customHeight="1" x14ac:dyDescent="0.2">
      <c r="A202" s="130"/>
      <c r="B202" s="130"/>
      <c r="C202" s="130"/>
      <c r="D202" s="130"/>
      <c r="E202" s="130"/>
      <c r="F202" s="188"/>
      <c r="G202" s="173"/>
      <c r="H202" s="173"/>
      <c r="I202" s="173"/>
      <c r="J202" s="130"/>
      <c r="K202" s="130"/>
      <c r="L202" s="130"/>
      <c r="M202" s="130"/>
      <c r="N202" s="130"/>
      <c r="O202" s="130"/>
      <c r="P202" s="130"/>
      <c r="Q202" s="130"/>
      <c r="R202" s="130"/>
      <c r="S202" s="130"/>
      <c r="T202" s="130"/>
      <c r="U202" s="130"/>
      <c r="V202" s="130"/>
      <c r="W202" s="130"/>
      <c r="X202" s="130"/>
      <c r="Y202" s="130"/>
      <c r="Z202" s="130"/>
    </row>
    <row r="203" spans="1:26" ht="12.75" customHeight="1" x14ac:dyDescent="0.2">
      <c r="A203" s="130"/>
      <c r="B203" s="130"/>
      <c r="C203" s="130"/>
      <c r="D203" s="130"/>
      <c r="E203" s="130"/>
      <c r="F203" s="188"/>
      <c r="G203" s="173"/>
      <c r="H203" s="173"/>
      <c r="I203" s="173"/>
      <c r="J203" s="130"/>
      <c r="K203" s="130"/>
      <c r="L203" s="130"/>
      <c r="M203" s="130"/>
      <c r="N203" s="130"/>
      <c r="O203" s="130"/>
      <c r="P203" s="130"/>
      <c r="Q203" s="130"/>
      <c r="R203" s="130"/>
      <c r="S203" s="130"/>
      <c r="T203" s="130"/>
      <c r="U203" s="130"/>
      <c r="V203" s="130"/>
      <c r="W203" s="130"/>
      <c r="X203" s="130"/>
      <c r="Y203" s="130"/>
      <c r="Z203" s="130"/>
    </row>
    <row r="204" spans="1:26" ht="12.75" customHeight="1" x14ac:dyDescent="0.2">
      <c r="A204" s="130"/>
      <c r="B204" s="130"/>
      <c r="C204" s="130"/>
      <c r="D204" s="130"/>
      <c r="E204" s="130"/>
      <c r="F204" s="188"/>
      <c r="G204" s="173"/>
      <c r="H204" s="173"/>
      <c r="I204" s="173"/>
      <c r="J204" s="130"/>
      <c r="K204" s="130"/>
      <c r="L204" s="130"/>
      <c r="M204" s="130"/>
      <c r="N204" s="130"/>
      <c r="O204" s="130"/>
      <c r="P204" s="130"/>
      <c r="Q204" s="130"/>
      <c r="R204" s="130"/>
      <c r="S204" s="130"/>
      <c r="T204" s="130"/>
      <c r="U204" s="130"/>
      <c r="V204" s="130"/>
      <c r="W204" s="130"/>
      <c r="X204" s="130"/>
      <c r="Y204" s="130"/>
      <c r="Z204" s="130"/>
    </row>
    <row r="205" spans="1:26" ht="12.75" customHeight="1" x14ac:dyDescent="0.2">
      <c r="A205" s="130"/>
      <c r="B205" s="130"/>
      <c r="C205" s="130"/>
      <c r="D205" s="130"/>
      <c r="E205" s="130"/>
      <c r="F205" s="188"/>
      <c r="G205" s="173"/>
      <c r="H205" s="173"/>
      <c r="I205" s="173"/>
      <c r="J205" s="130"/>
      <c r="K205" s="130"/>
      <c r="L205" s="130"/>
      <c r="M205" s="130"/>
      <c r="N205" s="130"/>
      <c r="O205" s="130"/>
      <c r="P205" s="130"/>
      <c r="Q205" s="130"/>
      <c r="R205" s="130"/>
      <c r="S205" s="130"/>
      <c r="T205" s="130"/>
      <c r="U205" s="130"/>
      <c r="V205" s="130"/>
      <c r="W205" s="130"/>
      <c r="X205" s="130"/>
      <c r="Y205" s="130"/>
      <c r="Z205" s="130"/>
    </row>
    <row r="206" spans="1:26" ht="12.75" customHeight="1" x14ac:dyDescent="0.2">
      <c r="A206" s="130"/>
      <c r="B206" s="130"/>
      <c r="C206" s="130"/>
      <c r="D206" s="130"/>
      <c r="E206" s="130"/>
      <c r="F206" s="188"/>
      <c r="G206" s="173"/>
      <c r="H206" s="173"/>
      <c r="I206" s="173"/>
      <c r="J206" s="130"/>
      <c r="K206" s="130"/>
      <c r="L206" s="130"/>
      <c r="M206" s="130"/>
      <c r="N206" s="130"/>
      <c r="O206" s="130"/>
      <c r="P206" s="130"/>
      <c r="Q206" s="130"/>
      <c r="R206" s="130"/>
      <c r="S206" s="130"/>
      <c r="T206" s="130"/>
      <c r="U206" s="130"/>
      <c r="V206" s="130"/>
      <c r="W206" s="130"/>
      <c r="X206" s="130"/>
      <c r="Y206" s="130"/>
      <c r="Z206" s="130"/>
    </row>
    <row r="207" spans="1:26" ht="12.75" customHeight="1" x14ac:dyDescent="0.2">
      <c r="A207" s="130"/>
      <c r="B207" s="130"/>
      <c r="C207" s="130"/>
      <c r="D207" s="130"/>
      <c r="E207" s="130"/>
      <c r="F207" s="188"/>
      <c r="G207" s="173"/>
      <c r="H207" s="173"/>
      <c r="I207" s="173"/>
      <c r="J207" s="130"/>
      <c r="K207" s="130"/>
      <c r="L207" s="130"/>
      <c r="M207" s="130"/>
      <c r="N207" s="130"/>
      <c r="O207" s="130"/>
      <c r="P207" s="130"/>
      <c r="Q207" s="130"/>
      <c r="R207" s="130"/>
      <c r="S207" s="130"/>
      <c r="T207" s="130"/>
      <c r="U207" s="130"/>
      <c r="V207" s="130"/>
      <c r="W207" s="130"/>
      <c r="X207" s="130"/>
      <c r="Y207" s="130"/>
      <c r="Z207" s="130"/>
    </row>
    <row r="208" spans="1:26" ht="12.75" customHeight="1" x14ac:dyDescent="0.2">
      <c r="A208" s="130"/>
      <c r="B208" s="130"/>
      <c r="C208" s="130"/>
      <c r="D208" s="130"/>
      <c r="E208" s="130"/>
      <c r="F208" s="188"/>
      <c r="G208" s="173"/>
      <c r="H208" s="173"/>
      <c r="I208" s="173"/>
      <c r="J208" s="130"/>
      <c r="K208" s="130"/>
      <c r="L208" s="130"/>
      <c r="M208" s="130"/>
      <c r="N208" s="130"/>
      <c r="O208" s="130"/>
      <c r="P208" s="130"/>
      <c r="Q208" s="130"/>
      <c r="R208" s="130"/>
      <c r="S208" s="130"/>
      <c r="T208" s="130"/>
      <c r="U208" s="130"/>
      <c r="V208" s="130"/>
      <c r="W208" s="130"/>
      <c r="X208" s="130"/>
      <c r="Y208" s="130"/>
      <c r="Z208" s="130"/>
    </row>
    <row r="209" spans="1:26" ht="12.75" customHeight="1" x14ac:dyDescent="0.2">
      <c r="A209" s="130"/>
      <c r="B209" s="130"/>
      <c r="C209" s="130"/>
      <c r="D209" s="130"/>
      <c r="E209" s="130"/>
      <c r="F209" s="188"/>
      <c r="G209" s="173"/>
      <c r="H209" s="173"/>
      <c r="I209" s="173"/>
      <c r="J209" s="130"/>
      <c r="K209" s="130"/>
      <c r="L209" s="130"/>
      <c r="M209" s="130"/>
      <c r="N209" s="130"/>
      <c r="O209" s="130"/>
      <c r="P209" s="130"/>
      <c r="Q209" s="130"/>
      <c r="R209" s="130"/>
      <c r="S209" s="130"/>
      <c r="T209" s="130"/>
      <c r="U209" s="130"/>
      <c r="V209" s="130"/>
      <c r="W209" s="130"/>
      <c r="X209" s="130"/>
      <c r="Y209" s="130"/>
      <c r="Z209" s="130"/>
    </row>
    <row r="210" spans="1:26" ht="12.75" customHeight="1" x14ac:dyDescent="0.2">
      <c r="A210" s="130"/>
      <c r="B210" s="130"/>
      <c r="C210" s="130"/>
      <c r="D210" s="130"/>
      <c r="E210" s="130"/>
      <c r="F210" s="188"/>
      <c r="G210" s="173"/>
      <c r="H210" s="173"/>
      <c r="I210" s="173"/>
      <c r="J210" s="130"/>
      <c r="K210" s="130"/>
      <c r="L210" s="130"/>
      <c r="M210" s="130"/>
      <c r="N210" s="130"/>
      <c r="O210" s="130"/>
      <c r="P210" s="130"/>
      <c r="Q210" s="130"/>
      <c r="R210" s="130"/>
      <c r="S210" s="130"/>
      <c r="T210" s="130"/>
      <c r="U210" s="130"/>
      <c r="V210" s="130"/>
      <c r="W210" s="130"/>
      <c r="X210" s="130"/>
      <c r="Y210" s="130"/>
      <c r="Z210" s="130"/>
    </row>
    <row r="211" spans="1:26" ht="12.75" customHeight="1" x14ac:dyDescent="0.2">
      <c r="A211" s="130"/>
      <c r="B211" s="130"/>
      <c r="C211" s="130"/>
      <c r="D211" s="130"/>
      <c r="E211" s="130"/>
      <c r="F211" s="188"/>
      <c r="G211" s="173"/>
      <c r="H211" s="173"/>
      <c r="I211" s="173"/>
      <c r="J211" s="130"/>
      <c r="K211" s="130"/>
      <c r="L211" s="130"/>
      <c r="M211" s="130"/>
      <c r="N211" s="130"/>
      <c r="O211" s="130"/>
      <c r="P211" s="130"/>
      <c r="Q211" s="130"/>
      <c r="R211" s="130"/>
      <c r="S211" s="130"/>
      <c r="T211" s="130"/>
      <c r="U211" s="130"/>
      <c r="V211" s="130"/>
      <c r="W211" s="130"/>
      <c r="X211" s="130"/>
      <c r="Y211" s="130"/>
      <c r="Z211" s="130"/>
    </row>
    <row r="212" spans="1:26" ht="12.75" customHeight="1" x14ac:dyDescent="0.2">
      <c r="A212" s="130"/>
      <c r="B212" s="130"/>
      <c r="C212" s="130"/>
      <c r="D212" s="130"/>
      <c r="E212" s="130"/>
      <c r="F212" s="188"/>
      <c r="G212" s="173"/>
      <c r="H212" s="173"/>
      <c r="I212" s="173"/>
      <c r="J212" s="130"/>
      <c r="K212" s="130"/>
      <c r="L212" s="130"/>
      <c r="M212" s="130"/>
      <c r="N212" s="130"/>
      <c r="O212" s="130"/>
      <c r="P212" s="130"/>
      <c r="Q212" s="130"/>
      <c r="R212" s="130"/>
      <c r="S212" s="130"/>
      <c r="T212" s="130"/>
      <c r="U212" s="130"/>
      <c r="V212" s="130"/>
      <c r="W212" s="130"/>
      <c r="X212" s="130"/>
      <c r="Y212" s="130"/>
      <c r="Z212" s="130"/>
    </row>
    <row r="213" spans="1:26" ht="12.75" customHeight="1" x14ac:dyDescent="0.2">
      <c r="A213" s="130"/>
      <c r="B213" s="130"/>
      <c r="C213" s="130"/>
      <c r="D213" s="130"/>
      <c r="E213" s="130"/>
      <c r="F213" s="188"/>
      <c r="G213" s="173"/>
      <c r="H213" s="173"/>
      <c r="I213" s="173"/>
      <c r="J213" s="130"/>
      <c r="K213" s="130"/>
      <c r="L213" s="130"/>
      <c r="M213" s="130"/>
      <c r="N213" s="130"/>
      <c r="O213" s="130"/>
      <c r="P213" s="130"/>
      <c r="Q213" s="130"/>
      <c r="R213" s="130"/>
      <c r="S213" s="130"/>
      <c r="T213" s="130"/>
      <c r="U213" s="130"/>
      <c r="V213" s="130"/>
      <c r="W213" s="130"/>
      <c r="X213" s="130"/>
      <c r="Y213" s="130"/>
      <c r="Z213" s="130"/>
    </row>
    <row r="214" spans="1:26" ht="12.75" customHeight="1" x14ac:dyDescent="0.2">
      <c r="A214" s="130"/>
      <c r="B214" s="130"/>
      <c r="C214" s="130"/>
      <c r="D214" s="130"/>
      <c r="E214" s="130"/>
      <c r="F214" s="188"/>
      <c r="G214" s="173"/>
      <c r="H214" s="173"/>
      <c r="I214" s="173"/>
      <c r="J214" s="130"/>
      <c r="K214" s="130"/>
      <c r="L214" s="130"/>
      <c r="M214" s="130"/>
      <c r="N214" s="130"/>
      <c r="O214" s="130"/>
      <c r="P214" s="130"/>
      <c r="Q214" s="130"/>
      <c r="R214" s="130"/>
      <c r="S214" s="130"/>
      <c r="T214" s="130"/>
      <c r="U214" s="130"/>
      <c r="V214" s="130"/>
      <c r="W214" s="130"/>
      <c r="X214" s="130"/>
      <c r="Y214" s="130"/>
      <c r="Z214" s="130"/>
    </row>
    <row r="215" spans="1:26" ht="12.75" customHeight="1" x14ac:dyDescent="0.2">
      <c r="A215" s="130"/>
      <c r="B215" s="130"/>
      <c r="C215" s="130"/>
      <c r="D215" s="130"/>
      <c r="E215" s="130"/>
      <c r="F215" s="188"/>
      <c r="G215" s="173"/>
      <c r="H215" s="173"/>
      <c r="I215" s="173"/>
      <c r="J215" s="130"/>
      <c r="K215" s="130"/>
      <c r="L215" s="130"/>
      <c r="M215" s="130"/>
      <c r="N215" s="130"/>
      <c r="O215" s="130"/>
      <c r="P215" s="130"/>
      <c r="Q215" s="130"/>
      <c r="R215" s="130"/>
      <c r="S215" s="130"/>
      <c r="T215" s="130"/>
      <c r="U215" s="130"/>
      <c r="V215" s="130"/>
      <c r="W215" s="130"/>
      <c r="X215" s="130"/>
      <c r="Y215" s="130"/>
      <c r="Z215" s="130"/>
    </row>
    <row r="216" spans="1:26" ht="12.75" customHeight="1" x14ac:dyDescent="0.2">
      <c r="A216" s="130"/>
      <c r="B216" s="130"/>
      <c r="C216" s="130"/>
      <c r="D216" s="130"/>
      <c r="E216" s="130"/>
      <c r="F216" s="188"/>
      <c r="G216" s="173"/>
      <c r="H216" s="173"/>
      <c r="I216" s="173"/>
      <c r="J216" s="130"/>
      <c r="K216" s="130"/>
      <c r="L216" s="130"/>
      <c r="M216" s="130"/>
      <c r="N216" s="130"/>
      <c r="O216" s="130"/>
      <c r="P216" s="130"/>
      <c r="Q216" s="130"/>
      <c r="R216" s="130"/>
      <c r="S216" s="130"/>
      <c r="T216" s="130"/>
      <c r="U216" s="130"/>
      <c r="V216" s="130"/>
      <c r="W216" s="130"/>
      <c r="X216" s="130"/>
      <c r="Y216" s="130"/>
      <c r="Z216" s="130"/>
    </row>
    <row r="217" spans="1:26" ht="12.75" customHeight="1" x14ac:dyDescent="0.2">
      <c r="A217" s="130"/>
      <c r="B217" s="130"/>
      <c r="C217" s="130"/>
      <c r="D217" s="130"/>
      <c r="E217" s="130"/>
      <c r="F217" s="188"/>
      <c r="G217" s="173"/>
      <c r="H217" s="173"/>
      <c r="I217" s="173"/>
      <c r="J217" s="130"/>
      <c r="K217" s="130"/>
      <c r="L217" s="130"/>
      <c r="M217" s="130"/>
      <c r="N217" s="130"/>
      <c r="O217" s="130"/>
      <c r="P217" s="130"/>
      <c r="Q217" s="130"/>
      <c r="R217" s="130"/>
      <c r="S217" s="130"/>
      <c r="T217" s="130"/>
      <c r="U217" s="130"/>
      <c r="V217" s="130"/>
      <c r="W217" s="130"/>
      <c r="X217" s="130"/>
      <c r="Y217" s="130"/>
      <c r="Z217" s="130"/>
    </row>
    <row r="218" spans="1:26" ht="12.75" customHeight="1" x14ac:dyDescent="0.2">
      <c r="A218" s="130"/>
      <c r="B218" s="130"/>
      <c r="C218" s="130"/>
      <c r="D218" s="130"/>
      <c r="E218" s="130"/>
      <c r="F218" s="188"/>
      <c r="G218" s="173"/>
      <c r="H218" s="173"/>
      <c r="I218" s="173"/>
      <c r="J218" s="130"/>
      <c r="K218" s="130"/>
      <c r="L218" s="130"/>
      <c r="M218" s="130"/>
      <c r="N218" s="130"/>
      <c r="O218" s="130"/>
      <c r="P218" s="130"/>
      <c r="Q218" s="130"/>
      <c r="R218" s="130"/>
      <c r="S218" s="130"/>
      <c r="T218" s="130"/>
      <c r="U218" s="130"/>
      <c r="V218" s="130"/>
      <c r="W218" s="130"/>
      <c r="X218" s="130"/>
      <c r="Y218" s="130"/>
      <c r="Z218" s="130"/>
    </row>
    <row r="219" spans="1:26" ht="12.75" customHeight="1" x14ac:dyDescent="0.2">
      <c r="A219" s="130"/>
      <c r="B219" s="130"/>
      <c r="C219" s="130"/>
      <c r="D219" s="130"/>
      <c r="E219" s="130"/>
      <c r="F219" s="188"/>
      <c r="G219" s="173"/>
      <c r="H219" s="173"/>
      <c r="I219" s="173"/>
      <c r="J219" s="130"/>
      <c r="K219" s="130"/>
      <c r="L219" s="130"/>
      <c r="M219" s="130"/>
      <c r="N219" s="130"/>
      <c r="O219" s="130"/>
      <c r="P219" s="130"/>
      <c r="Q219" s="130"/>
      <c r="R219" s="130"/>
      <c r="S219" s="130"/>
      <c r="T219" s="130"/>
      <c r="U219" s="130"/>
      <c r="V219" s="130"/>
      <c r="W219" s="130"/>
      <c r="X219" s="130"/>
      <c r="Y219" s="130"/>
      <c r="Z219" s="130"/>
    </row>
    <row r="220" spans="1:26" ht="12.75" customHeight="1" x14ac:dyDescent="0.2">
      <c r="A220" s="130"/>
      <c r="B220" s="130"/>
      <c r="C220" s="130"/>
      <c r="D220" s="130"/>
      <c r="E220" s="130"/>
      <c r="F220" s="188"/>
      <c r="G220" s="173"/>
      <c r="H220" s="173"/>
      <c r="I220" s="173"/>
      <c r="J220" s="130"/>
      <c r="K220" s="130"/>
      <c r="L220" s="130"/>
      <c r="M220" s="130"/>
      <c r="N220" s="130"/>
      <c r="O220" s="130"/>
      <c r="P220" s="130"/>
      <c r="Q220" s="130"/>
      <c r="R220" s="130"/>
      <c r="S220" s="130"/>
      <c r="T220" s="130"/>
      <c r="U220" s="130"/>
      <c r="V220" s="130"/>
      <c r="W220" s="130"/>
      <c r="X220" s="130"/>
      <c r="Y220" s="130"/>
      <c r="Z220" s="130"/>
    </row>
    <row r="221" spans="1:26" ht="12.75" customHeight="1" x14ac:dyDescent="0.2">
      <c r="A221" s="130"/>
      <c r="B221" s="130"/>
      <c r="C221" s="130"/>
      <c r="D221" s="130"/>
      <c r="E221" s="130"/>
      <c r="F221" s="188"/>
      <c r="G221" s="173"/>
      <c r="H221" s="173"/>
      <c r="I221" s="173"/>
      <c r="J221" s="130"/>
      <c r="K221" s="130"/>
      <c r="L221" s="130"/>
      <c r="M221" s="130"/>
      <c r="N221" s="130"/>
      <c r="O221" s="130"/>
      <c r="P221" s="130"/>
      <c r="Q221" s="130"/>
      <c r="R221" s="130"/>
      <c r="S221" s="130"/>
      <c r="T221" s="130"/>
      <c r="U221" s="130"/>
      <c r="V221" s="130"/>
      <c r="W221" s="130"/>
      <c r="X221" s="130"/>
      <c r="Y221" s="130"/>
      <c r="Z221" s="130"/>
    </row>
    <row r="222" spans="1:26" ht="12.75" customHeight="1" x14ac:dyDescent="0.2">
      <c r="A222" s="130"/>
      <c r="B222" s="130"/>
      <c r="C222" s="130"/>
      <c r="D222" s="130"/>
      <c r="E222" s="130"/>
      <c r="F222" s="188"/>
      <c r="G222" s="173"/>
      <c r="H222" s="173"/>
      <c r="I222" s="173"/>
      <c r="J222" s="130"/>
      <c r="K222" s="130"/>
      <c r="L222" s="130"/>
      <c r="M222" s="130"/>
      <c r="N222" s="130"/>
      <c r="O222" s="130"/>
      <c r="P222" s="130"/>
      <c r="Q222" s="130"/>
      <c r="R222" s="130"/>
      <c r="S222" s="130"/>
      <c r="T222" s="130"/>
      <c r="U222" s="130"/>
      <c r="V222" s="130"/>
      <c r="W222" s="130"/>
      <c r="X222" s="130"/>
      <c r="Y222" s="130"/>
      <c r="Z222" s="130"/>
    </row>
    <row r="223" spans="1:26" ht="12.75" customHeight="1" x14ac:dyDescent="0.2">
      <c r="A223" s="130"/>
      <c r="B223" s="130"/>
      <c r="C223" s="130"/>
      <c r="D223" s="130"/>
      <c r="E223" s="130"/>
      <c r="F223" s="188"/>
      <c r="G223" s="173"/>
      <c r="H223" s="173"/>
      <c r="I223" s="173"/>
      <c r="J223" s="130"/>
      <c r="K223" s="130"/>
      <c r="L223" s="130"/>
      <c r="M223" s="130"/>
      <c r="N223" s="130"/>
      <c r="O223" s="130"/>
      <c r="P223" s="130"/>
      <c r="Q223" s="130"/>
      <c r="R223" s="130"/>
      <c r="S223" s="130"/>
      <c r="T223" s="130"/>
      <c r="U223" s="130"/>
      <c r="V223" s="130"/>
      <c r="W223" s="130"/>
      <c r="X223" s="130"/>
      <c r="Y223" s="130"/>
      <c r="Z223" s="130"/>
    </row>
    <row r="224" spans="1:26" ht="12.75" customHeight="1" x14ac:dyDescent="0.2">
      <c r="A224" s="130"/>
      <c r="B224" s="130"/>
      <c r="C224" s="130"/>
      <c r="D224" s="130"/>
      <c r="E224" s="130"/>
      <c r="F224" s="188"/>
      <c r="G224" s="173"/>
      <c r="H224" s="173"/>
      <c r="I224" s="173"/>
      <c r="J224" s="130"/>
      <c r="K224" s="130"/>
      <c r="L224" s="130"/>
      <c r="M224" s="130"/>
      <c r="N224" s="130"/>
      <c r="O224" s="130"/>
      <c r="P224" s="130"/>
      <c r="Q224" s="130"/>
      <c r="R224" s="130"/>
      <c r="S224" s="130"/>
      <c r="T224" s="130"/>
      <c r="U224" s="130"/>
      <c r="V224" s="130"/>
      <c r="W224" s="130"/>
      <c r="X224" s="130"/>
      <c r="Y224" s="130"/>
      <c r="Z224" s="130"/>
    </row>
    <row r="225" spans="1:26" ht="12.75" customHeight="1" x14ac:dyDescent="0.2">
      <c r="A225" s="130"/>
      <c r="B225" s="130"/>
      <c r="C225" s="130"/>
      <c r="D225" s="130"/>
      <c r="E225" s="130"/>
      <c r="F225" s="188"/>
      <c r="G225" s="173"/>
      <c r="H225" s="173"/>
      <c r="I225" s="173"/>
      <c r="J225" s="130"/>
      <c r="K225" s="130"/>
      <c r="L225" s="130"/>
      <c r="M225" s="130"/>
      <c r="N225" s="130"/>
      <c r="O225" s="130"/>
      <c r="P225" s="130"/>
      <c r="Q225" s="130"/>
      <c r="R225" s="130"/>
      <c r="S225" s="130"/>
      <c r="T225" s="130"/>
      <c r="U225" s="130"/>
      <c r="V225" s="130"/>
      <c r="W225" s="130"/>
      <c r="X225" s="130"/>
      <c r="Y225" s="130"/>
      <c r="Z225" s="130"/>
    </row>
    <row r="226" spans="1:26" ht="12.75" customHeight="1" x14ac:dyDescent="0.2">
      <c r="A226" s="130"/>
      <c r="B226" s="130"/>
      <c r="C226" s="130"/>
      <c r="D226" s="130"/>
      <c r="E226" s="130"/>
      <c r="F226" s="188"/>
      <c r="G226" s="173"/>
      <c r="H226" s="173"/>
      <c r="I226" s="173"/>
      <c r="J226" s="130"/>
      <c r="K226" s="130"/>
      <c r="L226" s="130"/>
      <c r="M226" s="130"/>
      <c r="N226" s="130"/>
      <c r="O226" s="130"/>
      <c r="P226" s="130"/>
      <c r="Q226" s="130"/>
      <c r="R226" s="130"/>
      <c r="S226" s="130"/>
      <c r="T226" s="130"/>
      <c r="U226" s="130"/>
      <c r="V226" s="130"/>
      <c r="W226" s="130"/>
      <c r="X226" s="130"/>
      <c r="Y226" s="130"/>
      <c r="Z226" s="130"/>
    </row>
    <row r="227" spans="1:26" ht="12.75" customHeight="1" x14ac:dyDescent="0.2">
      <c r="A227" s="130"/>
      <c r="B227" s="130"/>
      <c r="C227" s="130"/>
      <c r="D227" s="130"/>
      <c r="E227" s="130"/>
      <c r="F227" s="188"/>
      <c r="G227" s="173"/>
      <c r="H227" s="173"/>
      <c r="I227" s="173"/>
      <c r="J227" s="130"/>
      <c r="K227" s="130"/>
      <c r="L227" s="130"/>
      <c r="M227" s="130"/>
      <c r="N227" s="130"/>
      <c r="O227" s="130"/>
      <c r="P227" s="130"/>
      <c r="Q227" s="130"/>
      <c r="R227" s="130"/>
      <c r="S227" s="130"/>
      <c r="T227" s="130"/>
      <c r="U227" s="130"/>
      <c r="V227" s="130"/>
      <c r="W227" s="130"/>
      <c r="X227" s="130"/>
      <c r="Y227" s="130"/>
      <c r="Z227" s="130"/>
    </row>
    <row r="228" spans="1:26" ht="12.75" customHeight="1" x14ac:dyDescent="0.2">
      <c r="A228" s="130"/>
      <c r="B228" s="130"/>
      <c r="C228" s="130"/>
      <c r="D228" s="130"/>
      <c r="E228" s="130"/>
      <c r="F228" s="188"/>
      <c r="G228" s="173"/>
      <c r="H228" s="173"/>
      <c r="I228" s="173"/>
      <c r="J228" s="130"/>
      <c r="K228" s="130"/>
      <c r="L228" s="130"/>
      <c r="M228" s="130"/>
      <c r="N228" s="130"/>
      <c r="O228" s="130"/>
      <c r="P228" s="130"/>
      <c r="Q228" s="130"/>
      <c r="R228" s="130"/>
      <c r="S228" s="130"/>
      <c r="T228" s="130"/>
      <c r="U228" s="130"/>
      <c r="V228" s="130"/>
      <c r="W228" s="130"/>
      <c r="X228" s="130"/>
      <c r="Y228" s="130"/>
      <c r="Z228" s="130"/>
    </row>
    <row r="229" spans="1:26" ht="12.75" customHeight="1" x14ac:dyDescent="0.2">
      <c r="A229" s="130"/>
      <c r="B229" s="130"/>
      <c r="C229" s="130"/>
      <c r="D229" s="130"/>
      <c r="E229" s="130"/>
      <c r="F229" s="188"/>
      <c r="G229" s="173"/>
      <c r="H229" s="173"/>
      <c r="I229" s="173"/>
      <c r="J229" s="130"/>
      <c r="K229" s="130"/>
      <c r="L229" s="130"/>
      <c r="M229" s="130"/>
      <c r="N229" s="130"/>
      <c r="O229" s="130"/>
      <c r="P229" s="130"/>
      <c r="Q229" s="130"/>
      <c r="R229" s="130"/>
      <c r="S229" s="130"/>
      <c r="T229" s="130"/>
      <c r="U229" s="130"/>
      <c r="V229" s="130"/>
      <c r="W229" s="130"/>
      <c r="X229" s="130"/>
      <c r="Y229" s="130"/>
      <c r="Z229" s="130"/>
    </row>
    <row r="230" spans="1:26" ht="12.75" customHeight="1" x14ac:dyDescent="0.2">
      <c r="A230" s="130"/>
      <c r="B230" s="130"/>
      <c r="C230" s="130"/>
      <c r="D230" s="130"/>
      <c r="E230" s="130"/>
      <c r="F230" s="188"/>
      <c r="G230" s="173"/>
      <c r="H230" s="173"/>
      <c r="I230" s="173"/>
      <c r="J230" s="130"/>
      <c r="K230" s="130"/>
      <c r="L230" s="130"/>
      <c r="M230" s="130"/>
      <c r="N230" s="130"/>
      <c r="O230" s="130"/>
      <c r="P230" s="130"/>
      <c r="Q230" s="130"/>
      <c r="R230" s="130"/>
      <c r="S230" s="130"/>
      <c r="T230" s="130"/>
      <c r="U230" s="130"/>
      <c r="V230" s="130"/>
      <c r="W230" s="130"/>
      <c r="X230" s="130"/>
      <c r="Y230" s="130"/>
      <c r="Z230" s="130"/>
    </row>
    <row r="231" spans="1:26" ht="12.75" customHeight="1" x14ac:dyDescent="0.2">
      <c r="A231" s="130"/>
      <c r="B231" s="130"/>
      <c r="C231" s="130"/>
      <c r="D231" s="130"/>
      <c r="E231" s="130"/>
      <c r="F231" s="188"/>
      <c r="G231" s="173"/>
      <c r="H231" s="173"/>
      <c r="I231" s="173"/>
      <c r="J231" s="130"/>
      <c r="K231" s="130"/>
      <c r="L231" s="130"/>
      <c r="M231" s="130"/>
      <c r="N231" s="130"/>
      <c r="O231" s="130"/>
      <c r="P231" s="130"/>
      <c r="Q231" s="130"/>
      <c r="R231" s="130"/>
      <c r="S231" s="130"/>
      <c r="T231" s="130"/>
      <c r="U231" s="130"/>
      <c r="V231" s="130"/>
      <c r="W231" s="130"/>
      <c r="X231" s="130"/>
      <c r="Y231" s="130"/>
      <c r="Z231" s="130"/>
    </row>
    <row r="232" spans="1:26" ht="12.75" customHeight="1" x14ac:dyDescent="0.2">
      <c r="A232" s="130"/>
      <c r="B232" s="130"/>
      <c r="C232" s="130"/>
      <c r="D232" s="130"/>
      <c r="E232" s="130"/>
      <c r="F232" s="188"/>
      <c r="G232" s="173"/>
      <c r="H232" s="173"/>
      <c r="I232" s="173"/>
      <c r="J232" s="130"/>
      <c r="K232" s="130"/>
      <c r="L232" s="130"/>
      <c r="M232" s="130"/>
      <c r="N232" s="130"/>
      <c r="O232" s="130"/>
      <c r="P232" s="130"/>
      <c r="Q232" s="130"/>
      <c r="R232" s="130"/>
      <c r="S232" s="130"/>
      <c r="T232" s="130"/>
      <c r="U232" s="130"/>
      <c r="V232" s="130"/>
      <c r="W232" s="130"/>
      <c r="X232" s="130"/>
      <c r="Y232" s="130"/>
      <c r="Z232" s="130"/>
    </row>
    <row r="233" spans="1:26" ht="12.75" customHeight="1" x14ac:dyDescent="0.2">
      <c r="A233" s="130"/>
      <c r="B233" s="130"/>
      <c r="C233" s="130"/>
      <c r="D233" s="130"/>
      <c r="E233" s="130"/>
      <c r="F233" s="188"/>
      <c r="G233" s="173"/>
      <c r="H233" s="173"/>
      <c r="I233" s="173"/>
      <c r="J233" s="130"/>
      <c r="K233" s="130"/>
      <c r="L233" s="130"/>
      <c r="M233" s="130"/>
      <c r="N233" s="130"/>
      <c r="O233" s="130"/>
      <c r="P233" s="130"/>
      <c r="Q233" s="130"/>
      <c r="R233" s="130"/>
      <c r="S233" s="130"/>
      <c r="T233" s="130"/>
      <c r="U233" s="130"/>
      <c r="V233" s="130"/>
      <c r="W233" s="130"/>
      <c r="X233" s="130"/>
      <c r="Y233" s="130"/>
      <c r="Z233" s="130"/>
    </row>
    <row r="234" spans="1:26" ht="12.75" customHeight="1" x14ac:dyDescent="0.2">
      <c r="A234" s="130"/>
      <c r="B234" s="130"/>
      <c r="C234" s="130"/>
      <c r="D234" s="130"/>
      <c r="E234" s="130"/>
      <c r="F234" s="188"/>
      <c r="G234" s="173"/>
      <c r="H234" s="173"/>
      <c r="I234" s="173"/>
      <c r="J234" s="130"/>
      <c r="K234" s="130"/>
      <c r="L234" s="130"/>
      <c r="M234" s="130"/>
      <c r="N234" s="130"/>
      <c r="O234" s="130"/>
      <c r="P234" s="130"/>
      <c r="Q234" s="130"/>
      <c r="R234" s="130"/>
      <c r="S234" s="130"/>
      <c r="T234" s="130"/>
      <c r="U234" s="130"/>
      <c r="V234" s="130"/>
      <c r="W234" s="130"/>
      <c r="X234" s="130"/>
      <c r="Y234" s="130"/>
      <c r="Z234" s="130"/>
    </row>
    <row r="235" spans="1:26" ht="12.75" customHeight="1" x14ac:dyDescent="0.2">
      <c r="A235" s="130"/>
      <c r="B235" s="130"/>
      <c r="C235" s="130"/>
      <c r="D235" s="130"/>
      <c r="E235" s="130"/>
      <c r="F235" s="188"/>
      <c r="G235" s="173"/>
      <c r="H235" s="173"/>
      <c r="I235" s="173"/>
      <c r="J235" s="130"/>
      <c r="K235" s="130"/>
      <c r="L235" s="130"/>
      <c r="M235" s="130"/>
      <c r="N235" s="130"/>
      <c r="O235" s="130"/>
      <c r="P235" s="130"/>
      <c r="Q235" s="130"/>
      <c r="R235" s="130"/>
      <c r="S235" s="130"/>
      <c r="T235" s="130"/>
      <c r="U235" s="130"/>
      <c r="V235" s="130"/>
      <c r="W235" s="130"/>
      <c r="X235" s="130"/>
      <c r="Y235" s="130"/>
      <c r="Z235" s="130"/>
    </row>
    <row r="236" spans="1:26" ht="12.75" customHeight="1" x14ac:dyDescent="0.2">
      <c r="A236" s="130"/>
      <c r="B236" s="130"/>
      <c r="C236" s="130"/>
      <c r="D236" s="130"/>
      <c r="E236" s="130"/>
      <c r="F236" s="188"/>
      <c r="G236" s="173"/>
      <c r="H236" s="173"/>
      <c r="I236" s="173"/>
      <c r="J236" s="130"/>
      <c r="K236" s="130"/>
      <c r="L236" s="130"/>
      <c r="M236" s="130"/>
      <c r="N236" s="130"/>
      <c r="O236" s="130"/>
      <c r="P236" s="130"/>
      <c r="Q236" s="130"/>
      <c r="R236" s="130"/>
      <c r="S236" s="130"/>
      <c r="T236" s="130"/>
      <c r="U236" s="130"/>
      <c r="V236" s="130"/>
      <c r="W236" s="130"/>
      <c r="X236" s="130"/>
      <c r="Y236" s="130"/>
      <c r="Z236" s="130"/>
    </row>
    <row r="237" spans="1:26" ht="12.75" customHeight="1" x14ac:dyDescent="0.2">
      <c r="A237" s="130"/>
      <c r="B237" s="130"/>
      <c r="C237" s="130"/>
      <c r="D237" s="130"/>
      <c r="E237" s="130"/>
      <c r="F237" s="188"/>
      <c r="G237" s="173"/>
      <c r="H237" s="173"/>
      <c r="I237" s="173"/>
      <c r="J237" s="130"/>
      <c r="K237" s="130"/>
      <c r="L237" s="130"/>
      <c r="M237" s="130"/>
      <c r="N237" s="130"/>
      <c r="O237" s="130"/>
      <c r="P237" s="130"/>
      <c r="Q237" s="130"/>
      <c r="R237" s="130"/>
      <c r="S237" s="130"/>
      <c r="T237" s="130"/>
      <c r="U237" s="130"/>
      <c r="V237" s="130"/>
      <c r="W237" s="130"/>
      <c r="X237" s="130"/>
      <c r="Y237" s="130"/>
      <c r="Z237" s="130"/>
    </row>
    <row r="238" spans="1:26" ht="12.75" customHeight="1" x14ac:dyDescent="0.2">
      <c r="A238" s="130"/>
      <c r="B238" s="130"/>
      <c r="C238" s="130"/>
      <c r="D238" s="130"/>
      <c r="E238" s="130"/>
      <c r="F238" s="188"/>
      <c r="G238" s="173"/>
      <c r="H238" s="173"/>
      <c r="I238" s="173"/>
      <c r="J238" s="130"/>
      <c r="K238" s="130"/>
      <c r="L238" s="130"/>
      <c r="M238" s="130"/>
      <c r="N238" s="130"/>
      <c r="O238" s="130"/>
      <c r="P238" s="130"/>
      <c r="Q238" s="130"/>
      <c r="R238" s="130"/>
      <c r="S238" s="130"/>
      <c r="T238" s="130"/>
      <c r="U238" s="130"/>
      <c r="V238" s="130"/>
      <c r="W238" s="130"/>
      <c r="X238" s="130"/>
      <c r="Y238" s="130"/>
      <c r="Z238" s="130"/>
    </row>
    <row r="239" spans="1:26" ht="12.75" customHeight="1" x14ac:dyDescent="0.2">
      <c r="A239" s="130"/>
      <c r="B239" s="130"/>
      <c r="C239" s="130"/>
      <c r="D239" s="130"/>
      <c r="E239" s="130"/>
      <c r="F239" s="188"/>
      <c r="G239" s="173"/>
      <c r="H239" s="173"/>
      <c r="I239" s="173"/>
      <c r="J239" s="130"/>
      <c r="K239" s="130"/>
      <c r="L239" s="130"/>
      <c r="M239" s="130"/>
      <c r="N239" s="130"/>
      <c r="O239" s="130"/>
      <c r="P239" s="130"/>
      <c r="Q239" s="130"/>
      <c r="R239" s="130"/>
      <c r="S239" s="130"/>
      <c r="T239" s="130"/>
      <c r="U239" s="130"/>
      <c r="V239" s="130"/>
      <c r="W239" s="130"/>
      <c r="X239" s="130"/>
      <c r="Y239" s="130"/>
      <c r="Z239" s="130"/>
    </row>
    <row r="240" spans="1:26" ht="12.75" customHeight="1" x14ac:dyDescent="0.2">
      <c r="A240" s="130"/>
      <c r="B240" s="130"/>
      <c r="C240" s="130"/>
      <c r="D240" s="130"/>
      <c r="E240" s="130"/>
      <c r="F240" s="188"/>
      <c r="G240" s="173"/>
      <c r="H240" s="173"/>
      <c r="I240" s="173"/>
      <c r="J240" s="130"/>
      <c r="K240" s="130"/>
      <c r="L240" s="130"/>
      <c r="M240" s="130"/>
      <c r="N240" s="130"/>
      <c r="O240" s="130"/>
      <c r="P240" s="130"/>
      <c r="Q240" s="130"/>
      <c r="R240" s="130"/>
      <c r="S240" s="130"/>
      <c r="T240" s="130"/>
      <c r="U240" s="130"/>
      <c r="V240" s="130"/>
      <c r="W240" s="130"/>
      <c r="X240" s="130"/>
      <c r="Y240" s="130"/>
      <c r="Z240" s="130"/>
    </row>
    <row r="241" spans="1:26" ht="12.75" customHeight="1" x14ac:dyDescent="0.2">
      <c r="A241" s="130"/>
      <c r="B241" s="130"/>
      <c r="C241" s="130"/>
      <c r="D241" s="130"/>
      <c r="E241" s="130"/>
      <c r="F241" s="188"/>
      <c r="G241" s="173"/>
      <c r="H241" s="173"/>
      <c r="I241" s="173"/>
      <c r="J241" s="130"/>
      <c r="K241" s="130"/>
      <c r="L241" s="130"/>
      <c r="M241" s="130"/>
      <c r="N241" s="130"/>
      <c r="O241" s="130"/>
      <c r="P241" s="130"/>
      <c r="Q241" s="130"/>
      <c r="R241" s="130"/>
      <c r="S241" s="130"/>
      <c r="T241" s="130"/>
      <c r="U241" s="130"/>
      <c r="V241" s="130"/>
      <c r="W241" s="130"/>
      <c r="X241" s="130"/>
      <c r="Y241" s="130"/>
      <c r="Z241" s="130"/>
    </row>
    <row r="242" spans="1:26" ht="12.75" customHeight="1" x14ac:dyDescent="0.2">
      <c r="A242" s="130"/>
      <c r="B242" s="130"/>
      <c r="C242" s="130"/>
      <c r="D242" s="130"/>
      <c r="E242" s="130"/>
      <c r="F242" s="188"/>
      <c r="G242" s="173"/>
      <c r="H242" s="173"/>
      <c r="I242" s="173"/>
      <c r="J242" s="130"/>
      <c r="K242" s="130"/>
      <c r="L242" s="130"/>
      <c r="M242" s="130"/>
      <c r="N242" s="130"/>
      <c r="O242" s="130"/>
      <c r="P242" s="130"/>
      <c r="Q242" s="130"/>
      <c r="R242" s="130"/>
      <c r="S242" s="130"/>
      <c r="T242" s="130"/>
      <c r="U242" s="130"/>
      <c r="V242" s="130"/>
      <c r="W242" s="130"/>
      <c r="X242" s="130"/>
      <c r="Y242" s="130"/>
      <c r="Z242" s="130"/>
    </row>
    <row r="243" spans="1:26" ht="12.75" customHeight="1" x14ac:dyDescent="0.2">
      <c r="A243" s="130"/>
      <c r="B243" s="130"/>
      <c r="C243" s="130"/>
      <c r="D243" s="130"/>
      <c r="E243" s="130"/>
      <c r="F243" s="188"/>
      <c r="G243" s="173"/>
      <c r="H243" s="173"/>
      <c r="I243" s="173"/>
      <c r="J243" s="130"/>
      <c r="K243" s="130"/>
      <c r="L243" s="130"/>
      <c r="M243" s="130"/>
      <c r="N243" s="130"/>
      <c r="O243" s="130"/>
      <c r="P243" s="130"/>
      <c r="Q243" s="130"/>
      <c r="R243" s="130"/>
      <c r="S243" s="130"/>
      <c r="T243" s="130"/>
      <c r="U243" s="130"/>
      <c r="V243" s="130"/>
      <c r="W243" s="130"/>
      <c r="X243" s="130"/>
      <c r="Y243" s="130"/>
      <c r="Z243" s="130"/>
    </row>
    <row r="244" spans="1:26" ht="12.75" customHeight="1" x14ac:dyDescent="0.2">
      <c r="A244" s="130"/>
      <c r="B244" s="130"/>
      <c r="C244" s="130"/>
      <c r="D244" s="130"/>
      <c r="E244" s="130"/>
      <c r="F244" s="188"/>
      <c r="G244" s="173"/>
      <c r="H244" s="173"/>
      <c r="I244" s="173"/>
      <c r="J244" s="130"/>
      <c r="K244" s="130"/>
      <c r="L244" s="130"/>
      <c r="M244" s="130"/>
      <c r="N244" s="130"/>
      <c r="O244" s="130"/>
      <c r="P244" s="130"/>
      <c r="Q244" s="130"/>
      <c r="R244" s="130"/>
      <c r="S244" s="130"/>
      <c r="T244" s="130"/>
      <c r="U244" s="130"/>
      <c r="V244" s="130"/>
      <c r="W244" s="130"/>
      <c r="X244" s="130"/>
      <c r="Y244" s="130"/>
      <c r="Z244" s="130"/>
    </row>
    <row r="245" spans="1:26" ht="12.75" customHeight="1" x14ac:dyDescent="0.2">
      <c r="A245" s="130"/>
      <c r="B245" s="130"/>
      <c r="C245" s="130"/>
      <c r="D245" s="130"/>
      <c r="E245" s="130"/>
      <c r="F245" s="188"/>
      <c r="G245" s="173"/>
      <c r="H245" s="173"/>
      <c r="I245" s="173"/>
      <c r="J245" s="130"/>
      <c r="K245" s="130"/>
      <c r="L245" s="130"/>
      <c r="M245" s="130"/>
      <c r="N245" s="130"/>
      <c r="O245" s="130"/>
      <c r="P245" s="130"/>
      <c r="Q245" s="130"/>
      <c r="R245" s="130"/>
      <c r="S245" s="130"/>
      <c r="T245" s="130"/>
      <c r="U245" s="130"/>
      <c r="V245" s="130"/>
      <c r="W245" s="130"/>
      <c r="X245" s="130"/>
      <c r="Y245" s="130"/>
      <c r="Z245" s="130"/>
    </row>
    <row r="246" spans="1:26" ht="12.75" customHeight="1" x14ac:dyDescent="0.2">
      <c r="A246" s="130"/>
      <c r="B246" s="130"/>
      <c r="C246" s="130"/>
      <c r="D246" s="130"/>
      <c r="E246" s="130"/>
      <c r="F246" s="188"/>
      <c r="G246" s="173"/>
      <c r="H246" s="173"/>
      <c r="I246" s="173"/>
      <c r="J246" s="130"/>
      <c r="K246" s="130"/>
      <c r="L246" s="130"/>
      <c r="M246" s="130"/>
      <c r="N246" s="130"/>
      <c r="O246" s="130"/>
      <c r="P246" s="130"/>
      <c r="Q246" s="130"/>
      <c r="R246" s="130"/>
      <c r="S246" s="130"/>
      <c r="T246" s="130"/>
      <c r="U246" s="130"/>
      <c r="V246" s="130"/>
      <c r="W246" s="130"/>
      <c r="X246" s="130"/>
      <c r="Y246" s="130"/>
      <c r="Z246" s="130"/>
    </row>
    <row r="247" spans="1:26" ht="12.75" customHeight="1" x14ac:dyDescent="0.2">
      <c r="A247" s="130"/>
      <c r="B247" s="130"/>
      <c r="C247" s="130"/>
      <c r="D247" s="130"/>
      <c r="E247" s="130"/>
      <c r="F247" s="188"/>
      <c r="G247" s="173"/>
      <c r="H247" s="173"/>
      <c r="I247" s="173"/>
      <c r="J247" s="130"/>
      <c r="K247" s="130"/>
      <c r="L247" s="130"/>
      <c r="M247" s="130"/>
      <c r="N247" s="130"/>
      <c r="O247" s="130"/>
      <c r="P247" s="130"/>
      <c r="Q247" s="130"/>
      <c r="R247" s="130"/>
      <c r="S247" s="130"/>
      <c r="T247" s="130"/>
      <c r="U247" s="130"/>
      <c r="V247" s="130"/>
      <c r="W247" s="130"/>
      <c r="X247" s="130"/>
      <c r="Y247" s="130"/>
      <c r="Z247" s="130"/>
    </row>
    <row r="248" spans="1:26" ht="12.75" customHeight="1" x14ac:dyDescent="0.2">
      <c r="A248" s="130"/>
      <c r="B248" s="130"/>
      <c r="C248" s="130"/>
      <c r="D248" s="130"/>
      <c r="E248" s="130"/>
      <c r="F248" s="188"/>
      <c r="G248" s="173"/>
      <c r="H248" s="173"/>
      <c r="I248" s="173"/>
      <c r="J248" s="130"/>
      <c r="K248" s="130"/>
      <c r="L248" s="130"/>
      <c r="M248" s="130"/>
      <c r="N248" s="130"/>
      <c r="O248" s="130"/>
      <c r="P248" s="130"/>
      <c r="Q248" s="130"/>
      <c r="R248" s="130"/>
      <c r="S248" s="130"/>
      <c r="T248" s="130"/>
      <c r="U248" s="130"/>
      <c r="V248" s="130"/>
      <c r="W248" s="130"/>
      <c r="X248" s="130"/>
      <c r="Y248" s="130"/>
      <c r="Z248" s="130"/>
    </row>
    <row r="249" spans="1:26" ht="12.75" customHeight="1" x14ac:dyDescent="0.2">
      <c r="A249" s="130"/>
      <c r="B249" s="130"/>
      <c r="C249" s="130"/>
      <c r="D249" s="130"/>
      <c r="E249" s="130"/>
      <c r="F249" s="188"/>
      <c r="G249" s="173"/>
      <c r="H249" s="173"/>
      <c r="I249" s="173"/>
      <c r="J249" s="130"/>
      <c r="K249" s="130"/>
      <c r="L249" s="130"/>
      <c r="M249" s="130"/>
      <c r="N249" s="130"/>
      <c r="O249" s="130"/>
      <c r="P249" s="130"/>
      <c r="Q249" s="130"/>
      <c r="R249" s="130"/>
      <c r="S249" s="130"/>
      <c r="T249" s="130"/>
      <c r="U249" s="130"/>
      <c r="V249" s="130"/>
      <c r="W249" s="130"/>
      <c r="X249" s="130"/>
      <c r="Y249" s="130"/>
      <c r="Z249" s="130"/>
    </row>
    <row r="250" spans="1:26" ht="12.75" customHeight="1" x14ac:dyDescent="0.2">
      <c r="A250" s="130"/>
      <c r="B250" s="130"/>
      <c r="C250" s="130"/>
      <c r="D250" s="130"/>
      <c r="E250" s="130"/>
      <c r="F250" s="188"/>
      <c r="G250" s="173"/>
      <c r="H250" s="173"/>
      <c r="I250" s="173"/>
      <c r="J250" s="130"/>
      <c r="K250" s="130"/>
      <c r="L250" s="130"/>
      <c r="M250" s="130"/>
      <c r="N250" s="130"/>
      <c r="O250" s="130"/>
      <c r="P250" s="130"/>
      <c r="Q250" s="130"/>
      <c r="R250" s="130"/>
      <c r="S250" s="130"/>
      <c r="T250" s="130"/>
      <c r="U250" s="130"/>
      <c r="V250" s="130"/>
      <c r="W250" s="130"/>
      <c r="X250" s="130"/>
      <c r="Y250" s="130"/>
      <c r="Z250" s="130"/>
    </row>
    <row r="251" spans="1:26" ht="12.75" customHeight="1" x14ac:dyDescent="0.2">
      <c r="A251" s="130"/>
      <c r="B251" s="130"/>
      <c r="C251" s="130"/>
      <c r="D251" s="130"/>
      <c r="E251" s="130"/>
      <c r="F251" s="188"/>
      <c r="G251" s="173"/>
      <c r="H251" s="173"/>
      <c r="I251" s="173"/>
      <c r="J251" s="130"/>
      <c r="K251" s="130"/>
      <c r="L251" s="130"/>
      <c r="M251" s="130"/>
      <c r="N251" s="130"/>
      <c r="O251" s="130"/>
      <c r="P251" s="130"/>
      <c r="Q251" s="130"/>
      <c r="R251" s="130"/>
      <c r="S251" s="130"/>
      <c r="T251" s="130"/>
      <c r="U251" s="130"/>
      <c r="V251" s="130"/>
      <c r="W251" s="130"/>
      <c r="X251" s="130"/>
      <c r="Y251" s="130"/>
      <c r="Z251" s="130"/>
    </row>
    <row r="252" spans="1:26" ht="12.75" customHeight="1" x14ac:dyDescent="0.2">
      <c r="A252" s="130"/>
      <c r="B252" s="130"/>
      <c r="C252" s="130"/>
      <c r="D252" s="130"/>
      <c r="E252" s="130"/>
      <c r="F252" s="188"/>
      <c r="G252" s="173"/>
      <c r="H252" s="173"/>
      <c r="I252" s="173"/>
      <c r="J252" s="130"/>
      <c r="K252" s="130"/>
      <c r="L252" s="130"/>
      <c r="M252" s="130"/>
      <c r="N252" s="130"/>
      <c r="O252" s="130"/>
      <c r="P252" s="130"/>
      <c r="Q252" s="130"/>
      <c r="R252" s="130"/>
      <c r="S252" s="130"/>
      <c r="T252" s="130"/>
      <c r="U252" s="130"/>
      <c r="V252" s="130"/>
      <c r="W252" s="130"/>
      <c r="X252" s="130"/>
      <c r="Y252" s="130"/>
      <c r="Z252" s="130"/>
    </row>
    <row r="253" spans="1:26" ht="12.75" customHeight="1" x14ac:dyDescent="0.2">
      <c r="A253" s="130"/>
      <c r="B253" s="130"/>
      <c r="C253" s="130"/>
      <c r="D253" s="130"/>
      <c r="E253" s="130"/>
      <c r="F253" s="188"/>
      <c r="G253" s="173"/>
      <c r="H253" s="173"/>
      <c r="I253" s="173"/>
      <c r="J253" s="130"/>
      <c r="K253" s="130"/>
      <c r="L253" s="130"/>
      <c r="M253" s="130"/>
      <c r="N253" s="130"/>
      <c r="O253" s="130"/>
      <c r="P253" s="130"/>
      <c r="Q253" s="130"/>
      <c r="R253" s="130"/>
      <c r="S253" s="130"/>
      <c r="T253" s="130"/>
      <c r="U253" s="130"/>
      <c r="V253" s="130"/>
      <c r="W253" s="130"/>
      <c r="X253" s="130"/>
      <c r="Y253" s="130"/>
      <c r="Z253" s="130"/>
    </row>
    <row r="254" spans="1:26" ht="12.75" customHeight="1" x14ac:dyDescent="0.2">
      <c r="A254" s="130"/>
      <c r="B254" s="130"/>
      <c r="C254" s="130"/>
      <c r="D254" s="130"/>
      <c r="E254" s="130"/>
      <c r="F254" s="188"/>
      <c r="G254" s="173"/>
      <c r="H254" s="173"/>
      <c r="I254" s="173"/>
      <c r="J254" s="130"/>
      <c r="K254" s="130"/>
      <c r="L254" s="130"/>
      <c r="M254" s="130"/>
      <c r="N254" s="130"/>
      <c r="O254" s="130"/>
      <c r="P254" s="130"/>
      <c r="Q254" s="130"/>
      <c r="R254" s="130"/>
      <c r="S254" s="130"/>
      <c r="T254" s="130"/>
      <c r="U254" s="130"/>
      <c r="V254" s="130"/>
      <c r="W254" s="130"/>
      <c r="X254" s="130"/>
      <c r="Y254" s="130"/>
      <c r="Z254" s="130"/>
    </row>
    <row r="255" spans="1:26" ht="12.75" customHeight="1" x14ac:dyDescent="0.2">
      <c r="A255" s="130"/>
      <c r="B255" s="130"/>
      <c r="C255" s="130"/>
      <c r="D255" s="130"/>
      <c r="E255" s="130"/>
      <c r="F255" s="188"/>
      <c r="G255" s="173"/>
      <c r="H255" s="173"/>
      <c r="I255" s="173"/>
      <c r="J255" s="130"/>
      <c r="K255" s="130"/>
      <c r="L255" s="130"/>
      <c r="M255" s="130"/>
      <c r="N255" s="130"/>
      <c r="O255" s="130"/>
      <c r="P255" s="130"/>
      <c r="Q255" s="130"/>
      <c r="R255" s="130"/>
      <c r="S255" s="130"/>
      <c r="T255" s="130"/>
      <c r="U255" s="130"/>
      <c r="V255" s="130"/>
      <c r="W255" s="130"/>
      <c r="X255" s="130"/>
      <c r="Y255" s="130"/>
      <c r="Z255" s="130"/>
    </row>
    <row r="256" spans="1:26" ht="12.75" customHeight="1" x14ac:dyDescent="0.2">
      <c r="A256" s="130"/>
      <c r="B256" s="130"/>
      <c r="C256" s="130"/>
      <c r="D256" s="130"/>
      <c r="E256" s="130"/>
      <c r="F256" s="188"/>
      <c r="G256" s="173"/>
      <c r="H256" s="173"/>
      <c r="I256" s="173"/>
      <c r="J256" s="130"/>
      <c r="K256" s="130"/>
      <c r="L256" s="130"/>
      <c r="M256" s="130"/>
      <c r="N256" s="130"/>
      <c r="O256" s="130"/>
      <c r="P256" s="130"/>
      <c r="Q256" s="130"/>
      <c r="R256" s="130"/>
      <c r="S256" s="130"/>
      <c r="T256" s="130"/>
      <c r="U256" s="130"/>
      <c r="V256" s="130"/>
      <c r="W256" s="130"/>
      <c r="X256" s="130"/>
      <c r="Y256" s="130"/>
      <c r="Z256" s="130"/>
    </row>
    <row r="257" spans="1:26" ht="12.75" customHeight="1" x14ac:dyDescent="0.2">
      <c r="A257" s="130"/>
      <c r="B257" s="130"/>
      <c r="C257" s="130"/>
      <c r="D257" s="130"/>
      <c r="E257" s="130"/>
      <c r="F257" s="188"/>
      <c r="G257" s="173"/>
      <c r="H257" s="173"/>
      <c r="I257" s="173"/>
      <c r="J257" s="130"/>
      <c r="K257" s="130"/>
      <c r="L257" s="130"/>
      <c r="M257" s="130"/>
      <c r="N257" s="130"/>
      <c r="O257" s="130"/>
      <c r="P257" s="130"/>
      <c r="Q257" s="130"/>
      <c r="R257" s="130"/>
      <c r="S257" s="130"/>
      <c r="T257" s="130"/>
      <c r="U257" s="130"/>
      <c r="V257" s="130"/>
      <c r="W257" s="130"/>
      <c r="X257" s="130"/>
      <c r="Y257" s="130"/>
      <c r="Z257" s="130"/>
    </row>
    <row r="258" spans="1:26" ht="12.75" customHeight="1" x14ac:dyDescent="0.2">
      <c r="A258" s="130"/>
      <c r="B258" s="130"/>
      <c r="C258" s="130"/>
      <c r="D258" s="130"/>
      <c r="E258" s="130"/>
      <c r="F258" s="188"/>
      <c r="G258" s="173"/>
      <c r="H258" s="173"/>
      <c r="I258" s="173"/>
      <c r="J258" s="130"/>
      <c r="K258" s="130"/>
      <c r="L258" s="130"/>
      <c r="M258" s="130"/>
      <c r="N258" s="130"/>
      <c r="O258" s="130"/>
      <c r="P258" s="130"/>
      <c r="Q258" s="130"/>
      <c r="R258" s="130"/>
      <c r="S258" s="130"/>
      <c r="T258" s="130"/>
      <c r="U258" s="130"/>
      <c r="V258" s="130"/>
      <c r="W258" s="130"/>
      <c r="X258" s="130"/>
      <c r="Y258" s="130"/>
      <c r="Z258" s="130"/>
    </row>
    <row r="259" spans="1:26" ht="12.75" customHeight="1" x14ac:dyDescent="0.2">
      <c r="A259" s="130"/>
      <c r="B259" s="130"/>
      <c r="C259" s="130"/>
      <c r="D259" s="130"/>
      <c r="E259" s="130"/>
      <c r="F259" s="188"/>
      <c r="G259" s="173"/>
      <c r="H259" s="173"/>
      <c r="I259" s="173"/>
      <c r="J259" s="130"/>
      <c r="K259" s="130"/>
      <c r="L259" s="130"/>
      <c r="M259" s="130"/>
      <c r="N259" s="130"/>
      <c r="O259" s="130"/>
      <c r="P259" s="130"/>
      <c r="Q259" s="130"/>
      <c r="R259" s="130"/>
      <c r="S259" s="130"/>
      <c r="T259" s="130"/>
      <c r="U259" s="130"/>
      <c r="V259" s="130"/>
      <c r="W259" s="130"/>
      <c r="X259" s="130"/>
      <c r="Y259" s="130"/>
      <c r="Z259" s="130"/>
    </row>
    <row r="260" spans="1:26" ht="12.75" customHeight="1" x14ac:dyDescent="0.2">
      <c r="A260" s="130"/>
      <c r="B260" s="130"/>
      <c r="C260" s="130"/>
      <c r="D260" s="130"/>
      <c r="E260" s="130"/>
      <c r="F260" s="188"/>
      <c r="G260" s="173"/>
      <c r="H260" s="173"/>
      <c r="I260" s="173"/>
      <c r="J260" s="130"/>
      <c r="K260" s="130"/>
      <c r="L260" s="130"/>
      <c r="M260" s="130"/>
      <c r="N260" s="130"/>
      <c r="O260" s="130"/>
      <c r="P260" s="130"/>
      <c r="Q260" s="130"/>
      <c r="R260" s="130"/>
      <c r="S260" s="130"/>
      <c r="T260" s="130"/>
      <c r="U260" s="130"/>
      <c r="V260" s="130"/>
      <c r="W260" s="130"/>
      <c r="X260" s="130"/>
      <c r="Y260" s="130"/>
      <c r="Z260" s="130"/>
    </row>
    <row r="261" spans="1:26" ht="12.75" customHeight="1" x14ac:dyDescent="0.2">
      <c r="A261" s="130"/>
      <c r="B261" s="130"/>
      <c r="C261" s="130"/>
      <c r="D261" s="130"/>
      <c r="E261" s="130"/>
      <c r="F261" s="188"/>
      <c r="G261" s="173"/>
      <c r="H261" s="173"/>
      <c r="I261" s="173"/>
      <c r="J261" s="130"/>
      <c r="K261" s="130"/>
      <c r="L261" s="130"/>
      <c r="M261" s="130"/>
      <c r="N261" s="130"/>
      <c r="O261" s="130"/>
      <c r="P261" s="130"/>
      <c r="Q261" s="130"/>
      <c r="R261" s="130"/>
      <c r="S261" s="130"/>
      <c r="T261" s="130"/>
      <c r="U261" s="130"/>
      <c r="V261" s="130"/>
      <c r="W261" s="130"/>
      <c r="X261" s="130"/>
      <c r="Y261" s="130"/>
      <c r="Z261" s="130"/>
    </row>
    <row r="262" spans="1:26" ht="12.75" customHeight="1" x14ac:dyDescent="0.2">
      <c r="A262" s="130"/>
      <c r="B262" s="130"/>
      <c r="C262" s="130"/>
      <c r="D262" s="130"/>
      <c r="E262" s="130"/>
      <c r="F262" s="188"/>
      <c r="G262" s="173"/>
      <c r="H262" s="173"/>
      <c r="I262" s="173"/>
      <c r="J262" s="130"/>
      <c r="K262" s="130"/>
      <c r="L262" s="130"/>
      <c r="M262" s="130"/>
      <c r="N262" s="130"/>
      <c r="O262" s="130"/>
      <c r="P262" s="130"/>
      <c r="Q262" s="130"/>
      <c r="R262" s="130"/>
      <c r="S262" s="130"/>
      <c r="T262" s="130"/>
      <c r="U262" s="130"/>
      <c r="V262" s="130"/>
      <c r="W262" s="130"/>
      <c r="X262" s="130"/>
      <c r="Y262" s="130"/>
      <c r="Z262" s="130"/>
    </row>
    <row r="263" spans="1:26" ht="12.75" customHeight="1" x14ac:dyDescent="0.2">
      <c r="A263" s="130"/>
      <c r="B263" s="130"/>
      <c r="C263" s="130"/>
      <c r="D263" s="130"/>
      <c r="E263" s="130"/>
      <c r="F263" s="188"/>
      <c r="G263" s="173"/>
      <c r="H263" s="173"/>
      <c r="I263" s="173"/>
      <c r="J263" s="130"/>
      <c r="K263" s="130"/>
      <c r="L263" s="130"/>
      <c r="M263" s="130"/>
      <c r="N263" s="130"/>
      <c r="O263" s="130"/>
      <c r="P263" s="130"/>
      <c r="Q263" s="130"/>
      <c r="R263" s="130"/>
      <c r="S263" s="130"/>
      <c r="T263" s="130"/>
      <c r="U263" s="130"/>
      <c r="V263" s="130"/>
      <c r="W263" s="130"/>
      <c r="X263" s="130"/>
      <c r="Y263" s="130"/>
      <c r="Z263" s="130"/>
    </row>
    <row r="264" spans="1:26" ht="12.75" customHeight="1" x14ac:dyDescent="0.2">
      <c r="A264" s="130"/>
      <c r="B264" s="130"/>
      <c r="C264" s="130"/>
      <c r="D264" s="130"/>
      <c r="E264" s="130"/>
      <c r="F264" s="188"/>
      <c r="G264" s="173"/>
      <c r="H264" s="173"/>
      <c r="I264" s="173"/>
      <c r="J264" s="130"/>
      <c r="K264" s="130"/>
      <c r="L264" s="130"/>
      <c r="M264" s="130"/>
      <c r="N264" s="130"/>
      <c r="O264" s="130"/>
      <c r="P264" s="130"/>
      <c r="Q264" s="130"/>
      <c r="R264" s="130"/>
      <c r="S264" s="130"/>
      <c r="T264" s="130"/>
      <c r="U264" s="130"/>
      <c r="V264" s="130"/>
      <c r="W264" s="130"/>
      <c r="X264" s="130"/>
      <c r="Y264" s="130"/>
      <c r="Z264" s="130"/>
    </row>
    <row r="265" spans="1:26" ht="12.75" customHeight="1" x14ac:dyDescent="0.2">
      <c r="A265" s="130"/>
      <c r="B265" s="130"/>
      <c r="C265" s="130"/>
      <c r="D265" s="130"/>
      <c r="E265" s="130"/>
      <c r="F265" s="188"/>
      <c r="G265" s="173"/>
      <c r="H265" s="173"/>
      <c r="I265" s="173"/>
      <c r="J265" s="130"/>
      <c r="K265" s="130"/>
      <c r="L265" s="130"/>
      <c r="M265" s="130"/>
      <c r="N265" s="130"/>
      <c r="O265" s="130"/>
      <c r="P265" s="130"/>
      <c r="Q265" s="130"/>
      <c r="R265" s="130"/>
      <c r="S265" s="130"/>
      <c r="T265" s="130"/>
      <c r="U265" s="130"/>
      <c r="V265" s="130"/>
      <c r="W265" s="130"/>
      <c r="X265" s="130"/>
      <c r="Y265" s="130"/>
      <c r="Z265" s="130"/>
    </row>
    <row r="266" spans="1:26" ht="12.75" customHeight="1" x14ac:dyDescent="0.2">
      <c r="A266" s="130"/>
      <c r="B266" s="130"/>
      <c r="C266" s="130"/>
      <c r="D266" s="130"/>
      <c r="E266" s="130"/>
      <c r="F266" s="188"/>
      <c r="G266" s="173"/>
      <c r="H266" s="173"/>
      <c r="I266" s="173"/>
      <c r="J266" s="130"/>
      <c r="K266" s="130"/>
      <c r="L266" s="130"/>
      <c r="M266" s="130"/>
      <c r="N266" s="130"/>
      <c r="O266" s="130"/>
      <c r="P266" s="130"/>
      <c r="Q266" s="130"/>
      <c r="R266" s="130"/>
      <c r="S266" s="130"/>
      <c r="T266" s="130"/>
      <c r="U266" s="130"/>
      <c r="V266" s="130"/>
      <c r="W266" s="130"/>
      <c r="X266" s="130"/>
      <c r="Y266" s="130"/>
      <c r="Z266" s="130"/>
    </row>
    <row r="267" spans="1:26" ht="12.75" customHeight="1" x14ac:dyDescent="0.2">
      <c r="A267" s="130"/>
      <c r="B267" s="130"/>
      <c r="C267" s="130"/>
      <c r="D267" s="130"/>
      <c r="E267" s="130"/>
      <c r="F267" s="188"/>
      <c r="G267" s="173"/>
      <c r="H267" s="173"/>
      <c r="I267" s="173"/>
      <c r="J267" s="130"/>
      <c r="K267" s="130"/>
      <c r="L267" s="130"/>
      <c r="M267" s="130"/>
      <c r="N267" s="130"/>
      <c r="O267" s="130"/>
      <c r="P267" s="130"/>
      <c r="Q267" s="130"/>
      <c r="R267" s="130"/>
      <c r="S267" s="130"/>
      <c r="T267" s="130"/>
      <c r="U267" s="130"/>
      <c r="V267" s="130"/>
      <c r="W267" s="130"/>
      <c r="X267" s="130"/>
      <c r="Y267" s="130"/>
      <c r="Z267" s="130"/>
    </row>
    <row r="268" spans="1:26" ht="12.75" customHeight="1" x14ac:dyDescent="0.2">
      <c r="A268" s="130"/>
      <c r="B268" s="130"/>
      <c r="C268" s="130"/>
      <c r="D268" s="130"/>
      <c r="E268" s="130"/>
      <c r="F268" s="188"/>
      <c r="G268" s="173"/>
      <c r="H268" s="173"/>
      <c r="I268" s="173"/>
      <c r="J268" s="130"/>
      <c r="K268" s="130"/>
      <c r="L268" s="130"/>
      <c r="M268" s="130"/>
      <c r="N268" s="130"/>
      <c r="O268" s="130"/>
      <c r="P268" s="130"/>
      <c r="Q268" s="130"/>
      <c r="R268" s="130"/>
      <c r="S268" s="130"/>
      <c r="T268" s="130"/>
      <c r="U268" s="130"/>
      <c r="V268" s="130"/>
      <c r="W268" s="130"/>
      <c r="X268" s="130"/>
      <c r="Y268" s="130"/>
      <c r="Z268" s="130"/>
    </row>
    <row r="269" spans="1:26" ht="12.75" customHeight="1" x14ac:dyDescent="0.2">
      <c r="A269" s="130"/>
      <c r="B269" s="130"/>
      <c r="C269" s="130"/>
      <c r="D269" s="130"/>
      <c r="E269" s="130"/>
      <c r="F269" s="188"/>
      <c r="G269" s="173"/>
      <c r="H269" s="173"/>
      <c r="I269" s="173"/>
      <c r="J269" s="130"/>
      <c r="K269" s="130"/>
      <c r="L269" s="130"/>
      <c r="M269" s="130"/>
      <c r="N269" s="130"/>
      <c r="O269" s="130"/>
      <c r="P269" s="130"/>
      <c r="Q269" s="130"/>
      <c r="R269" s="130"/>
      <c r="S269" s="130"/>
      <c r="T269" s="130"/>
      <c r="U269" s="130"/>
      <c r="V269" s="130"/>
      <c r="W269" s="130"/>
      <c r="X269" s="130"/>
      <c r="Y269" s="130"/>
      <c r="Z269" s="130"/>
    </row>
    <row r="270" spans="1:26" ht="12.75" customHeight="1" x14ac:dyDescent="0.2">
      <c r="A270" s="130"/>
      <c r="B270" s="130"/>
      <c r="C270" s="130"/>
      <c r="D270" s="130"/>
      <c r="E270" s="130"/>
      <c r="F270" s="188"/>
      <c r="G270" s="173"/>
      <c r="H270" s="173"/>
      <c r="I270" s="173"/>
      <c r="J270" s="130"/>
      <c r="K270" s="130"/>
      <c r="L270" s="130"/>
      <c r="M270" s="130"/>
      <c r="N270" s="130"/>
      <c r="O270" s="130"/>
      <c r="P270" s="130"/>
      <c r="Q270" s="130"/>
      <c r="R270" s="130"/>
      <c r="S270" s="130"/>
      <c r="T270" s="130"/>
      <c r="U270" s="130"/>
      <c r="V270" s="130"/>
      <c r="W270" s="130"/>
      <c r="X270" s="130"/>
      <c r="Y270" s="130"/>
      <c r="Z270" s="130"/>
    </row>
    <row r="271" spans="1:26" ht="15.75" customHeight="1" x14ac:dyDescent="0.2"/>
    <row r="272" spans="1:26"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portrait"/>
  <headerFooter>
    <oddFooter>&amp;L000000</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A1:Z1000"/>
  <sheetViews>
    <sheetView showGridLines="0" workbookViewId="0"/>
  </sheetViews>
  <sheetFormatPr baseColWidth="10" defaultColWidth="11.1640625" defaultRowHeight="15" customHeight="1" x14ac:dyDescent="0.2"/>
  <cols>
    <col min="1" max="1" width="1.6640625" customWidth="1"/>
    <col min="2" max="2" width="23.1640625" customWidth="1"/>
    <col min="3" max="3" width="12.6640625" customWidth="1"/>
    <col min="4" max="4" width="11.1640625" customWidth="1"/>
    <col min="5" max="5" width="10.33203125" customWidth="1"/>
    <col min="6" max="6" width="14.33203125" customWidth="1"/>
    <col min="7" max="7" width="14.5" customWidth="1"/>
    <col min="8" max="12" width="13.1640625" customWidth="1"/>
    <col min="13" max="16" width="13.1640625" hidden="1" customWidth="1"/>
    <col min="17" max="17" width="1.6640625" customWidth="1"/>
    <col min="18" max="26" width="11.83203125" customWidth="1"/>
  </cols>
  <sheetData>
    <row r="1" spans="1:26" ht="11.25" customHeight="1" x14ac:dyDescent="0.2">
      <c r="A1" s="202"/>
      <c r="B1" s="203"/>
      <c r="C1" s="203"/>
      <c r="D1" s="203"/>
      <c r="E1" s="203"/>
      <c r="F1" s="203"/>
      <c r="G1" s="203"/>
      <c r="H1" s="203"/>
      <c r="I1" s="203"/>
      <c r="J1" s="203"/>
      <c r="K1" s="203"/>
      <c r="L1" s="203"/>
      <c r="M1" s="203"/>
      <c r="N1" s="203"/>
      <c r="O1" s="203"/>
      <c r="P1" s="203"/>
      <c r="Q1" s="204"/>
      <c r="R1" s="205"/>
      <c r="S1" s="205"/>
      <c r="T1" s="205"/>
      <c r="U1" s="205"/>
      <c r="V1" s="205"/>
      <c r="W1" s="205"/>
      <c r="X1" s="205"/>
      <c r="Y1" s="205"/>
      <c r="Z1" s="205"/>
    </row>
    <row r="2" spans="1:26" ht="21" customHeight="1" x14ac:dyDescent="0.2">
      <c r="A2" s="206"/>
      <c r="B2" s="207"/>
      <c r="C2" s="208"/>
      <c r="D2" s="208" t="str">
        <f>INPUTS!A2</f>
        <v>1547 Milligan Hwy, Johnson City, TN 37604</v>
      </c>
      <c r="E2" s="208"/>
      <c r="F2" s="209"/>
      <c r="G2" s="210"/>
      <c r="H2" s="209"/>
      <c r="I2" s="209"/>
      <c r="J2" s="209"/>
      <c r="K2" s="209"/>
      <c r="L2" s="211"/>
      <c r="M2" s="212"/>
      <c r="N2" s="212"/>
      <c r="O2" s="212"/>
      <c r="P2" s="213"/>
      <c r="Q2" s="214"/>
      <c r="R2" s="215"/>
      <c r="S2" s="215"/>
      <c r="T2" s="215"/>
      <c r="U2" s="215"/>
      <c r="V2" s="215"/>
      <c r="W2" s="215"/>
      <c r="X2" s="215"/>
      <c r="Y2" s="215"/>
      <c r="Z2" s="215"/>
    </row>
    <row r="3" spans="1:26" ht="36" customHeight="1" x14ac:dyDescent="0.25">
      <c r="A3" s="206"/>
      <c r="B3" s="216"/>
      <c r="C3" s="217"/>
      <c r="D3" s="218" t="s">
        <v>190</v>
      </c>
      <c r="E3" s="218"/>
      <c r="F3" s="217"/>
      <c r="G3" s="219"/>
      <c r="H3" s="217"/>
      <c r="I3" s="217"/>
      <c r="J3" s="217"/>
      <c r="K3" s="217"/>
      <c r="L3" s="220"/>
      <c r="M3" s="221"/>
      <c r="N3" s="221"/>
      <c r="O3" s="221"/>
      <c r="P3" s="222"/>
      <c r="Q3" s="214"/>
      <c r="R3" s="215"/>
      <c r="S3" s="215"/>
      <c r="T3" s="215"/>
      <c r="U3" s="215"/>
      <c r="V3" s="215"/>
      <c r="W3" s="215"/>
      <c r="X3" s="215"/>
      <c r="Y3" s="215"/>
      <c r="Z3" s="215"/>
    </row>
    <row r="4" spans="1:26" ht="16" x14ac:dyDescent="0.2">
      <c r="A4" s="206"/>
      <c r="B4" s="223" t="s">
        <v>191</v>
      </c>
      <c r="C4" s="224" t="s">
        <v>192</v>
      </c>
      <c r="D4" s="224"/>
      <c r="E4" s="225"/>
      <c r="F4" s="226">
        <v>0</v>
      </c>
      <c r="G4" s="226">
        <f t="shared" ref="G4:P4" si="0">F4+1</f>
        <v>1</v>
      </c>
      <c r="H4" s="226">
        <f t="shared" si="0"/>
        <v>2</v>
      </c>
      <c r="I4" s="226">
        <f t="shared" si="0"/>
        <v>3</v>
      </c>
      <c r="J4" s="226">
        <f t="shared" si="0"/>
        <v>4</v>
      </c>
      <c r="K4" s="226">
        <f t="shared" si="0"/>
        <v>5</v>
      </c>
      <c r="L4" s="226">
        <f t="shared" si="0"/>
        <v>6</v>
      </c>
      <c r="M4" s="226">
        <f t="shared" si="0"/>
        <v>7</v>
      </c>
      <c r="N4" s="226">
        <f t="shared" si="0"/>
        <v>8</v>
      </c>
      <c r="O4" s="226">
        <f t="shared" si="0"/>
        <v>9</v>
      </c>
      <c r="P4" s="227">
        <f t="shared" si="0"/>
        <v>10</v>
      </c>
      <c r="Q4" s="214"/>
      <c r="R4" s="215"/>
      <c r="S4" s="215"/>
      <c r="T4" s="215"/>
      <c r="U4" s="215"/>
      <c r="V4" s="215"/>
      <c r="W4" s="215"/>
      <c r="X4" s="215"/>
      <c r="Y4" s="215"/>
      <c r="Z4" s="215"/>
    </row>
    <row r="5" spans="1:26" ht="16" x14ac:dyDescent="0.2">
      <c r="A5" s="206"/>
      <c r="B5" s="228" t="s">
        <v>193</v>
      </c>
      <c r="C5" s="229">
        <v>0.1</v>
      </c>
      <c r="D5" s="230">
        <f>C5*INPUTS!$D$17</f>
        <v>113960</v>
      </c>
      <c r="E5" s="225"/>
      <c r="F5" s="231">
        <f>PROFORMA!E10</f>
        <v>2026</v>
      </c>
      <c r="G5" s="231">
        <f>PROFORMA!F10</f>
        <v>2026</v>
      </c>
      <c r="H5" s="231">
        <f t="shared" ref="H5:P5" si="1">G5+1</f>
        <v>2027</v>
      </c>
      <c r="I5" s="231">
        <f t="shared" si="1"/>
        <v>2028</v>
      </c>
      <c r="J5" s="231">
        <f t="shared" si="1"/>
        <v>2029</v>
      </c>
      <c r="K5" s="231">
        <f t="shared" si="1"/>
        <v>2030</v>
      </c>
      <c r="L5" s="231">
        <f t="shared" si="1"/>
        <v>2031</v>
      </c>
      <c r="M5" s="231">
        <f t="shared" si="1"/>
        <v>2032</v>
      </c>
      <c r="N5" s="231">
        <f t="shared" si="1"/>
        <v>2033</v>
      </c>
      <c r="O5" s="231">
        <f t="shared" si="1"/>
        <v>2034</v>
      </c>
      <c r="P5" s="232">
        <f t="shared" si="1"/>
        <v>2035</v>
      </c>
      <c r="Q5" s="214"/>
      <c r="R5" s="215"/>
      <c r="S5" s="215"/>
      <c r="T5" s="215"/>
      <c r="U5" s="215"/>
      <c r="V5" s="215"/>
      <c r="W5" s="215"/>
      <c r="X5" s="215"/>
      <c r="Y5" s="215"/>
      <c r="Z5" s="215"/>
    </row>
    <row r="6" spans="1:26" ht="16" x14ac:dyDescent="0.2">
      <c r="A6" s="206"/>
      <c r="B6" s="233" t="s">
        <v>194</v>
      </c>
      <c r="C6" s="234">
        <v>0.9</v>
      </c>
      <c r="D6" s="235">
        <f>C6*INPUTS!$D$17</f>
        <v>1025640</v>
      </c>
      <c r="E6" s="236"/>
      <c r="F6" s="237"/>
      <c r="G6" s="237"/>
      <c r="H6" s="237"/>
      <c r="I6" s="237"/>
      <c r="J6" s="237"/>
      <c r="K6" s="237"/>
      <c r="L6" s="237"/>
      <c r="M6" s="237"/>
      <c r="N6" s="237"/>
      <c r="O6" s="237"/>
      <c r="P6" s="238"/>
      <c r="Q6" s="214"/>
      <c r="R6" s="215"/>
      <c r="S6" s="215"/>
      <c r="T6" s="215"/>
      <c r="U6" s="215"/>
      <c r="V6" s="215"/>
      <c r="W6" s="215"/>
      <c r="X6" s="215"/>
      <c r="Y6" s="215"/>
      <c r="Z6" s="215"/>
    </row>
    <row r="7" spans="1:26" ht="16" x14ac:dyDescent="0.2">
      <c r="A7" s="206"/>
      <c r="B7" s="223" t="s">
        <v>195</v>
      </c>
      <c r="C7" s="239" t="s">
        <v>196</v>
      </c>
      <c r="D7" s="240" t="s">
        <v>197</v>
      </c>
      <c r="E7" s="239" t="s">
        <v>198</v>
      </c>
      <c r="F7" s="241"/>
      <c r="G7" s="240"/>
      <c r="H7" s="241"/>
      <c r="I7" s="241"/>
      <c r="J7" s="230"/>
      <c r="K7" s="241"/>
      <c r="L7" s="241"/>
      <c r="M7" s="241"/>
      <c r="N7" s="242"/>
      <c r="O7" s="242"/>
      <c r="P7" s="243"/>
      <c r="Q7" s="214"/>
      <c r="R7" s="215"/>
      <c r="S7" s="215"/>
      <c r="T7" s="215"/>
      <c r="U7" s="215"/>
      <c r="V7" s="215"/>
      <c r="W7" s="215"/>
      <c r="X7" s="215"/>
      <c r="Y7" s="215"/>
      <c r="Z7" s="215"/>
    </row>
    <row r="8" spans="1:26" ht="16" x14ac:dyDescent="0.2">
      <c r="A8" s="206"/>
      <c r="B8" s="244" t="s">
        <v>199</v>
      </c>
      <c r="C8" s="245">
        <v>0.06</v>
      </c>
      <c r="D8" s="245">
        <v>0</v>
      </c>
      <c r="E8" s="245">
        <v>1</v>
      </c>
      <c r="F8" s="241"/>
      <c r="G8" s="240"/>
      <c r="H8" s="241"/>
      <c r="I8" s="241"/>
      <c r="J8" s="230"/>
      <c r="K8" s="230"/>
      <c r="L8" s="230"/>
      <c r="M8" s="230"/>
      <c r="N8" s="241"/>
      <c r="O8" s="241"/>
      <c r="P8" s="246"/>
      <c r="Q8" s="214"/>
      <c r="R8" s="215"/>
      <c r="S8" s="215"/>
      <c r="T8" s="215"/>
      <c r="U8" s="215"/>
      <c r="V8" s="215"/>
      <c r="W8" s="215"/>
      <c r="X8" s="215"/>
      <c r="Y8" s="215"/>
      <c r="Z8" s="215"/>
    </row>
    <row r="9" spans="1:26" ht="16" x14ac:dyDescent="0.2">
      <c r="A9" s="206"/>
      <c r="B9" s="244" t="s">
        <v>200</v>
      </c>
      <c r="C9" s="245">
        <v>0</v>
      </c>
      <c r="D9" s="245">
        <v>0.5</v>
      </c>
      <c r="E9" s="245">
        <v>0.5</v>
      </c>
      <c r="F9" s="247"/>
      <c r="G9" s="248"/>
      <c r="H9" s="249"/>
      <c r="I9" s="248"/>
      <c r="J9" s="230"/>
      <c r="K9" s="230"/>
      <c r="L9" s="230"/>
      <c r="M9" s="230"/>
      <c r="N9" s="241"/>
      <c r="O9" s="241"/>
      <c r="P9" s="246"/>
      <c r="Q9" s="214"/>
      <c r="R9" s="215"/>
      <c r="S9" s="215"/>
      <c r="T9" s="215"/>
      <c r="U9" s="215"/>
      <c r="V9" s="215"/>
      <c r="W9" s="215"/>
      <c r="X9" s="215"/>
      <c r="Y9" s="215"/>
      <c r="Z9" s="215"/>
    </row>
    <row r="10" spans="1:26" ht="16" x14ac:dyDescent="0.2">
      <c r="A10" s="206"/>
      <c r="B10" s="244" t="s">
        <v>201</v>
      </c>
      <c r="C10" s="248" t="s">
        <v>202</v>
      </c>
      <c r="D10" s="250">
        <v>0.2</v>
      </c>
      <c r="E10" s="250">
        <v>0.8</v>
      </c>
      <c r="F10" s="247"/>
      <c r="G10" s="248"/>
      <c r="H10" s="249"/>
      <c r="I10" s="248"/>
      <c r="J10" s="230"/>
      <c r="K10" s="230"/>
      <c r="L10" s="230"/>
      <c r="M10" s="230"/>
      <c r="N10" s="241"/>
      <c r="O10" s="241"/>
      <c r="P10" s="246"/>
      <c r="Q10" s="214"/>
      <c r="R10" s="215"/>
      <c r="S10" s="215"/>
      <c r="T10" s="215"/>
      <c r="U10" s="215"/>
      <c r="V10" s="215"/>
      <c r="W10" s="215"/>
      <c r="X10" s="215"/>
      <c r="Y10" s="215"/>
      <c r="Z10" s="215"/>
    </row>
    <row r="11" spans="1:26" ht="15.75" customHeight="1" x14ac:dyDescent="0.2">
      <c r="A11" s="206"/>
      <c r="B11" s="244" t="s">
        <v>203</v>
      </c>
      <c r="C11" s="245">
        <v>0.15</v>
      </c>
      <c r="D11" s="241"/>
      <c r="E11" s="251"/>
      <c r="F11" s="252"/>
      <c r="G11" s="252"/>
      <c r="H11" s="252"/>
      <c r="I11" s="252"/>
      <c r="J11" s="252"/>
      <c r="K11" s="252"/>
      <c r="L11" s="252"/>
      <c r="M11" s="252"/>
      <c r="N11" s="252"/>
      <c r="O11" s="252"/>
      <c r="P11" s="253"/>
      <c r="Q11" s="214"/>
      <c r="R11" s="215"/>
      <c r="S11" s="215"/>
      <c r="T11" s="215"/>
      <c r="U11" s="215"/>
      <c r="V11" s="215"/>
      <c r="W11" s="215"/>
      <c r="X11" s="215"/>
      <c r="Y11" s="215"/>
      <c r="Z11" s="215"/>
    </row>
    <row r="12" spans="1:26" ht="16.5" customHeight="1" x14ac:dyDescent="0.2">
      <c r="A12" s="206"/>
      <c r="B12" s="254" t="s">
        <v>204</v>
      </c>
      <c r="C12" s="255"/>
      <c r="D12" s="256" t="s">
        <v>124</v>
      </c>
      <c r="E12" s="257">
        <f>IRR(F12:P12)</f>
        <v>0.16935242517374149</v>
      </c>
      <c r="F12" s="258">
        <f>PROFORMA!E49</f>
        <v>-1139600</v>
      </c>
      <c r="G12" s="258">
        <f>PROFORMA!F49</f>
        <v>33413.343999999983</v>
      </c>
      <c r="H12" s="258">
        <f>PROFORMA!G49</f>
        <v>100898.07887999999</v>
      </c>
      <c r="I12" s="258">
        <f>PROFORMA!H49</f>
        <v>521895.4306507312</v>
      </c>
      <c r="J12" s="258">
        <f>PROFORMA!I49</f>
        <v>94915.514141213513</v>
      </c>
      <c r="K12" s="258">
        <f>PROFORMA!J49</f>
        <v>102759.06407294849</v>
      </c>
      <c r="L12" s="259">
        <f>PROFORMA!K49</f>
        <v>1567423.8437775017</v>
      </c>
      <c r="M12" s="260">
        <f>PROFORMA!L49</f>
        <v>0</v>
      </c>
      <c r="N12" s="260">
        <f>PROFORMA!M49</f>
        <v>0</v>
      </c>
      <c r="O12" s="260">
        <f>PROFORMA!N49</f>
        <v>0</v>
      </c>
      <c r="P12" s="261">
        <f>PROFORMA!O49</f>
        <v>0</v>
      </c>
      <c r="Q12" s="214"/>
      <c r="R12" s="215"/>
      <c r="S12" s="215"/>
      <c r="T12" s="215"/>
      <c r="U12" s="215"/>
      <c r="V12" s="215"/>
      <c r="W12" s="215"/>
      <c r="X12" s="215"/>
      <c r="Y12" s="215"/>
      <c r="Z12" s="215"/>
    </row>
    <row r="13" spans="1:26" ht="16" x14ac:dyDescent="0.2">
      <c r="A13" s="206"/>
      <c r="B13" s="262"/>
      <c r="C13" s="215"/>
      <c r="D13" s="263"/>
      <c r="E13" s="264"/>
      <c r="F13" s="215"/>
      <c r="G13" s="265"/>
      <c r="H13" s="265"/>
      <c r="I13" s="265"/>
      <c r="J13" s="265"/>
      <c r="K13" s="265"/>
      <c r="L13" s="265"/>
      <c r="M13" s="265"/>
      <c r="N13" s="215"/>
      <c r="O13" s="215"/>
      <c r="P13" s="266"/>
      <c r="Q13" s="214"/>
      <c r="R13" s="215"/>
      <c r="S13" s="215"/>
      <c r="T13" s="215"/>
      <c r="U13" s="215"/>
      <c r="V13" s="215"/>
      <c r="W13" s="215"/>
      <c r="X13" s="215"/>
      <c r="Y13" s="215"/>
      <c r="Z13" s="215"/>
    </row>
    <row r="14" spans="1:26" ht="16" x14ac:dyDescent="0.2">
      <c r="A14" s="206"/>
      <c r="B14" s="267" t="s">
        <v>205</v>
      </c>
      <c r="C14" s="268"/>
      <c r="D14" s="269"/>
      <c r="E14" s="269"/>
      <c r="F14" s="270"/>
      <c r="G14" s="270"/>
      <c r="H14" s="270"/>
      <c r="I14" s="270"/>
      <c r="J14" s="270"/>
      <c r="K14" s="270"/>
      <c r="L14" s="270"/>
      <c r="M14" s="270"/>
      <c r="N14" s="270"/>
      <c r="O14" s="270"/>
      <c r="P14" s="271"/>
      <c r="Q14" s="214"/>
      <c r="R14" s="215"/>
      <c r="S14" s="215"/>
      <c r="T14" s="215"/>
      <c r="U14" s="215"/>
      <c r="V14" s="215"/>
      <c r="W14" s="215"/>
      <c r="X14" s="215"/>
      <c r="Y14" s="215"/>
      <c r="Z14" s="215"/>
    </row>
    <row r="15" spans="1:26" ht="15.75" customHeight="1" x14ac:dyDescent="0.2">
      <c r="A15" s="206"/>
      <c r="B15" s="272" t="s">
        <v>206</v>
      </c>
      <c r="C15" s="215"/>
      <c r="D15" s="215"/>
      <c r="E15" s="215"/>
      <c r="F15" s="265">
        <f t="shared" ref="F15:P15" si="2">E20</f>
        <v>0</v>
      </c>
      <c r="G15" s="265">
        <f t="shared" si="2"/>
        <v>1025640</v>
      </c>
      <c r="H15" s="265">
        <f t="shared" si="2"/>
        <v>1025640</v>
      </c>
      <c r="I15" s="265">
        <f t="shared" si="2"/>
        <v>1016652.301696</v>
      </c>
      <c r="J15" s="265">
        <f t="shared" si="2"/>
        <v>647935.26765682304</v>
      </c>
      <c r="K15" s="265">
        <f t="shared" si="2"/>
        <v>603103.74919137976</v>
      </c>
      <c r="L15" s="265">
        <f t="shared" si="2"/>
        <v>549845.47789420723</v>
      </c>
      <c r="M15" s="265">
        <f t="shared" si="2"/>
        <v>0</v>
      </c>
      <c r="N15" s="265">
        <f t="shared" si="2"/>
        <v>0</v>
      </c>
      <c r="O15" s="265">
        <f t="shared" si="2"/>
        <v>0</v>
      </c>
      <c r="P15" s="265">
        <f t="shared" si="2"/>
        <v>0</v>
      </c>
      <c r="Q15" s="214"/>
      <c r="R15" s="215"/>
      <c r="S15" s="215"/>
      <c r="T15" s="215"/>
      <c r="U15" s="215"/>
      <c r="V15" s="215"/>
      <c r="W15" s="215"/>
      <c r="X15" s="215"/>
      <c r="Y15" s="215"/>
      <c r="Z15" s="215"/>
    </row>
    <row r="16" spans="1:26" ht="16" x14ac:dyDescent="0.2">
      <c r="A16" s="206"/>
      <c r="B16" s="272" t="s">
        <v>207</v>
      </c>
      <c r="C16" s="273">
        <f>C8</f>
        <v>0.06</v>
      </c>
      <c r="D16" s="205"/>
      <c r="E16" s="71"/>
      <c r="F16" s="265">
        <f t="shared" ref="F16:G16" si="3">F15*$C16</f>
        <v>0</v>
      </c>
      <c r="G16" s="265">
        <f t="shared" si="3"/>
        <v>61538.399999999994</v>
      </c>
      <c r="H16" s="265">
        <f t="shared" ref="H16:I16" si="4">(H$15*$C$16)+G19</f>
        <v>89663.456000000006</v>
      </c>
      <c r="I16" s="265">
        <f t="shared" si="4"/>
        <v>60999.13810176</v>
      </c>
      <c r="J16" s="265">
        <f t="shared" ref="J16:L16" si="5">(J15*$C$16)+I19</f>
        <v>38876.116059409382</v>
      </c>
      <c r="K16" s="265">
        <f t="shared" si="5"/>
        <v>36186.224951482785</v>
      </c>
      <c r="L16" s="265">
        <f t="shared" si="5"/>
        <v>32990.728673652433</v>
      </c>
      <c r="M16" s="265">
        <f t="shared" ref="M16:P16" si="6">M15*$C16</f>
        <v>0</v>
      </c>
      <c r="N16" s="265">
        <f t="shared" si="6"/>
        <v>0</v>
      </c>
      <c r="O16" s="265">
        <f t="shared" si="6"/>
        <v>0</v>
      </c>
      <c r="P16" s="265">
        <f t="shared" si="6"/>
        <v>0</v>
      </c>
      <c r="Q16" s="214"/>
      <c r="R16" s="215"/>
      <c r="S16" s="215"/>
      <c r="T16" s="215"/>
      <c r="U16" s="215"/>
      <c r="V16" s="215"/>
      <c r="W16" s="215"/>
      <c r="X16" s="215"/>
      <c r="Y16" s="215"/>
      <c r="Z16" s="215"/>
    </row>
    <row r="17" spans="1:26" ht="16" x14ac:dyDescent="0.2">
      <c r="A17" s="206"/>
      <c r="B17" s="272" t="s">
        <v>208</v>
      </c>
      <c r="C17" s="273">
        <f>C6</f>
        <v>0.9</v>
      </c>
      <c r="D17" s="205"/>
      <c r="E17" s="71"/>
      <c r="F17" s="274">
        <f t="shared" ref="F17:P17" si="7">-MIN(F12,0)*$C$17</f>
        <v>1025640</v>
      </c>
      <c r="G17" s="265">
        <f t="shared" si="7"/>
        <v>0</v>
      </c>
      <c r="H17" s="265">
        <f t="shared" si="7"/>
        <v>0</v>
      </c>
      <c r="I17" s="265">
        <f t="shared" si="7"/>
        <v>0</v>
      </c>
      <c r="J17" s="265">
        <f t="shared" si="7"/>
        <v>0</v>
      </c>
      <c r="K17" s="265">
        <f t="shared" si="7"/>
        <v>0</v>
      </c>
      <c r="L17" s="265">
        <f t="shared" si="7"/>
        <v>0</v>
      </c>
      <c r="M17" s="265">
        <f t="shared" si="7"/>
        <v>0</v>
      </c>
      <c r="N17" s="265">
        <f t="shared" si="7"/>
        <v>0</v>
      </c>
      <c r="O17" s="265">
        <f t="shared" si="7"/>
        <v>0</v>
      </c>
      <c r="P17" s="265">
        <f t="shared" si="7"/>
        <v>0</v>
      </c>
      <c r="Q17" s="214"/>
      <c r="R17" s="215"/>
      <c r="S17" s="215"/>
      <c r="T17" s="215"/>
      <c r="U17" s="215"/>
      <c r="V17" s="215"/>
      <c r="W17" s="215"/>
      <c r="X17" s="215"/>
      <c r="Y17" s="215"/>
      <c r="Z17" s="215"/>
    </row>
    <row r="18" spans="1:26" ht="16" x14ac:dyDescent="0.2">
      <c r="A18" s="275"/>
      <c r="B18" s="276" t="s">
        <v>209</v>
      </c>
      <c r="C18" s="277">
        <f>E8</f>
        <v>1</v>
      </c>
      <c r="D18" s="71"/>
      <c r="E18" s="71"/>
      <c r="F18" s="278">
        <f t="shared" ref="F18:G18" si="8">MIN(F15+F16,MAX(F12,0)*$C18)</f>
        <v>0</v>
      </c>
      <c r="G18" s="278">
        <f t="shared" si="8"/>
        <v>33413.343999999983</v>
      </c>
      <c r="H18" s="278">
        <f t="shared" ref="H18:L18" si="9">MIN(H16,MAX(H12,0)*$C18)</f>
        <v>89663.456000000006</v>
      </c>
      <c r="I18" s="278">
        <f t="shared" si="9"/>
        <v>60999.13810176</v>
      </c>
      <c r="J18" s="278">
        <f t="shared" si="9"/>
        <v>38876.116059409382</v>
      </c>
      <c r="K18" s="278">
        <f t="shared" si="9"/>
        <v>36186.224951482785</v>
      </c>
      <c r="L18" s="278">
        <f t="shared" si="9"/>
        <v>32990.728673652433</v>
      </c>
      <c r="M18" s="274">
        <f t="shared" ref="M18:P18" si="10">MIN(M15+M16,MAX(M12,0)*$C18)</f>
        <v>0</v>
      </c>
      <c r="N18" s="274">
        <f t="shared" si="10"/>
        <v>0</v>
      </c>
      <c r="O18" s="274">
        <f t="shared" si="10"/>
        <v>0</v>
      </c>
      <c r="P18" s="274">
        <f t="shared" si="10"/>
        <v>0</v>
      </c>
      <c r="Q18" s="279"/>
      <c r="R18" s="280"/>
      <c r="S18" s="280"/>
      <c r="T18" s="280"/>
      <c r="U18" s="280"/>
      <c r="V18" s="280"/>
      <c r="W18" s="280"/>
      <c r="X18" s="280"/>
      <c r="Y18" s="280"/>
      <c r="Z18" s="280"/>
    </row>
    <row r="19" spans="1:26" ht="16" x14ac:dyDescent="0.2">
      <c r="A19" s="275"/>
      <c r="B19" s="276" t="s">
        <v>210</v>
      </c>
      <c r="C19" s="277"/>
      <c r="D19" s="71"/>
      <c r="E19" s="71"/>
      <c r="F19" s="274">
        <f t="shared" ref="F19:L19" si="11">F16-F18</f>
        <v>0</v>
      </c>
      <c r="G19" s="274">
        <f t="shared" si="11"/>
        <v>28125.056000000011</v>
      </c>
      <c r="H19" s="274">
        <f t="shared" si="11"/>
        <v>0</v>
      </c>
      <c r="I19" s="274">
        <f t="shared" si="11"/>
        <v>0</v>
      </c>
      <c r="J19" s="274">
        <f t="shared" si="11"/>
        <v>0</v>
      </c>
      <c r="K19" s="274">
        <f t="shared" si="11"/>
        <v>0</v>
      </c>
      <c r="L19" s="274">
        <f t="shared" si="11"/>
        <v>0</v>
      </c>
      <c r="M19" s="274"/>
      <c r="N19" s="274"/>
      <c r="O19" s="274"/>
      <c r="P19" s="274"/>
      <c r="Q19" s="279"/>
      <c r="R19" s="280"/>
      <c r="S19" s="280"/>
      <c r="T19" s="280"/>
      <c r="U19" s="280"/>
      <c r="V19" s="280"/>
      <c r="W19" s="280"/>
      <c r="X19" s="280"/>
      <c r="Y19" s="280"/>
      <c r="Z19" s="280"/>
    </row>
    <row r="20" spans="1:26" ht="15.75" customHeight="1" x14ac:dyDescent="0.2">
      <c r="A20" s="206"/>
      <c r="B20" s="272" t="s">
        <v>211</v>
      </c>
      <c r="C20" s="273"/>
      <c r="D20" s="205"/>
      <c r="E20" s="215"/>
      <c r="F20" s="265">
        <f t="shared" ref="F20:L20" si="12">MAX(0,F15+F17-F53)</f>
        <v>1025640</v>
      </c>
      <c r="G20" s="265">
        <f t="shared" si="12"/>
        <v>1025640</v>
      </c>
      <c r="H20" s="265">
        <f t="shared" si="12"/>
        <v>1016652.301696</v>
      </c>
      <c r="I20" s="265">
        <f t="shared" si="12"/>
        <v>647935.26765682304</v>
      </c>
      <c r="J20" s="265">
        <f t="shared" si="12"/>
        <v>603103.74919137976</v>
      </c>
      <c r="K20" s="265">
        <f t="shared" si="12"/>
        <v>549845.47789420723</v>
      </c>
      <c r="L20" s="265">
        <f t="shared" si="12"/>
        <v>0</v>
      </c>
      <c r="M20" s="265">
        <f t="shared" ref="M20:P20" si="13">MAX(0,M15+M16+M17-M18)</f>
        <v>0</v>
      </c>
      <c r="N20" s="265">
        <f t="shared" si="13"/>
        <v>0</v>
      </c>
      <c r="O20" s="265">
        <f t="shared" si="13"/>
        <v>0</v>
      </c>
      <c r="P20" s="265">
        <f t="shared" si="13"/>
        <v>0</v>
      </c>
      <c r="Q20" s="214"/>
      <c r="R20" s="215"/>
      <c r="S20" s="215"/>
      <c r="T20" s="215"/>
      <c r="U20" s="215"/>
      <c r="V20" s="215"/>
      <c r="W20" s="215"/>
      <c r="X20" s="215"/>
      <c r="Y20" s="215"/>
      <c r="Z20" s="215"/>
    </row>
    <row r="21" spans="1:26" ht="15.75" customHeight="1" x14ac:dyDescent="0.2">
      <c r="A21" s="275"/>
      <c r="B21" s="276" t="s">
        <v>212</v>
      </c>
      <c r="C21" s="277">
        <f>C16</f>
        <v>0.06</v>
      </c>
      <c r="D21" s="71"/>
      <c r="E21" s="264"/>
      <c r="F21" s="277">
        <f t="shared" ref="F21:P21" si="14">F18/SUM($E17:F17)</f>
        <v>0</v>
      </c>
      <c r="G21" s="277">
        <f t="shared" si="14"/>
        <v>3.2578042978042961E-2</v>
      </c>
      <c r="H21" s="277">
        <f t="shared" si="14"/>
        <v>8.7421957021957028E-2</v>
      </c>
      <c r="I21" s="277">
        <f t="shared" si="14"/>
        <v>5.9474219123435125E-2</v>
      </c>
      <c r="J21" s="277">
        <f t="shared" si="14"/>
        <v>3.7904251062175209E-2</v>
      </c>
      <c r="K21" s="277">
        <f t="shared" si="14"/>
        <v>3.5281604609300327E-2</v>
      </c>
      <c r="L21" s="277">
        <f t="shared" si="14"/>
        <v>3.2165992622803743E-2</v>
      </c>
      <c r="M21" s="277">
        <f t="shared" si="14"/>
        <v>0</v>
      </c>
      <c r="N21" s="277">
        <f t="shared" si="14"/>
        <v>0</v>
      </c>
      <c r="O21" s="277">
        <f t="shared" si="14"/>
        <v>0</v>
      </c>
      <c r="P21" s="277">
        <f t="shared" si="14"/>
        <v>0</v>
      </c>
      <c r="Q21" s="279"/>
      <c r="R21" s="280"/>
      <c r="S21" s="280"/>
      <c r="T21" s="280"/>
      <c r="U21" s="280"/>
      <c r="V21" s="280"/>
      <c r="W21" s="280"/>
      <c r="X21" s="280"/>
      <c r="Y21" s="280"/>
      <c r="Z21" s="280"/>
    </row>
    <row r="22" spans="1:26" ht="15.75" customHeight="1" x14ac:dyDescent="0.2">
      <c r="A22" s="206"/>
      <c r="B22" s="272" t="s">
        <v>213</v>
      </c>
      <c r="C22" s="273"/>
      <c r="D22" s="215"/>
      <c r="E22" s="281"/>
      <c r="F22" s="265">
        <f t="shared" ref="F22:P22" si="15">-F17+F18</f>
        <v>-1025640</v>
      </c>
      <c r="G22" s="265">
        <f t="shared" si="15"/>
        <v>33413.343999999983</v>
      </c>
      <c r="H22" s="265">
        <f t="shared" si="15"/>
        <v>89663.456000000006</v>
      </c>
      <c r="I22" s="265">
        <f t="shared" si="15"/>
        <v>60999.13810176</v>
      </c>
      <c r="J22" s="265">
        <f t="shared" si="15"/>
        <v>38876.116059409382</v>
      </c>
      <c r="K22" s="265">
        <f t="shared" si="15"/>
        <v>36186.224951482785</v>
      </c>
      <c r="L22" s="265">
        <f t="shared" si="15"/>
        <v>32990.728673652433</v>
      </c>
      <c r="M22" s="274">
        <f t="shared" si="15"/>
        <v>0</v>
      </c>
      <c r="N22" s="274">
        <f t="shared" si="15"/>
        <v>0</v>
      </c>
      <c r="O22" s="274">
        <f t="shared" si="15"/>
        <v>0</v>
      </c>
      <c r="P22" s="274">
        <f t="shared" si="15"/>
        <v>0</v>
      </c>
      <c r="Q22" s="214"/>
      <c r="R22" s="215"/>
      <c r="S22" s="215"/>
      <c r="T22" s="215"/>
      <c r="U22" s="215"/>
      <c r="V22" s="215"/>
      <c r="W22" s="215"/>
      <c r="X22" s="215"/>
      <c r="Y22" s="215"/>
      <c r="Z22" s="215"/>
    </row>
    <row r="23" spans="1:26" ht="15.75" customHeight="1" x14ac:dyDescent="0.2">
      <c r="A23" s="275"/>
      <c r="B23" s="276" t="s">
        <v>214</v>
      </c>
      <c r="C23" s="282" t="b">
        <f>ROUND(IRR(F22:L22),3)=C21</f>
        <v>0</v>
      </c>
      <c r="D23" s="71"/>
      <c r="E23" s="264"/>
      <c r="F23" s="274"/>
      <c r="G23" s="274"/>
      <c r="H23" s="274"/>
      <c r="I23" s="274"/>
      <c r="J23" s="274"/>
      <c r="K23" s="274"/>
      <c r="L23" s="274"/>
      <c r="M23" s="277"/>
      <c r="N23" s="277"/>
      <c r="O23" s="277"/>
      <c r="P23" s="277"/>
      <c r="Q23" s="279"/>
      <c r="R23" s="280"/>
      <c r="S23" s="280"/>
      <c r="T23" s="280"/>
      <c r="U23" s="280"/>
      <c r="V23" s="280"/>
      <c r="W23" s="280"/>
      <c r="X23" s="280"/>
      <c r="Y23" s="280"/>
      <c r="Z23" s="280"/>
    </row>
    <row r="24" spans="1:26" ht="15.75" customHeight="1" x14ac:dyDescent="0.2">
      <c r="A24" s="206"/>
      <c r="B24" s="262"/>
      <c r="C24" s="273"/>
      <c r="D24" s="215"/>
      <c r="E24" s="281"/>
      <c r="F24" s="274"/>
      <c r="G24" s="274"/>
      <c r="H24" s="274"/>
      <c r="I24" s="274"/>
      <c r="J24" s="274"/>
      <c r="K24" s="274"/>
      <c r="L24" s="274"/>
      <c r="M24" s="274"/>
      <c r="N24" s="274"/>
      <c r="O24" s="274"/>
      <c r="P24" s="274"/>
      <c r="Q24" s="214"/>
      <c r="R24" s="215"/>
      <c r="S24" s="215"/>
      <c r="T24" s="215"/>
      <c r="U24" s="215"/>
      <c r="V24" s="215"/>
      <c r="W24" s="215"/>
      <c r="X24" s="215"/>
      <c r="Y24" s="215"/>
      <c r="Z24" s="215"/>
    </row>
    <row r="25" spans="1:26" ht="15.75" customHeight="1" x14ac:dyDescent="0.2">
      <c r="A25" s="206"/>
      <c r="B25" s="272" t="s">
        <v>215</v>
      </c>
      <c r="C25" s="273">
        <f>C5</f>
        <v>0.1</v>
      </c>
      <c r="D25" s="215"/>
      <c r="E25" s="283"/>
      <c r="F25" s="274">
        <f t="shared" ref="F25:P25" si="16">-MIN(F12,0)*$C$25</f>
        <v>113960</v>
      </c>
      <c r="G25" s="265">
        <f t="shared" si="16"/>
        <v>0</v>
      </c>
      <c r="H25" s="265">
        <f t="shared" si="16"/>
        <v>0</v>
      </c>
      <c r="I25" s="265">
        <f t="shared" si="16"/>
        <v>0</v>
      </c>
      <c r="J25" s="265">
        <f t="shared" si="16"/>
        <v>0</v>
      </c>
      <c r="K25" s="265">
        <f t="shared" si="16"/>
        <v>0</v>
      </c>
      <c r="L25" s="265">
        <f t="shared" si="16"/>
        <v>0</v>
      </c>
      <c r="M25" s="265">
        <f t="shared" si="16"/>
        <v>0</v>
      </c>
      <c r="N25" s="265">
        <f t="shared" si="16"/>
        <v>0</v>
      </c>
      <c r="O25" s="265">
        <f t="shared" si="16"/>
        <v>0</v>
      </c>
      <c r="P25" s="265">
        <f t="shared" si="16"/>
        <v>0</v>
      </c>
      <c r="Q25" s="214"/>
      <c r="R25" s="215"/>
      <c r="S25" s="215"/>
      <c r="T25" s="215"/>
      <c r="U25" s="215"/>
      <c r="V25" s="215"/>
      <c r="W25" s="215"/>
      <c r="X25" s="215"/>
      <c r="Y25" s="215"/>
      <c r="Z25" s="215"/>
    </row>
    <row r="26" spans="1:26" ht="15.75" customHeight="1" x14ac:dyDescent="0.2">
      <c r="A26" s="206"/>
      <c r="B26" s="272" t="s">
        <v>216</v>
      </c>
      <c r="C26" s="273">
        <f>D8</f>
        <v>0</v>
      </c>
      <c r="D26" s="215"/>
      <c r="E26" s="283"/>
      <c r="F26" s="265">
        <f t="shared" ref="F26:P26" si="17">F18/$C$18*$C$26</f>
        <v>0</v>
      </c>
      <c r="G26" s="265">
        <f t="shared" si="17"/>
        <v>0</v>
      </c>
      <c r="H26" s="265">
        <f t="shared" si="17"/>
        <v>0</v>
      </c>
      <c r="I26" s="265">
        <f t="shared" si="17"/>
        <v>0</v>
      </c>
      <c r="J26" s="265">
        <f t="shared" si="17"/>
        <v>0</v>
      </c>
      <c r="K26" s="265">
        <f t="shared" si="17"/>
        <v>0</v>
      </c>
      <c r="L26" s="265">
        <f t="shared" si="17"/>
        <v>0</v>
      </c>
      <c r="M26" s="265">
        <f t="shared" si="17"/>
        <v>0</v>
      </c>
      <c r="N26" s="265">
        <f t="shared" si="17"/>
        <v>0</v>
      </c>
      <c r="O26" s="265">
        <f t="shared" si="17"/>
        <v>0</v>
      </c>
      <c r="P26" s="265">
        <f t="shared" si="17"/>
        <v>0</v>
      </c>
      <c r="Q26" s="214"/>
      <c r="R26" s="215"/>
      <c r="S26" s="215"/>
      <c r="T26" s="215"/>
      <c r="U26" s="215"/>
      <c r="V26" s="215"/>
      <c r="W26" s="215"/>
      <c r="X26" s="215"/>
      <c r="Y26" s="215"/>
      <c r="Z26" s="215"/>
    </row>
    <row r="27" spans="1:26" ht="15.75" customHeight="1" x14ac:dyDescent="0.2">
      <c r="A27" s="206"/>
      <c r="B27" s="262"/>
      <c r="C27" s="277"/>
      <c r="D27" s="215"/>
      <c r="E27" s="283"/>
      <c r="F27" s="265"/>
      <c r="G27" s="265"/>
      <c r="H27" s="265"/>
      <c r="I27" s="265"/>
      <c r="J27" s="265"/>
      <c r="K27" s="265"/>
      <c r="L27" s="265"/>
      <c r="M27" s="265"/>
      <c r="N27" s="265"/>
      <c r="O27" s="265"/>
      <c r="P27" s="265"/>
      <c r="Q27" s="214"/>
      <c r="R27" s="215"/>
      <c r="S27" s="215"/>
      <c r="T27" s="215"/>
      <c r="U27" s="215"/>
      <c r="V27" s="215"/>
      <c r="W27" s="215"/>
      <c r="X27" s="215"/>
      <c r="Y27" s="215"/>
      <c r="Z27" s="215"/>
    </row>
    <row r="28" spans="1:26" ht="15.75" customHeight="1" x14ac:dyDescent="0.2">
      <c r="A28" s="206"/>
      <c r="B28" s="272" t="s">
        <v>217</v>
      </c>
      <c r="C28" s="277"/>
      <c r="D28" s="215"/>
      <c r="E28" s="283"/>
      <c r="F28" s="265">
        <f t="shared" ref="F28:P28" si="18">F18+F26</f>
        <v>0</v>
      </c>
      <c r="G28" s="265">
        <f t="shared" si="18"/>
        <v>33413.343999999983</v>
      </c>
      <c r="H28" s="265">
        <f t="shared" si="18"/>
        <v>89663.456000000006</v>
      </c>
      <c r="I28" s="265">
        <f t="shared" si="18"/>
        <v>60999.13810176</v>
      </c>
      <c r="J28" s="265">
        <f t="shared" si="18"/>
        <v>38876.116059409382</v>
      </c>
      <c r="K28" s="265">
        <f t="shared" si="18"/>
        <v>36186.224951482785</v>
      </c>
      <c r="L28" s="265">
        <f t="shared" si="18"/>
        <v>32990.728673652433</v>
      </c>
      <c r="M28" s="265">
        <f t="shared" si="18"/>
        <v>0</v>
      </c>
      <c r="N28" s="265">
        <f t="shared" si="18"/>
        <v>0</v>
      </c>
      <c r="O28" s="265">
        <f t="shared" si="18"/>
        <v>0</v>
      </c>
      <c r="P28" s="265">
        <f t="shared" si="18"/>
        <v>0</v>
      </c>
      <c r="Q28" s="214"/>
      <c r="R28" s="215"/>
      <c r="S28" s="215"/>
      <c r="T28" s="215"/>
      <c r="U28" s="215"/>
      <c r="V28" s="215"/>
      <c r="W28" s="215"/>
      <c r="X28" s="215"/>
      <c r="Y28" s="215"/>
      <c r="Z28" s="215"/>
    </row>
    <row r="29" spans="1:26" ht="15.75" customHeight="1" x14ac:dyDescent="0.2">
      <c r="A29" s="275"/>
      <c r="B29" s="276" t="s">
        <v>218</v>
      </c>
      <c r="C29" s="277"/>
      <c r="D29" s="280"/>
      <c r="E29" s="284"/>
      <c r="F29" s="278">
        <f t="shared" ref="F29:P29" si="19">MAX(F12,0)-F28</f>
        <v>0</v>
      </c>
      <c r="G29" s="278">
        <f t="shared" si="19"/>
        <v>0</v>
      </c>
      <c r="H29" s="278">
        <f t="shared" si="19"/>
        <v>11234.622879999981</v>
      </c>
      <c r="I29" s="278">
        <f t="shared" si="19"/>
        <v>460896.29254897119</v>
      </c>
      <c r="J29" s="278">
        <f t="shared" si="19"/>
        <v>56039.398081804131</v>
      </c>
      <c r="K29" s="278">
        <f t="shared" si="19"/>
        <v>66572.839121465702</v>
      </c>
      <c r="L29" s="278">
        <f t="shared" si="19"/>
        <v>1534433.1151038492</v>
      </c>
      <c r="M29" s="274">
        <f t="shared" si="19"/>
        <v>0</v>
      </c>
      <c r="N29" s="274">
        <f t="shared" si="19"/>
        <v>0</v>
      </c>
      <c r="O29" s="274">
        <f t="shared" si="19"/>
        <v>0</v>
      </c>
      <c r="P29" s="274">
        <f t="shared" si="19"/>
        <v>0</v>
      </c>
      <c r="Q29" s="279"/>
      <c r="R29" s="280"/>
      <c r="S29" s="280"/>
      <c r="T29" s="280"/>
      <c r="U29" s="280"/>
      <c r="V29" s="280"/>
      <c r="W29" s="280"/>
      <c r="X29" s="280"/>
      <c r="Y29" s="280"/>
      <c r="Z29" s="280"/>
    </row>
    <row r="30" spans="1:26" ht="15.75" customHeight="1" x14ac:dyDescent="0.2">
      <c r="A30" s="206"/>
      <c r="B30" s="262"/>
      <c r="C30" s="277"/>
      <c r="D30" s="215"/>
      <c r="E30" s="283"/>
      <c r="F30" s="274"/>
      <c r="G30" s="274"/>
      <c r="H30" s="274"/>
      <c r="I30" s="274"/>
      <c r="J30" s="274"/>
      <c r="K30" s="274"/>
      <c r="L30" s="274"/>
      <c r="M30" s="274"/>
      <c r="N30" s="274"/>
      <c r="O30" s="274"/>
      <c r="P30" s="285"/>
      <c r="Q30" s="214"/>
      <c r="R30" s="215"/>
      <c r="S30" s="215"/>
      <c r="T30" s="215"/>
      <c r="U30" s="215"/>
      <c r="V30" s="215"/>
      <c r="W30" s="215"/>
      <c r="X30" s="215"/>
      <c r="Y30" s="215"/>
      <c r="Z30" s="215"/>
    </row>
    <row r="31" spans="1:26" ht="15.75" customHeight="1" x14ac:dyDescent="0.2">
      <c r="A31" s="206"/>
      <c r="B31" s="267" t="s">
        <v>219</v>
      </c>
      <c r="C31" s="286"/>
      <c r="D31" s="269"/>
      <c r="E31" s="269"/>
      <c r="F31" s="270"/>
      <c r="G31" s="270"/>
      <c r="H31" s="270"/>
      <c r="I31" s="270"/>
      <c r="J31" s="270"/>
      <c r="K31" s="270"/>
      <c r="L31" s="270"/>
      <c r="M31" s="270"/>
      <c r="N31" s="270"/>
      <c r="O31" s="270"/>
      <c r="P31" s="271"/>
      <c r="Q31" s="214"/>
      <c r="R31" s="215"/>
      <c r="S31" s="215"/>
      <c r="T31" s="215"/>
      <c r="U31" s="215"/>
      <c r="V31" s="215"/>
      <c r="W31" s="215"/>
      <c r="X31" s="215"/>
      <c r="Y31" s="215"/>
      <c r="Z31" s="215"/>
    </row>
    <row r="32" spans="1:26" ht="15.75" customHeight="1" x14ac:dyDescent="0.2">
      <c r="A32" s="206"/>
      <c r="B32" s="272" t="s">
        <v>206</v>
      </c>
      <c r="C32" s="287"/>
      <c r="D32" s="215"/>
      <c r="E32" s="215"/>
      <c r="F32" s="265">
        <f t="shared" ref="F32:P32" si="20">E37</f>
        <v>0</v>
      </c>
      <c r="G32" s="265">
        <f t="shared" si="20"/>
        <v>1025640</v>
      </c>
      <c r="H32" s="265">
        <f t="shared" si="20"/>
        <v>992226.65599999996</v>
      </c>
      <c r="I32" s="265">
        <f t="shared" si="20"/>
        <v>902563.2</v>
      </c>
      <c r="J32" s="265">
        <f t="shared" si="20"/>
        <v>841564.06189824</v>
      </c>
      <c r="K32" s="265">
        <f t="shared" si="20"/>
        <v>802687.94583883067</v>
      </c>
      <c r="L32" s="265">
        <f t="shared" si="20"/>
        <v>766501.72088734782</v>
      </c>
      <c r="M32" s="265">
        <f t="shared" si="20"/>
        <v>733510.99221369543</v>
      </c>
      <c r="N32" s="265">
        <f t="shared" si="20"/>
        <v>733510.99221369543</v>
      </c>
      <c r="O32" s="265">
        <f t="shared" si="20"/>
        <v>733510.99221369543</v>
      </c>
      <c r="P32" s="265">
        <f t="shared" si="20"/>
        <v>733510.99221369543</v>
      </c>
      <c r="Q32" s="214"/>
      <c r="R32" s="215"/>
      <c r="S32" s="215"/>
      <c r="T32" s="215"/>
      <c r="U32" s="215"/>
      <c r="V32" s="215"/>
      <c r="W32" s="215"/>
      <c r="X32" s="215"/>
      <c r="Y32" s="215"/>
      <c r="Z32" s="215"/>
    </row>
    <row r="33" spans="1:26" ht="15.75" customHeight="1" x14ac:dyDescent="0.2">
      <c r="A33" s="206"/>
      <c r="B33" s="272" t="s">
        <v>220</v>
      </c>
      <c r="C33" s="273">
        <f>C9</f>
        <v>0</v>
      </c>
      <c r="D33" s="205"/>
      <c r="E33" s="71"/>
      <c r="F33" s="265">
        <f>F32*$C33</f>
        <v>0</v>
      </c>
      <c r="G33" s="265">
        <f>G32*$C$33</f>
        <v>0</v>
      </c>
      <c r="H33" s="265">
        <f t="shared" ref="H33:P33" si="21">H32*$C33</f>
        <v>0</v>
      </c>
      <c r="I33" s="265">
        <f t="shared" si="21"/>
        <v>0</v>
      </c>
      <c r="J33" s="265">
        <f t="shared" si="21"/>
        <v>0</v>
      </c>
      <c r="K33" s="265">
        <f t="shared" si="21"/>
        <v>0</v>
      </c>
      <c r="L33" s="265">
        <f t="shared" si="21"/>
        <v>0</v>
      </c>
      <c r="M33" s="265">
        <f t="shared" si="21"/>
        <v>0</v>
      </c>
      <c r="N33" s="265">
        <f t="shared" si="21"/>
        <v>0</v>
      </c>
      <c r="O33" s="265">
        <f t="shared" si="21"/>
        <v>0</v>
      </c>
      <c r="P33" s="265">
        <f t="shared" si="21"/>
        <v>0</v>
      </c>
      <c r="Q33" s="214"/>
      <c r="R33" s="215"/>
      <c r="S33" s="215"/>
      <c r="T33" s="215"/>
      <c r="U33" s="215"/>
      <c r="V33" s="215"/>
      <c r="W33" s="215"/>
      <c r="X33" s="215"/>
      <c r="Y33" s="215"/>
      <c r="Z33" s="215"/>
    </row>
    <row r="34" spans="1:26" ht="15.75" customHeight="1" x14ac:dyDescent="0.2">
      <c r="A34" s="206"/>
      <c r="B34" s="272" t="s">
        <v>221</v>
      </c>
      <c r="C34" s="273">
        <f>C17</f>
        <v>0.9</v>
      </c>
      <c r="D34" s="205"/>
      <c r="E34" s="71"/>
      <c r="F34" s="274">
        <f t="shared" ref="F34:P34" si="22">F17</f>
        <v>1025640</v>
      </c>
      <c r="G34" s="265">
        <f t="shared" si="22"/>
        <v>0</v>
      </c>
      <c r="H34" s="265">
        <f t="shared" si="22"/>
        <v>0</v>
      </c>
      <c r="I34" s="265">
        <f t="shared" si="22"/>
        <v>0</v>
      </c>
      <c r="J34" s="265">
        <f t="shared" si="22"/>
        <v>0</v>
      </c>
      <c r="K34" s="265">
        <f t="shared" si="22"/>
        <v>0</v>
      </c>
      <c r="L34" s="265">
        <f t="shared" si="22"/>
        <v>0</v>
      </c>
      <c r="M34" s="265">
        <f t="shared" si="22"/>
        <v>0</v>
      </c>
      <c r="N34" s="265">
        <f t="shared" si="22"/>
        <v>0</v>
      </c>
      <c r="O34" s="265">
        <f t="shared" si="22"/>
        <v>0</v>
      </c>
      <c r="P34" s="265">
        <f t="shared" si="22"/>
        <v>0</v>
      </c>
      <c r="Q34" s="214"/>
      <c r="R34" s="215"/>
      <c r="S34" s="215"/>
      <c r="T34" s="215"/>
      <c r="U34" s="215"/>
      <c r="V34" s="215"/>
      <c r="W34" s="215"/>
      <c r="X34" s="215"/>
      <c r="Y34" s="215"/>
      <c r="Z34" s="215"/>
    </row>
    <row r="35" spans="1:26" ht="15.75" customHeight="1" x14ac:dyDescent="0.2">
      <c r="A35" s="206"/>
      <c r="B35" s="272" t="s">
        <v>222</v>
      </c>
      <c r="C35" s="273"/>
      <c r="D35" s="205"/>
      <c r="E35" s="71"/>
      <c r="F35" s="265">
        <f t="shared" ref="F35:P35" si="23">F18</f>
        <v>0</v>
      </c>
      <c r="G35" s="265">
        <f t="shared" si="23"/>
        <v>33413.343999999983</v>
      </c>
      <c r="H35" s="265">
        <f t="shared" si="23"/>
        <v>89663.456000000006</v>
      </c>
      <c r="I35" s="265">
        <f t="shared" si="23"/>
        <v>60999.13810176</v>
      </c>
      <c r="J35" s="265">
        <f t="shared" si="23"/>
        <v>38876.116059409382</v>
      </c>
      <c r="K35" s="265">
        <f t="shared" si="23"/>
        <v>36186.224951482785</v>
      </c>
      <c r="L35" s="265">
        <f t="shared" si="23"/>
        <v>32990.728673652433</v>
      </c>
      <c r="M35" s="265">
        <f t="shared" si="23"/>
        <v>0</v>
      </c>
      <c r="N35" s="265">
        <f t="shared" si="23"/>
        <v>0</v>
      </c>
      <c r="O35" s="265">
        <f t="shared" si="23"/>
        <v>0</v>
      </c>
      <c r="P35" s="265">
        <f t="shared" si="23"/>
        <v>0</v>
      </c>
      <c r="Q35" s="214"/>
      <c r="R35" s="215"/>
      <c r="S35" s="215"/>
      <c r="T35" s="215"/>
      <c r="U35" s="215"/>
      <c r="V35" s="215"/>
      <c r="W35" s="215"/>
      <c r="X35" s="215"/>
      <c r="Y35" s="215"/>
      <c r="Z35" s="215"/>
    </row>
    <row r="36" spans="1:26" ht="15.75" customHeight="1" x14ac:dyDescent="0.2">
      <c r="A36" s="275"/>
      <c r="B36" s="276" t="s">
        <v>223</v>
      </c>
      <c r="C36" s="277">
        <f>E9</f>
        <v>0.5</v>
      </c>
      <c r="D36" s="71"/>
      <c r="E36" s="71"/>
      <c r="F36" s="288">
        <f>IF(OR($C$9=0,$C$9=""),0,MAX(F29,0)*$E$9)</f>
        <v>0</v>
      </c>
      <c r="G36" s="288">
        <f t="shared" ref="G36:L36" si="24">IF(OR($C$9=0,$C$9=""),0,IF(IFERROR(IRR($F$39:F39),0)&gt;=$C$9,0,MAX(G29,0)*$E$9))</f>
        <v>0</v>
      </c>
      <c r="H36" s="289">
        <f t="shared" si="24"/>
        <v>0</v>
      </c>
      <c r="I36" s="289">
        <f t="shared" si="24"/>
        <v>0</v>
      </c>
      <c r="J36" s="289">
        <f t="shared" si="24"/>
        <v>0</v>
      </c>
      <c r="K36" s="289">
        <f t="shared" si="24"/>
        <v>0</v>
      </c>
      <c r="L36" s="289">
        <f t="shared" si="24"/>
        <v>0</v>
      </c>
      <c r="M36" s="274">
        <f t="shared" ref="M36:P36" si="25">MIN(M32+M33+M34-M35,M29*$C36)</f>
        <v>0</v>
      </c>
      <c r="N36" s="274">
        <f t="shared" si="25"/>
        <v>0</v>
      </c>
      <c r="O36" s="274">
        <f t="shared" si="25"/>
        <v>0</v>
      </c>
      <c r="P36" s="274">
        <f t="shared" si="25"/>
        <v>0</v>
      </c>
      <c r="Q36" s="279"/>
      <c r="R36" s="280"/>
      <c r="S36" s="280"/>
      <c r="T36" s="280"/>
      <c r="U36" s="280"/>
      <c r="V36" s="280"/>
      <c r="W36" s="280"/>
      <c r="X36" s="280"/>
      <c r="Y36" s="280"/>
      <c r="Z36" s="280"/>
    </row>
    <row r="37" spans="1:26" ht="15.75" customHeight="1" x14ac:dyDescent="0.2">
      <c r="A37" s="206"/>
      <c r="B37" s="272" t="s">
        <v>211</v>
      </c>
      <c r="C37" s="273"/>
      <c r="D37" s="205"/>
      <c r="E37" s="71"/>
      <c r="F37" s="265">
        <f t="shared" ref="F37:P37" si="26">MAX(0,F32+F34-F35-F36)</f>
        <v>1025640</v>
      </c>
      <c r="G37" s="265">
        <f t="shared" si="26"/>
        <v>992226.65599999996</v>
      </c>
      <c r="H37" s="265">
        <f t="shared" si="26"/>
        <v>902563.2</v>
      </c>
      <c r="I37" s="265">
        <f t="shared" si="26"/>
        <v>841564.06189824</v>
      </c>
      <c r="J37" s="265">
        <f t="shared" si="26"/>
        <v>802687.94583883067</v>
      </c>
      <c r="K37" s="265">
        <f t="shared" si="26"/>
        <v>766501.72088734782</v>
      </c>
      <c r="L37" s="265">
        <f t="shared" si="26"/>
        <v>733510.99221369543</v>
      </c>
      <c r="M37" s="265">
        <f t="shared" si="26"/>
        <v>733510.99221369543</v>
      </c>
      <c r="N37" s="265">
        <f t="shared" si="26"/>
        <v>733510.99221369543</v>
      </c>
      <c r="O37" s="265">
        <f t="shared" si="26"/>
        <v>733510.99221369543</v>
      </c>
      <c r="P37" s="265">
        <f t="shared" si="26"/>
        <v>733510.99221369543</v>
      </c>
      <c r="Q37" s="214"/>
      <c r="R37" s="215"/>
      <c r="S37" s="215"/>
      <c r="T37" s="215"/>
      <c r="U37" s="215"/>
      <c r="V37" s="215"/>
      <c r="W37" s="215"/>
      <c r="X37" s="215"/>
      <c r="Y37" s="215"/>
      <c r="Z37" s="215"/>
    </row>
    <row r="38" spans="1:26" ht="15.75" customHeight="1" x14ac:dyDescent="0.2">
      <c r="A38" s="275"/>
      <c r="B38" s="276" t="s">
        <v>224</v>
      </c>
      <c r="C38" s="277">
        <f>C33</f>
        <v>0</v>
      </c>
      <c r="D38" s="71"/>
      <c r="E38" s="264"/>
      <c r="F38" s="277">
        <f t="shared" ref="F38:L38" si="27">IFERROR(IRR($F$39:F39),0)</f>
        <v>0</v>
      </c>
      <c r="G38" s="277">
        <f t="shared" si="27"/>
        <v>-0.96742195702195699</v>
      </c>
      <c r="H38" s="277">
        <f t="shared" si="27"/>
        <v>-0.68759058197769873</v>
      </c>
      <c r="I38" s="277">
        <f t="shared" si="27"/>
        <v>-0.52290144123576798</v>
      </c>
      <c r="J38" s="277">
        <f t="shared" si="27"/>
        <v>-0.42876626149224317</v>
      </c>
      <c r="K38" s="277">
        <f t="shared" si="27"/>
        <v>-0.35184948000017002</v>
      </c>
      <c r="L38" s="277">
        <f t="shared" si="27"/>
        <v>-0.29330077924891429</v>
      </c>
      <c r="M38" s="277">
        <f t="shared" ref="M38:P38" si="28">SUM(M35:M36)/SUM($E34:M34)</f>
        <v>0</v>
      </c>
      <c r="N38" s="277">
        <f t="shared" si="28"/>
        <v>0</v>
      </c>
      <c r="O38" s="277">
        <f t="shared" si="28"/>
        <v>0</v>
      </c>
      <c r="P38" s="277">
        <f t="shared" si="28"/>
        <v>0</v>
      </c>
      <c r="Q38" s="279"/>
      <c r="R38" s="280"/>
      <c r="S38" s="280"/>
      <c r="T38" s="280"/>
      <c r="U38" s="280"/>
      <c r="V38" s="280"/>
      <c r="W38" s="280"/>
      <c r="X38" s="280"/>
      <c r="Y38" s="280"/>
      <c r="Z38" s="280"/>
    </row>
    <row r="39" spans="1:26" ht="15.75" customHeight="1" x14ac:dyDescent="0.2">
      <c r="A39" s="206"/>
      <c r="B39" s="272" t="s">
        <v>213</v>
      </c>
      <c r="C39" s="273"/>
      <c r="D39" s="215"/>
      <c r="E39" s="281"/>
      <c r="F39" s="265">
        <f t="shared" ref="F39:P39" si="29">-F34+F35+F36</f>
        <v>-1025640</v>
      </c>
      <c r="G39" s="265">
        <f t="shared" si="29"/>
        <v>33413.343999999983</v>
      </c>
      <c r="H39" s="265">
        <f t="shared" si="29"/>
        <v>89663.456000000006</v>
      </c>
      <c r="I39" s="265">
        <f t="shared" si="29"/>
        <v>60999.13810176</v>
      </c>
      <c r="J39" s="265">
        <f t="shared" si="29"/>
        <v>38876.116059409382</v>
      </c>
      <c r="K39" s="265">
        <f t="shared" si="29"/>
        <v>36186.224951482785</v>
      </c>
      <c r="L39" s="265">
        <f t="shared" si="29"/>
        <v>32990.728673652433</v>
      </c>
      <c r="M39" s="274">
        <f t="shared" si="29"/>
        <v>0</v>
      </c>
      <c r="N39" s="274">
        <f t="shared" si="29"/>
        <v>0</v>
      </c>
      <c r="O39" s="274">
        <f t="shared" si="29"/>
        <v>0</v>
      </c>
      <c r="P39" s="274">
        <f t="shared" si="29"/>
        <v>0</v>
      </c>
      <c r="Q39" s="214"/>
      <c r="R39" s="215"/>
      <c r="S39" s="215"/>
      <c r="T39" s="215"/>
      <c r="U39" s="215"/>
      <c r="V39" s="215"/>
      <c r="W39" s="215"/>
      <c r="X39" s="215"/>
      <c r="Y39" s="215"/>
      <c r="Z39" s="215"/>
    </row>
    <row r="40" spans="1:26" ht="15.75" customHeight="1" x14ac:dyDescent="0.2">
      <c r="A40" s="275"/>
      <c r="B40" s="276" t="s">
        <v>225</v>
      </c>
      <c r="C40" s="290" t="b">
        <f>IFERROR(IRR(F39:L39),0)&gt;=C38</f>
        <v>0</v>
      </c>
      <c r="D40" s="71"/>
      <c r="E40" s="264"/>
      <c r="F40" s="274"/>
      <c r="G40" s="274"/>
      <c r="H40" s="274"/>
      <c r="I40" s="274"/>
      <c r="J40" s="274"/>
      <c r="K40" s="274"/>
      <c r="L40" s="274"/>
      <c r="M40" s="277"/>
      <c r="N40" s="277"/>
      <c r="O40" s="277"/>
      <c r="P40" s="277"/>
      <c r="Q40" s="279"/>
      <c r="R40" s="280"/>
      <c r="S40" s="280"/>
      <c r="T40" s="280"/>
      <c r="U40" s="280"/>
      <c r="V40" s="280"/>
      <c r="W40" s="280"/>
      <c r="X40" s="280"/>
      <c r="Y40" s="280"/>
      <c r="Z40" s="280"/>
    </row>
    <row r="41" spans="1:26" ht="15.75" customHeight="1" x14ac:dyDescent="0.2">
      <c r="A41" s="206"/>
      <c r="B41" s="262"/>
      <c r="C41" s="273"/>
      <c r="D41" s="215"/>
      <c r="E41" s="283"/>
      <c r="F41" s="274"/>
      <c r="G41" s="274"/>
      <c r="H41" s="274"/>
      <c r="I41" s="274"/>
      <c r="J41" s="274"/>
      <c r="K41" s="274"/>
      <c r="L41" s="274"/>
      <c r="M41" s="274"/>
      <c r="N41" s="274"/>
      <c r="O41" s="274"/>
      <c r="P41" s="274"/>
      <c r="Q41" s="214"/>
      <c r="R41" s="215"/>
      <c r="S41" s="215"/>
      <c r="T41" s="215"/>
      <c r="U41" s="215"/>
      <c r="V41" s="215"/>
      <c r="W41" s="215"/>
      <c r="X41" s="215"/>
      <c r="Y41" s="215"/>
      <c r="Z41" s="215"/>
    </row>
    <row r="42" spans="1:26" ht="15.75" customHeight="1" x14ac:dyDescent="0.2">
      <c r="A42" s="206"/>
      <c r="B42" s="272" t="s">
        <v>215</v>
      </c>
      <c r="C42" s="273">
        <f>C25</f>
        <v>0.1</v>
      </c>
      <c r="D42" s="215"/>
      <c r="E42" s="283"/>
      <c r="F42" s="274">
        <f t="shared" ref="F42:P42" si="30">F25</f>
        <v>113960</v>
      </c>
      <c r="G42" s="265">
        <f t="shared" si="30"/>
        <v>0</v>
      </c>
      <c r="H42" s="265">
        <f t="shared" si="30"/>
        <v>0</v>
      </c>
      <c r="I42" s="265">
        <f t="shared" si="30"/>
        <v>0</v>
      </c>
      <c r="J42" s="265">
        <f t="shared" si="30"/>
        <v>0</v>
      </c>
      <c r="K42" s="265">
        <f t="shared" si="30"/>
        <v>0</v>
      </c>
      <c r="L42" s="265">
        <f t="shared" si="30"/>
        <v>0</v>
      </c>
      <c r="M42" s="265">
        <f t="shared" si="30"/>
        <v>0</v>
      </c>
      <c r="N42" s="265">
        <f t="shared" si="30"/>
        <v>0</v>
      </c>
      <c r="O42" s="265">
        <f t="shared" si="30"/>
        <v>0</v>
      </c>
      <c r="P42" s="265">
        <f t="shared" si="30"/>
        <v>0</v>
      </c>
      <c r="Q42" s="214"/>
      <c r="R42" s="215"/>
      <c r="S42" s="215"/>
      <c r="T42" s="215"/>
      <c r="U42" s="215"/>
      <c r="V42" s="215"/>
      <c r="W42" s="215"/>
      <c r="X42" s="215"/>
      <c r="Y42" s="215"/>
      <c r="Z42" s="215"/>
    </row>
    <row r="43" spans="1:26" ht="15.75" customHeight="1" x14ac:dyDescent="0.2">
      <c r="A43" s="206"/>
      <c r="B43" s="272" t="s">
        <v>216</v>
      </c>
      <c r="C43" s="273">
        <f>D9</f>
        <v>0.5</v>
      </c>
      <c r="D43" s="215"/>
      <c r="E43" s="283"/>
      <c r="F43" s="289">
        <f>IF(OR($C$9=0,$C$9=""),0,MAX(F29,0)*$D$9)</f>
        <v>0</v>
      </c>
      <c r="G43" s="289">
        <f t="shared" ref="G43:L43" si="31">IF(OR($C$9=0,$C$9=""),0,IF(IFERROR(IRR($F$39:F39),0)&gt;=$C$9,0,MAX(G29,0)*$D$9))</f>
        <v>0</v>
      </c>
      <c r="H43" s="289">
        <f t="shared" si="31"/>
        <v>0</v>
      </c>
      <c r="I43" s="289">
        <f t="shared" si="31"/>
        <v>0</v>
      </c>
      <c r="J43" s="289">
        <f t="shared" si="31"/>
        <v>0</v>
      </c>
      <c r="K43" s="289">
        <f t="shared" si="31"/>
        <v>0</v>
      </c>
      <c r="L43" s="289">
        <f t="shared" si="31"/>
        <v>0</v>
      </c>
      <c r="M43" s="265">
        <f t="shared" ref="M43:P43" si="32">M36/$C$36*$C$43</f>
        <v>0</v>
      </c>
      <c r="N43" s="265">
        <f t="shared" si="32"/>
        <v>0</v>
      </c>
      <c r="O43" s="265">
        <f t="shared" si="32"/>
        <v>0</v>
      </c>
      <c r="P43" s="265">
        <f t="shared" si="32"/>
        <v>0</v>
      </c>
      <c r="Q43" s="214"/>
      <c r="R43" s="215"/>
      <c r="S43" s="215"/>
      <c r="T43" s="215"/>
      <c r="U43" s="215"/>
      <c r="V43" s="215"/>
      <c r="W43" s="215"/>
      <c r="X43" s="215"/>
      <c r="Y43" s="215"/>
      <c r="Z43" s="215"/>
    </row>
    <row r="44" spans="1:26" ht="15.75" customHeight="1" x14ac:dyDescent="0.2">
      <c r="A44" s="206"/>
      <c r="B44" s="262"/>
      <c r="C44" s="277"/>
      <c r="D44" s="215"/>
      <c r="E44" s="283"/>
      <c r="F44" s="265"/>
      <c r="G44" s="265"/>
      <c r="H44" s="265"/>
      <c r="I44" s="265"/>
      <c r="J44" s="265"/>
      <c r="K44" s="265"/>
      <c r="L44" s="265"/>
      <c r="M44" s="265"/>
      <c r="N44" s="265"/>
      <c r="O44" s="265"/>
      <c r="P44" s="265"/>
      <c r="Q44" s="214"/>
      <c r="R44" s="215"/>
      <c r="S44" s="215"/>
      <c r="T44" s="215"/>
      <c r="U44" s="215"/>
      <c r="V44" s="215"/>
      <c r="W44" s="215"/>
      <c r="X44" s="215"/>
      <c r="Y44" s="215"/>
      <c r="Z44" s="215"/>
    </row>
    <row r="45" spans="1:26" ht="15.75" customHeight="1" x14ac:dyDescent="0.2">
      <c r="A45" s="206"/>
      <c r="B45" s="272" t="s">
        <v>226</v>
      </c>
      <c r="C45" s="277"/>
      <c r="D45" s="215"/>
      <c r="E45" s="283"/>
      <c r="F45" s="265">
        <f t="shared" ref="F45:P45" si="33">F36+F43</f>
        <v>0</v>
      </c>
      <c r="G45" s="265">
        <f t="shared" si="33"/>
        <v>0</v>
      </c>
      <c r="H45" s="265">
        <f t="shared" si="33"/>
        <v>0</v>
      </c>
      <c r="I45" s="265">
        <f t="shared" si="33"/>
        <v>0</v>
      </c>
      <c r="J45" s="265">
        <f t="shared" si="33"/>
        <v>0</v>
      </c>
      <c r="K45" s="265">
        <f t="shared" si="33"/>
        <v>0</v>
      </c>
      <c r="L45" s="265">
        <f t="shared" si="33"/>
        <v>0</v>
      </c>
      <c r="M45" s="265">
        <f t="shared" si="33"/>
        <v>0</v>
      </c>
      <c r="N45" s="265">
        <f t="shared" si="33"/>
        <v>0</v>
      </c>
      <c r="O45" s="265">
        <f t="shared" si="33"/>
        <v>0</v>
      </c>
      <c r="P45" s="265">
        <f t="shared" si="33"/>
        <v>0</v>
      </c>
      <c r="Q45" s="214"/>
      <c r="R45" s="215"/>
      <c r="S45" s="215"/>
      <c r="T45" s="215"/>
      <c r="U45" s="215"/>
      <c r="V45" s="215"/>
      <c r="W45" s="215"/>
      <c r="X45" s="215"/>
      <c r="Y45" s="215"/>
      <c r="Z45" s="215"/>
    </row>
    <row r="46" spans="1:26" ht="15.75" customHeight="1" x14ac:dyDescent="0.2">
      <c r="A46" s="275"/>
      <c r="B46" s="276" t="s">
        <v>227</v>
      </c>
      <c r="C46" s="277"/>
      <c r="D46" s="280"/>
      <c r="E46" s="284"/>
      <c r="F46" s="278">
        <f t="shared" ref="F46:P46" si="34">MAX(F29,0)-F45</f>
        <v>0</v>
      </c>
      <c r="G46" s="278">
        <f t="shared" si="34"/>
        <v>0</v>
      </c>
      <c r="H46" s="278">
        <f t="shared" si="34"/>
        <v>11234.622879999981</v>
      </c>
      <c r="I46" s="278">
        <f t="shared" si="34"/>
        <v>460896.29254897119</v>
      </c>
      <c r="J46" s="278">
        <f t="shared" si="34"/>
        <v>56039.398081804131</v>
      </c>
      <c r="K46" s="278">
        <f t="shared" si="34"/>
        <v>66572.839121465702</v>
      </c>
      <c r="L46" s="278">
        <f t="shared" si="34"/>
        <v>1534433.1151038492</v>
      </c>
      <c r="M46" s="274">
        <f t="shared" si="34"/>
        <v>0</v>
      </c>
      <c r="N46" s="274">
        <f t="shared" si="34"/>
        <v>0</v>
      </c>
      <c r="O46" s="274">
        <f t="shared" si="34"/>
        <v>0</v>
      </c>
      <c r="P46" s="274">
        <f t="shared" si="34"/>
        <v>0</v>
      </c>
      <c r="Q46" s="279"/>
      <c r="R46" s="280"/>
      <c r="S46" s="280"/>
      <c r="T46" s="280"/>
      <c r="U46" s="280"/>
      <c r="V46" s="280"/>
      <c r="W46" s="280"/>
      <c r="X46" s="280"/>
      <c r="Y46" s="280"/>
      <c r="Z46" s="280"/>
    </row>
    <row r="47" spans="1:26" ht="15.75" customHeight="1" x14ac:dyDescent="0.2">
      <c r="A47" s="206"/>
      <c r="B47" s="262"/>
      <c r="C47" s="277"/>
      <c r="D47" s="215"/>
      <c r="E47" s="283"/>
      <c r="F47" s="274"/>
      <c r="G47" s="274"/>
      <c r="H47" s="274"/>
      <c r="I47" s="274"/>
      <c r="J47" s="274"/>
      <c r="K47" s="274"/>
      <c r="L47" s="274"/>
      <c r="M47" s="274"/>
      <c r="N47" s="274"/>
      <c r="O47" s="274"/>
      <c r="P47" s="285"/>
      <c r="Q47" s="214"/>
      <c r="R47" s="215"/>
      <c r="S47" s="215"/>
      <c r="T47" s="215"/>
      <c r="U47" s="215"/>
      <c r="V47" s="215"/>
      <c r="W47" s="215"/>
      <c r="X47" s="215"/>
      <c r="Y47" s="215"/>
      <c r="Z47" s="215"/>
    </row>
    <row r="48" spans="1:26" ht="15.75" customHeight="1" x14ac:dyDescent="0.2">
      <c r="A48" s="206"/>
      <c r="B48" s="267" t="s">
        <v>228</v>
      </c>
      <c r="C48" s="268"/>
      <c r="D48" s="269"/>
      <c r="E48" s="269"/>
      <c r="F48" s="291"/>
      <c r="G48" s="291"/>
      <c r="H48" s="291"/>
      <c r="I48" s="291"/>
      <c r="J48" s="291"/>
      <c r="K48" s="291"/>
      <c r="L48" s="291"/>
      <c r="M48" s="291"/>
      <c r="N48" s="291"/>
      <c r="O48" s="291"/>
      <c r="P48" s="292"/>
      <c r="Q48" s="214"/>
      <c r="R48" s="215"/>
      <c r="S48" s="215"/>
      <c r="T48" s="215"/>
      <c r="U48" s="215"/>
      <c r="V48" s="215"/>
      <c r="W48" s="215"/>
      <c r="X48" s="215"/>
      <c r="Y48" s="215"/>
      <c r="Z48" s="215"/>
    </row>
    <row r="49" spans="1:26" ht="15.75" customHeight="1" x14ac:dyDescent="0.2">
      <c r="A49" s="206"/>
      <c r="B49" s="272" t="s">
        <v>206</v>
      </c>
      <c r="C49" s="287"/>
      <c r="D49" s="215"/>
      <c r="E49" s="215"/>
      <c r="F49" s="265">
        <f t="shared" ref="F49:P49" si="35">E54</f>
        <v>0</v>
      </c>
      <c r="G49" s="265">
        <f t="shared" si="35"/>
        <v>1025640</v>
      </c>
      <c r="H49" s="265">
        <f t="shared" si="35"/>
        <v>992226.65599999996</v>
      </c>
      <c r="I49" s="265">
        <f t="shared" si="35"/>
        <v>893575.50169599999</v>
      </c>
      <c r="J49" s="265">
        <f t="shared" si="35"/>
        <v>463859.32955506304</v>
      </c>
      <c r="K49" s="265">
        <f t="shared" si="35"/>
        <v>380151.69503021031</v>
      </c>
      <c r="L49" s="265">
        <f t="shared" si="35"/>
        <v>290707.19878155494</v>
      </c>
      <c r="M49" s="265">
        <f t="shared" si="35"/>
        <v>0</v>
      </c>
      <c r="N49" s="265">
        <f t="shared" si="35"/>
        <v>0</v>
      </c>
      <c r="O49" s="265">
        <f t="shared" si="35"/>
        <v>0</v>
      </c>
      <c r="P49" s="265">
        <f t="shared" si="35"/>
        <v>0</v>
      </c>
      <c r="Q49" s="214"/>
      <c r="R49" s="215"/>
      <c r="S49" s="215"/>
      <c r="T49" s="215"/>
      <c r="U49" s="215"/>
      <c r="V49" s="215"/>
      <c r="W49" s="215"/>
      <c r="X49" s="215"/>
      <c r="Y49" s="215"/>
      <c r="Z49" s="215"/>
    </row>
    <row r="50" spans="1:26" ht="15.75" customHeight="1" x14ac:dyDescent="0.2">
      <c r="A50" s="206"/>
      <c r="B50" s="272" t="s">
        <v>229</v>
      </c>
      <c r="C50" s="273">
        <f>C11</f>
        <v>0.15</v>
      </c>
      <c r="D50" s="205"/>
      <c r="E50" s="71"/>
      <c r="F50" s="288">
        <f t="shared" ref="F50:L50" si="36">IFERROR(IRR($F$56:F56),0)</f>
        <v>0</v>
      </c>
      <c r="G50" s="273">
        <f t="shared" si="36"/>
        <v>-0.96742195702195699</v>
      </c>
      <c r="H50" s="273">
        <f t="shared" si="36"/>
        <v>-0.67314648625141349</v>
      </c>
      <c r="I50" s="273">
        <f t="shared" si="36"/>
        <v>-0.19731638033005627</v>
      </c>
      <c r="J50" s="273">
        <f t="shared" si="36"/>
        <v>-0.1471152376868865</v>
      </c>
      <c r="K50" s="273">
        <f t="shared" si="36"/>
        <v>-9.9512080009066417E-2</v>
      </c>
      <c r="L50" s="273">
        <f t="shared" si="36"/>
        <v>0.14947566970491577</v>
      </c>
      <c r="M50" s="265">
        <f t="shared" ref="M50:P50" si="37">M49*$C50</f>
        <v>0</v>
      </c>
      <c r="N50" s="265">
        <f t="shared" si="37"/>
        <v>0</v>
      </c>
      <c r="O50" s="265">
        <f t="shared" si="37"/>
        <v>0</v>
      </c>
      <c r="P50" s="265">
        <f t="shared" si="37"/>
        <v>0</v>
      </c>
      <c r="Q50" s="214"/>
      <c r="R50" s="215"/>
      <c r="S50" s="215"/>
      <c r="T50" s="215"/>
      <c r="U50" s="215"/>
      <c r="V50" s="215"/>
      <c r="W50" s="215"/>
      <c r="X50" s="215"/>
      <c r="Y50" s="215"/>
      <c r="Z50" s="215"/>
    </row>
    <row r="51" spans="1:26" ht="15.75" customHeight="1" x14ac:dyDescent="0.2">
      <c r="A51" s="206"/>
      <c r="B51" s="272" t="s">
        <v>221</v>
      </c>
      <c r="C51" s="273">
        <f>C6</f>
        <v>0.9</v>
      </c>
      <c r="D51" s="205"/>
      <c r="E51" s="71"/>
      <c r="F51" s="274">
        <f t="shared" ref="F51:P51" si="38">F34</f>
        <v>1025640</v>
      </c>
      <c r="G51" s="265">
        <f t="shared" si="38"/>
        <v>0</v>
      </c>
      <c r="H51" s="265">
        <f t="shared" si="38"/>
        <v>0</v>
      </c>
      <c r="I51" s="265">
        <f t="shared" si="38"/>
        <v>0</v>
      </c>
      <c r="J51" s="265">
        <f t="shared" si="38"/>
        <v>0</v>
      </c>
      <c r="K51" s="265">
        <f t="shared" si="38"/>
        <v>0</v>
      </c>
      <c r="L51" s="265">
        <f t="shared" si="38"/>
        <v>0</v>
      </c>
      <c r="M51" s="265">
        <f t="shared" si="38"/>
        <v>0</v>
      </c>
      <c r="N51" s="265">
        <f t="shared" si="38"/>
        <v>0</v>
      </c>
      <c r="O51" s="265">
        <f t="shared" si="38"/>
        <v>0</v>
      </c>
      <c r="P51" s="265">
        <f t="shared" si="38"/>
        <v>0</v>
      </c>
      <c r="Q51" s="214"/>
      <c r="R51" s="215"/>
      <c r="S51" s="215"/>
      <c r="T51" s="215"/>
      <c r="U51" s="215"/>
      <c r="V51" s="215"/>
      <c r="W51" s="215"/>
      <c r="X51" s="215"/>
      <c r="Y51" s="215"/>
      <c r="Z51" s="215"/>
    </row>
    <row r="52" spans="1:26" ht="15.75" customHeight="1" x14ac:dyDescent="0.2">
      <c r="A52" s="206"/>
      <c r="B52" s="272" t="s">
        <v>222</v>
      </c>
      <c r="C52" s="273"/>
      <c r="D52" s="205"/>
      <c r="E52" s="71"/>
      <c r="F52" s="265">
        <f t="shared" ref="F52:P52" si="39">F35+F36</f>
        <v>0</v>
      </c>
      <c r="G52" s="265">
        <f t="shared" si="39"/>
        <v>33413.343999999983</v>
      </c>
      <c r="H52" s="265">
        <f t="shared" si="39"/>
        <v>89663.456000000006</v>
      </c>
      <c r="I52" s="265">
        <f t="shared" si="39"/>
        <v>60999.13810176</v>
      </c>
      <c r="J52" s="265">
        <f t="shared" si="39"/>
        <v>38876.116059409382</v>
      </c>
      <c r="K52" s="265">
        <f t="shared" si="39"/>
        <v>36186.224951482785</v>
      </c>
      <c r="L52" s="265">
        <f t="shared" si="39"/>
        <v>32990.728673652433</v>
      </c>
      <c r="M52" s="265">
        <f t="shared" si="39"/>
        <v>0</v>
      </c>
      <c r="N52" s="265">
        <f t="shared" si="39"/>
        <v>0</v>
      </c>
      <c r="O52" s="265">
        <f t="shared" si="39"/>
        <v>0</v>
      </c>
      <c r="P52" s="265">
        <f t="shared" si="39"/>
        <v>0</v>
      </c>
      <c r="Q52" s="214"/>
      <c r="R52" s="215"/>
      <c r="S52" s="215"/>
      <c r="T52" s="215"/>
      <c r="U52" s="215"/>
      <c r="V52" s="215"/>
      <c r="W52" s="215"/>
      <c r="X52" s="215"/>
      <c r="Y52" s="215"/>
      <c r="Z52" s="215"/>
    </row>
    <row r="53" spans="1:26" ht="15.75" customHeight="1" x14ac:dyDescent="0.2">
      <c r="A53" s="275"/>
      <c r="B53" s="276" t="s">
        <v>230</v>
      </c>
      <c r="C53" s="277">
        <f>E10</f>
        <v>0.8</v>
      </c>
      <c r="D53" s="71"/>
      <c r="E53" s="71"/>
      <c r="F53" s="288">
        <f>IF(AND(F49&lt;=0,0&gt;=$C$11), 0, MAX(F46,0)*$E$10)</f>
        <v>0</v>
      </c>
      <c r="G53" s="289">
        <f t="shared" ref="G53:L53" si="40">IF(AND(G49&lt;=0,IFERROR(IRR($F$56:F56),0)&gt;=$C$11),0, MAX(G46,0)*$E$10)</f>
        <v>0</v>
      </c>
      <c r="H53" s="289">
        <f t="shared" si="40"/>
        <v>8987.698303999985</v>
      </c>
      <c r="I53" s="289">
        <f t="shared" si="40"/>
        <v>368717.034039177</v>
      </c>
      <c r="J53" s="289">
        <f t="shared" si="40"/>
        <v>44831.518465443311</v>
      </c>
      <c r="K53" s="289">
        <f t="shared" si="40"/>
        <v>53258.271297172563</v>
      </c>
      <c r="L53" s="289">
        <f t="shared" si="40"/>
        <v>1227546.4920830794</v>
      </c>
      <c r="M53" s="274">
        <f t="shared" ref="M53:P53" si="41">MIN(M49+M50+M51-M52,M46*$C53)</f>
        <v>0</v>
      </c>
      <c r="N53" s="274">
        <f t="shared" si="41"/>
        <v>0</v>
      </c>
      <c r="O53" s="274">
        <f t="shared" si="41"/>
        <v>0</v>
      </c>
      <c r="P53" s="274">
        <f t="shared" si="41"/>
        <v>0</v>
      </c>
      <c r="Q53" s="279"/>
      <c r="R53" s="280"/>
      <c r="S53" s="280"/>
      <c r="T53" s="280"/>
      <c r="U53" s="280"/>
      <c r="V53" s="280"/>
      <c r="W53" s="280"/>
      <c r="X53" s="280"/>
      <c r="Y53" s="280"/>
      <c r="Z53" s="280"/>
    </row>
    <row r="54" spans="1:26" ht="15.75" customHeight="1" x14ac:dyDescent="0.2">
      <c r="A54" s="206"/>
      <c r="B54" s="272" t="s">
        <v>211</v>
      </c>
      <c r="C54" s="273"/>
      <c r="D54" s="205"/>
      <c r="E54" s="71"/>
      <c r="F54" s="293">
        <f t="shared" ref="F54:L54" si="42">MAX(0,F49+F51-F52-F53)</f>
        <v>1025640</v>
      </c>
      <c r="G54" s="293">
        <f t="shared" si="42"/>
        <v>992226.65599999996</v>
      </c>
      <c r="H54" s="293">
        <f t="shared" si="42"/>
        <v>893575.50169599999</v>
      </c>
      <c r="I54" s="293">
        <f t="shared" si="42"/>
        <v>463859.32955506304</v>
      </c>
      <c r="J54" s="293">
        <f t="shared" si="42"/>
        <v>380151.69503021031</v>
      </c>
      <c r="K54" s="293">
        <f t="shared" si="42"/>
        <v>290707.19878155494</v>
      </c>
      <c r="L54" s="293">
        <f t="shared" si="42"/>
        <v>0</v>
      </c>
      <c r="M54" s="265">
        <f t="shared" ref="M54:P54" si="43">MAX(0,M49+M50+M51-M53-M52)</f>
        <v>0</v>
      </c>
      <c r="N54" s="265">
        <f t="shared" si="43"/>
        <v>0</v>
      </c>
      <c r="O54" s="265">
        <f t="shared" si="43"/>
        <v>0</v>
      </c>
      <c r="P54" s="265">
        <f t="shared" si="43"/>
        <v>0</v>
      </c>
      <c r="Q54" s="214"/>
      <c r="R54" s="215"/>
      <c r="S54" s="215"/>
      <c r="T54" s="215"/>
      <c r="U54" s="215"/>
      <c r="V54" s="215"/>
      <c r="W54" s="215"/>
      <c r="X54" s="215"/>
      <c r="Y54" s="215"/>
      <c r="Z54" s="215"/>
    </row>
    <row r="55" spans="1:26" ht="15.75" customHeight="1" x14ac:dyDescent="0.2">
      <c r="A55" s="275"/>
      <c r="B55" s="276" t="s">
        <v>231</v>
      </c>
      <c r="C55" s="277"/>
      <c r="D55" s="71"/>
      <c r="E55" s="264"/>
      <c r="F55" s="294">
        <f t="shared" ref="F55:L55" si="44">IFERROR(SUM(F52:F53)/SUM($E51:F51),0)</f>
        <v>0</v>
      </c>
      <c r="G55" s="294">
        <f t="shared" si="44"/>
        <v>3.2578042978042961E-2</v>
      </c>
      <c r="H55" s="294">
        <f t="shared" si="44"/>
        <v>9.618497163137163E-2</v>
      </c>
      <c r="I55" s="294">
        <f t="shared" si="44"/>
        <v>0.41897368681110042</v>
      </c>
      <c r="J55" s="294">
        <f t="shared" si="44"/>
        <v>8.1615025276756653E-2</v>
      </c>
      <c r="K55" s="294">
        <f t="shared" si="44"/>
        <v>8.7208471050910008E-2</v>
      </c>
      <c r="L55" s="294">
        <f t="shared" si="44"/>
        <v>1.2290250192628329</v>
      </c>
      <c r="M55" s="277">
        <f t="shared" ref="M55:P55" si="45">SUM(M52:M53)/SUM($E51:M51)</f>
        <v>0</v>
      </c>
      <c r="N55" s="277">
        <f t="shared" si="45"/>
        <v>0</v>
      </c>
      <c r="O55" s="277">
        <f t="shared" si="45"/>
        <v>0</v>
      </c>
      <c r="P55" s="277">
        <f t="shared" si="45"/>
        <v>0</v>
      </c>
      <c r="Q55" s="279"/>
      <c r="R55" s="280"/>
      <c r="S55" s="280"/>
      <c r="T55" s="280"/>
      <c r="U55" s="280"/>
      <c r="V55" s="280"/>
      <c r="W55" s="280"/>
      <c r="X55" s="280"/>
      <c r="Y55" s="280"/>
      <c r="Z55" s="280"/>
    </row>
    <row r="56" spans="1:26" ht="15.75" customHeight="1" x14ac:dyDescent="0.2">
      <c r="A56" s="206"/>
      <c r="B56" s="276" t="s">
        <v>213</v>
      </c>
      <c r="C56" s="277"/>
      <c r="D56" s="280"/>
      <c r="E56" s="264"/>
      <c r="F56" s="278">
        <f t="shared" ref="F56:P56" si="46">-F51+F52+F53</f>
        <v>-1025640</v>
      </c>
      <c r="G56" s="278">
        <f t="shared" si="46"/>
        <v>33413.343999999983</v>
      </c>
      <c r="H56" s="278">
        <f t="shared" si="46"/>
        <v>98651.154303999996</v>
      </c>
      <c r="I56" s="278">
        <f t="shared" si="46"/>
        <v>429716.17214093701</v>
      </c>
      <c r="J56" s="278">
        <f t="shared" si="46"/>
        <v>83707.634524852692</v>
      </c>
      <c r="K56" s="278">
        <f t="shared" si="46"/>
        <v>89444.496248655341</v>
      </c>
      <c r="L56" s="278">
        <f t="shared" si="46"/>
        <v>1260537.2207567319</v>
      </c>
      <c r="M56" s="274">
        <f t="shared" si="46"/>
        <v>0</v>
      </c>
      <c r="N56" s="274">
        <f t="shared" si="46"/>
        <v>0</v>
      </c>
      <c r="O56" s="274">
        <f t="shared" si="46"/>
        <v>0</v>
      </c>
      <c r="P56" s="274">
        <f t="shared" si="46"/>
        <v>0</v>
      </c>
      <c r="Q56" s="214"/>
      <c r="R56" s="215"/>
      <c r="S56" s="215"/>
      <c r="T56" s="215"/>
      <c r="U56" s="215"/>
      <c r="V56" s="215"/>
      <c r="W56" s="215"/>
      <c r="X56" s="215"/>
      <c r="Y56" s="215"/>
      <c r="Z56" s="215"/>
    </row>
    <row r="57" spans="1:26" ht="15.75" customHeight="1" x14ac:dyDescent="0.2">
      <c r="A57" s="275"/>
      <c r="B57" s="276" t="s">
        <v>214</v>
      </c>
      <c r="C57" s="282" t="b">
        <f>ROUND(IRR(F56:L56),3)=C55</f>
        <v>0</v>
      </c>
      <c r="D57" s="71"/>
      <c r="E57" s="264"/>
      <c r="F57" s="274"/>
      <c r="G57" s="274"/>
      <c r="H57" s="274"/>
      <c r="I57" s="274"/>
      <c r="J57" s="274"/>
      <c r="K57" s="274"/>
      <c r="L57" s="274"/>
      <c r="M57" s="277"/>
      <c r="N57" s="277"/>
      <c r="O57" s="277"/>
      <c r="P57" s="277"/>
      <c r="Q57" s="279"/>
      <c r="R57" s="280"/>
      <c r="S57" s="280"/>
      <c r="T57" s="280"/>
      <c r="U57" s="280"/>
      <c r="V57" s="280"/>
      <c r="W57" s="280"/>
      <c r="X57" s="280"/>
      <c r="Y57" s="280"/>
      <c r="Z57" s="280"/>
    </row>
    <row r="58" spans="1:26" ht="15.75" customHeight="1" x14ac:dyDescent="0.2">
      <c r="A58" s="206"/>
      <c r="B58" s="262"/>
      <c r="C58" s="273"/>
      <c r="D58" s="215"/>
      <c r="E58" s="283"/>
      <c r="F58" s="274"/>
      <c r="G58" s="274"/>
      <c r="H58" s="274"/>
      <c r="I58" s="274"/>
      <c r="J58" s="274"/>
      <c r="K58" s="274"/>
      <c r="L58" s="274"/>
      <c r="M58" s="274"/>
      <c r="N58" s="274"/>
      <c r="O58" s="274"/>
      <c r="P58" s="274"/>
      <c r="Q58" s="214"/>
      <c r="R58" s="215"/>
      <c r="S58" s="215"/>
      <c r="T58" s="215"/>
      <c r="U58" s="215"/>
      <c r="V58" s="215"/>
      <c r="W58" s="215"/>
      <c r="X58" s="215"/>
      <c r="Y58" s="215"/>
      <c r="Z58" s="215"/>
    </row>
    <row r="59" spans="1:26" ht="15.75" customHeight="1" x14ac:dyDescent="0.2">
      <c r="A59" s="206"/>
      <c r="B59" s="272" t="s">
        <v>215</v>
      </c>
      <c r="C59" s="273">
        <f>C5</f>
        <v>0.1</v>
      </c>
      <c r="D59" s="215"/>
      <c r="E59" s="283"/>
      <c r="F59" s="274">
        <f t="shared" ref="F59:P59" si="47">F42</f>
        <v>113960</v>
      </c>
      <c r="G59" s="265">
        <f t="shared" si="47"/>
        <v>0</v>
      </c>
      <c r="H59" s="265">
        <f t="shared" si="47"/>
        <v>0</v>
      </c>
      <c r="I59" s="265">
        <f t="shared" si="47"/>
        <v>0</v>
      </c>
      <c r="J59" s="265">
        <f t="shared" si="47"/>
        <v>0</v>
      </c>
      <c r="K59" s="265">
        <f t="shared" si="47"/>
        <v>0</v>
      </c>
      <c r="L59" s="265">
        <f t="shared" si="47"/>
        <v>0</v>
      </c>
      <c r="M59" s="265">
        <f t="shared" si="47"/>
        <v>0</v>
      </c>
      <c r="N59" s="265">
        <f t="shared" si="47"/>
        <v>0</v>
      </c>
      <c r="O59" s="265">
        <f t="shared" si="47"/>
        <v>0</v>
      </c>
      <c r="P59" s="265">
        <f t="shared" si="47"/>
        <v>0</v>
      </c>
      <c r="Q59" s="214"/>
      <c r="R59" s="215"/>
      <c r="S59" s="215"/>
      <c r="T59" s="215"/>
      <c r="U59" s="215"/>
      <c r="V59" s="215"/>
      <c r="W59" s="215"/>
      <c r="X59" s="215"/>
      <c r="Y59" s="215"/>
      <c r="Z59" s="215"/>
    </row>
    <row r="60" spans="1:26" ht="15.75" customHeight="1" x14ac:dyDescent="0.2">
      <c r="A60" s="206"/>
      <c r="B60" s="272" t="s">
        <v>216</v>
      </c>
      <c r="C60" s="277">
        <f>D10</f>
        <v>0.2</v>
      </c>
      <c r="D60" s="215"/>
      <c r="E60" s="283"/>
      <c r="F60" s="289">
        <f t="shared" ref="F60:L60" si="48">IF(AND(F49&lt;=0,IFERROR(IRR(E$56:$F56),0)&gt;=$C$11),MAX(F46,0), MAX(F46,0)*$D$10)</f>
        <v>0</v>
      </c>
      <c r="G60" s="289">
        <f t="shared" si="48"/>
        <v>0</v>
      </c>
      <c r="H60" s="289">
        <f t="shared" si="48"/>
        <v>2246.9245759999963</v>
      </c>
      <c r="I60" s="289">
        <f t="shared" si="48"/>
        <v>92179.25850979425</v>
      </c>
      <c r="J60" s="289">
        <f t="shared" si="48"/>
        <v>11207.879616360828</v>
      </c>
      <c r="K60" s="289">
        <f t="shared" si="48"/>
        <v>13314.567824293141</v>
      </c>
      <c r="L60" s="289">
        <f t="shared" si="48"/>
        <v>306886.62302076985</v>
      </c>
      <c r="M60" s="265">
        <f t="shared" ref="M60:P60" si="49">M53/$C$53*$C$60</f>
        <v>0</v>
      </c>
      <c r="N60" s="265">
        <f t="shared" si="49"/>
        <v>0</v>
      </c>
      <c r="O60" s="265">
        <f t="shared" si="49"/>
        <v>0</v>
      </c>
      <c r="P60" s="265">
        <f t="shared" si="49"/>
        <v>0</v>
      </c>
      <c r="Q60" s="214"/>
      <c r="R60" s="215"/>
      <c r="S60" s="215"/>
      <c r="T60" s="215"/>
      <c r="U60" s="215"/>
      <c r="V60" s="215"/>
      <c r="W60" s="215"/>
      <c r="X60" s="215"/>
      <c r="Y60" s="215"/>
      <c r="Z60" s="215"/>
    </row>
    <row r="61" spans="1:26" ht="15.75" customHeight="1" x14ac:dyDescent="0.2">
      <c r="A61" s="206"/>
      <c r="B61" s="262"/>
      <c r="C61" s="277"/>
      <c r="D61" s="215"/>
      <c r="E61" s="283"/>
      <c r="F61" s="265"/>
      <c r="G61" s="265"/>
      <c r="H61" s="265"/>
      <c r="I61" s="265"/>
      <c r="J61" s="265"/>
      <c r="K61" s="265"/>
      <c r="L61" s="265"/>
      <c r="M61" s="265"/>
      <c r="N61" s="265"/>
      <c r="O61" s="265"/>
      <c r="P61" s="265"/>
      <c r="Q61" s="214"/>
      <c r="R61" s="215"/>
      <c r="S61" s="215"/>
      <c r="T61" s="215"/>
      <c r="U61" s="215"/>
      <c r="V61" s="215"/>
      <c r="W61" s="215"/>
      <c r="X61" s="215"/>
      <c r="Y61" s="215"/>
      <c r="Z61" s="215"/>
    </row>
    <row r="62" spans="1:26" ht="15.75" customHeight="1" x14ac:dyDescent="0.2">
      <c r="A62" s="206"/>
      <c r="B62" s="272" t="s">
        <v>232</v>
      </c>
      <c r="C62" s="277"/>
      <c r="D62" s="215"/>
      <c r="E62" s="283"/>
      <c r="F62" s="265">
        <f t="shared" ref="F62:P62" si="50">F53+F60</f>
        <v>0</v>
      </c>
      <c r="G62" s="265">
        <f t="shared" si="50"/>
        <v>0</v>
      </c>
      <c r="H62" s="265">
        <f t="shared" si="50"/>
        <v>11234.622879999981</v>
      </c>
      <c r="I62" s="265">
        <f t="shared" si="50"/>
        <v>460896.29254897125</v>
      </c>
      <c r="J62" s="265">
        <f t="shared" si="50"/>
        <v>56039.398081804138</v>
      </c>
      <c r="K62" s="265">
        <f t="shared" si="50"/>
        <v>66572.839121465702</v>
      </c>
      <c r="L62" s="265">
        <f t="shared" si="50"/>
        <v>1534433.1151038492</v>
      </c>
      <c r="M62" s="265">
        <f t="shared" si="50"/>
        <v>0</v>
      </c>
      <c r="N62" s="265">
        <f t="shared" si="50"/>
        <v>0</v>
      </c>
      <c r="O62" s="265">
        <f t="shared" si="50"/>
        <v>0</v>
      </c>
      <c r="P62" s="265">
        <f t="shared" si="50"/>
        <v>0</v>
      </c>
      <c r="Q62" s="214"/>
      <c r="R62" s="215"/>
      <c r="S62" s="215"/>
      <c r="T62" s="215"/>
      <c r="U62" s="215"/>
      <c r="V62" s="215"/>
      <c r="W62" s="215"/>
      <c r="X62" s="215"/>
      <c r="Y62" s="215"/>
      <c r="Z62" s="215"/>
    </row>
    <row r="63" spans="1:26" ht="15.75" customHeight="1" x14ac:dyDescent="0.2">
      <c r="A63" s="275"/>
      <c r="B63" s="276" t="s">
        <v>227</v>
      </c>
      <c r="C63" s="277"/>
      <c r="D63" s="280"/>
      <c r="E63" s="284"/>
      <c r="F63" s="274">
        <f t="shared" ref="F63:L63" si="51">MAX(F46,0)-F62</f>
        <v>0</v>
      </c>
      <c r="G63" s="274">
        <f t="shared" si="51"/>
        <v>0</v>
      </c>
      <c r="H63" s="274">
        <f t="shared" si="51"/>
        <v>0</v>
      </c>
      <c r="I63" s="274">
        <f t="shared" si="51"/>
        <v>0</v>
      </c>
      <c r="J63" s="274">
        <f t="shared" si="51"/>
        <v>0</v>
      </c>
      <c r="K63" s="274">
        <f t="shared" si="51"/>
        <v>0</v>
      </c>
      <c r="L63" s="274">
        <f t="shared" si="51"/>
        <v>0</v>
      </c>
      <c r="M63" s="274">
        <f t="shared" ref="M63:P63" si="52">MAX(M47,0)-M62</f>
        <v>0</v>
      </c>
      <c r="N63" s="274">
        <f t="shared" si="52"/>
        <v>0</v>
      </c>
      <c r="O63" s="274">
        <f t="shared" si="52"/>
        <v>0</v>
      </c>
      <c r="P63" s="274">
        <f t="shared" si="52"/>
        <v>0</v>
      </c>
      <c r="Q63" s="279"/>
      <c r="R63" s="280"/>
      <c r="S63" s="280"/>
      <c r="T63" s="280"/>
      <c r="U63" s="280"/>
      <c r="V63" s="280"/>
      <c r="W63" s="280"/>
      <c r="X63" s="280"/>
      <c r="Y63" s="280"/>
      <c r="Z63" s="280"/>
    </row>
    <row r="64" spans="1:26" ht="15.75" customHeight="1" x14ac:dyDescent="0.2">
      <c r="A64" s="206"/>
      <c r="B64" s="272"/>
      <c r="C64" s="273"/>
      <c r="D64" s="215"/>
      <c r="E64" s="283"/>
      <c r="F64" s="265"/>
      <c r="G64" s="265"/>
      <c r="H64" s="265"/>
      <c r="I64" s="265"/>
      <c r="J64" s="265"/>
      <c r="K64" s="265"/>
      <c r="L64" s="265"/>
      <c r="M64" s="265"/>
      <c r="N64" s="265"/>
      <c r="O64" s="265"/>
      <c r="P64" s="295"/>
      <c r="Q64" s="214"/>
      <c r="R64" s="215"/>
      <c r="S64" s="215"/>
      <c r="T64" s="215"/>
      <c r="U64" s="215"/>
      <c r="V64" s="215"/>
      <c r="W64" s="215"/>
      <c r="X64" s="215"/>
      <c r="Y64" s="215"/>
      <c r="Z64" s="215"/>
    </row>
    <row r="65" spans="1:26" ht="15.75" customHeight="1" x14ac:dyDescent="0.2">
      <c r="A65" s="206"/>
      <c r="B65" s="267" t="s">
        <v>233</v>
      </c>
      <c r="C65" s="296"/>
      <c r="D65" s="297"/>
      <c r="E65" s="297"/>
      <c r="F65" s="298"/>
      <c r="G65" s="298"/>
      <c r="H65" s="298"/>
      <c r="I65" s="298"/>
      <c r="J65" s="298"/>
      <c r="K65" s="298"/>
      <c r="L65" s="298"/>
      <c r="M65" s="298"/>
      <c r="N65" s="298"/>
      <c r="O65" s="298"/>
      <c r="P65" s="299"/>
      <c r="Q65" s="214"/>
      <c r="R65" s="215"/>
      <c r="S65" s="215"/>
      <c r="T65" s="215"/>
      <c r="U65" s="215"/>
      <c r="V65" s="215"/>
      <c r="W65" s="215"/>
      <c r="X65" s="215"/>
      <c r="Y65" s="215"/>
      <c r="Z65" s="215"/>
    </row>
    <row r="66" spans="1:26" ht="15.75" customHeight="1" x14ac:dyDescent="0.2">
      <c r="A66" s="206"/>
      <c r="B66" s="300" t="s">
        <v>234</v>
      </c>
      <c r="C66" s="301">
        <f t="shared" ref="C66:C68" si="53">SUM(F66:P66)</f>
        <v>473835.25354721805</v>
      </c>
      <c r="D66" s="302"/>
      <c r="E66" s="302"/>
      <c r="F66" s="303">
        <f>F26+F43+F60</f>
        <v>0</v>
      </c>
      <c r="G66" s="304">
        <f>G26+G43+G60+INPUTS!R50</f>
        <v>48000</v>
      </c>
      <c r="H66" s="304">
        <f t="shared" ref="H66:P66" si="54">H26+H43+H60</f>
        <v>2246.9245759999963</v>
      </c>
      <c r="I66" s="304">
        <f t="shared" si="54"/>
        <v>92179.25850979425</v>
      </c>
      <c r="J66" s="304">
        <f t="shared" si="54"/>
        <v>11207.879616360828</v>
      </c>
      <c r="K66" s="304">
        <f t="shared" si="54"/>
        <v>13314.567824293141</v>
      </c>
      <c r="L66" s="304">
        <f t="shared" si="54"/>
        <v>306886.62302076985</v>
      </c>
      <c r="M66" s="303">
        <f t="shared" si="54"/>
        <v>0</v>
      </c>
      <c r="N66" s="303">
        <f t="shared" si="54"/>
        <v>0</v>
      </c>
      <c r="O66" s="303">
        <f t="shared" si="54"/>
        <v>0</v>
      </c>
      <c r="P66" s="305">
        <f t="shared" si="54"/>
        <v>0</v>
      </c>
      <c r="Q66" s="214"/>
      <c r="R66" s="215"/>
      <c r="S66" s="215"/>
      <c r="T66" s="215"/>
      <c r="U66" s="215"/>
      <c r="V66" s="215"/>
      <c r="W66" s="215"/>
      <c r="X66" s="215"/>
      <c r="Y66" s="215"/>
      <c r="Z66" s="215"/>
    </row>
    <row r="67" spans="1:26" ht="15.75" customHeight="1" x14ac:dyDescent="0.2">
      <c r="A67" s="206"/>
      <c r="B67" s="300" t="s">
        <v>235</v>
      </c>
      <c r="C67" s="306">
        <f t="shared" si="53"/>
        <v>113960</v>
      </c>
      <c r="D67" s="297" t="s">
        <v>124</v>
      </c>
      <c r="E67" s="297" t="s">
        <v>236</v>
      </c>
      <c r="F67" s="307">
        <f t="shared" ref="F67:P67" si="55">F25</f>
        <v>113960</v>
      </c>
      <c r="G67" s="307">
        <f t="shared" si="55"/>
        <v>0</v>
      </c>
      <c r="H67" s="307">
        <f t="shared" si="55"/>
        <v>0</v>
      </c>
      <c r="I67" s="307">
        <f t="shared" si="55"/>
        <v>0</v>
      </c>
      <c r="J67" s="307">
        <f t="shared" si="55"/>
        <v>0</v>
      </c>
      <c r="K67" s="307">
        <f t="shared" si="55"/>
        <v>0</v>
      </c>
      <c r="L67" s="307">
        <f t="shared" si="55"/>
        <v>0</v>
      </c>
      <c r="M67" s="307">
        <f t="shared" si="55"/>
        <v>0</v>
      </c>
      <c r="N67" s="307">
        <f t="shared" si="55"/>
        <v>0</v>
      </c>
      <c r="O67" s="307">
        <f t="shared" si="55"/>
        <v>0</v>
      </c>
      <c r="P67" s="308">
        <f t="shared" si="55"/>
        <v>0</v>
      </c>
      <c r="Q67" s="214"/>
      <c r="R67" s="215"/>
      <c r="S67" s="215"/>
      <c r="T67" s="215"/>
      <c r="U67" s="215"/>
      <c r="V67" s="215"/>
      <c r="W67" s="215"/>
      <c r="X67" s="215"/>
      <c r="Y67" s="215"/>
      <c r="Z67" s="215"/>
    </row>
    <row r="68" spans="1:26" ht="15.75" customHeight="1" x14ac:dyDescent="0.2">
      <c r="A68" s="206"/>
      <c r="B68" s="300" t="s">
        <v>237</v>
      </c>
      <c r="C68" s="301">
        <f t="shared" si="53"/>
        <v>359875.25354721805</v>
      </c>
      <c r="D68" s="309">
        <f>IRR(F68:P68)</f>
        <v>0.40422981398908031</v>
      </c>
      <c r="E68" s="310">
        <f>C66/C67</f>
        <v>4.1579085077853462</v>
      </c>
      <c r="F68" s="303">
        <f t="shared" ref="F68:P68" si="56">-F67+F66</f>
        <v>-113960</v>
      </c>
      <c r="G68" s="303">
        <f t="shared" si="56"/>
        <v>48000</v>
      </c>
      <c r="H68" s="303">
        <f t="shared" si="56"/>
        <v>2246.9245759999963</v>
      </c>
      <c r="I68" s="303">
        <f t="shared" si="56"/>
        <v>92179.25850979425</v>
      </c>
      <c r="J68" s="303">
        <f t="shared" si="56"/>
        <v>11207.879616360828</v>
      </c>
      <c r="K68" s="303">
        <f t="shared" si="56"/>
        <v>13314.567824293141</v>
      </c>
      <c r="L68" s="303">
        <f t="shared" si="56"/>
        <v>306886.62302076985</v>
      </c>
      <c r="M68" s="303">
        <f t="shared" si="56"/>
        <v>0</v>
      </c>
      <c r="N68" s="303">
        <f t="shared" si="56"/>
        <v>0</v>
      </c>
      <c r="O68" s="303">
        <f t="shared" si="56"/>
        <v>0</v>
      </c>
      <c r="P68" s="305">
        <f t="shared" si="56"/>
        <v>0</v>
      </c>
      <c r="Q68" s="214"/>
      <c r="R68" s="215"/>
      <c r="S68" s="215"/>
      <c r="T68" s="215"/>
      <c r="U68" s="215"/>
      <c r="V68" s="215"/>
      <c r="W68" s="215"/>
      <c r="X68" s="215"/>
      <c r="Y68" s="215"/>
      <c r="Z68" s="215"/>
    </row>
    <row r="69" spans="1:26" ht="15.75" customHeight="1" x14ac:dyDescent="0.2">
      <c r="A69" s="206"/>
      <c r="B69" s="276"/>
      <c r="C69" s="71"/>
      <c r="D69" s="205"/>
      <c r="E69" s="205"/>
      <c r="F69" s="311"/>
      <c r="G69" s="273">
        <f t="shared" ref="G69:P69" si="57">G68/$C$67</f>
        <v>0.42120042120042123</v>
      </c>
      <c r="H69" s="273">
        <f t="shared" si="57"/>
        <v>1.971678287118284E-2</v>
      </c>
      <c r="I69" s="273">
        <f t="shared" si="57"/>
        <v>0.80887380229724681</v>
      </c>
      <c r="J69" s="273">
        <f t="shared" si="57"/>
        <v>9.8349241982808241E-2</v>
      </c>
      <c r="K69" s="273">
        <f t="shared" si="57"/>
        <v>0.1168354494936218</v>
      </c>
      <c r="L69" s="273">
        <f t="shared" si="57"/>
        <v>2.6929328099400656</v>
      </c>
      <c r="M69" s="287">
        <f t="shared" si="57"/>
        <v>0</v>
      </c>
      <c r="N69" s="287">
        <f t="shared" si="57"/>
        <v>0</v>
      </c>
      <c r="O69" s="287">
        <f t="shared" si="57"/>
        <v>0</v>
      </c>
      <c r="P69" s="287">
        <f t="shared" si="57"/>
        <v>0</v>
      </c>
      <c r="Q69" s="214"/>
      <c r="R69" s="215"/>
      <c r="S69" s="215"/>
      <c r="T69" s="215"/>
      <c r="U69" s="215"/>
      <c r="V69" s="215"/>
      <c r="W69" s="215"/>
      <c r="X69" s="215"/>
      <c r="Y69" s="215"/>
      <c r="Z69" s="215"/>
    </row>
    <row r="70" spans="1:26" ht="15.75" customHeight="1" x14ac:dyDescent="0.2">
      <c r="A70" s="206"/>
      <c r="B70" s="267" t="s">
        <v>238</v>
      </c>
      <c r="C70" s="296"/>
      <c r="D70" s="312"/>
      <c r="E70" s="312"/>
      <c r="F70" s="298"/>
      <c r="G70" s="298"/>
      <c r="H70" s="298"/>
      <c r="I70" s="298"/>
      <c r="J70" s="298"/>
      <c r="K70" s="298"/>
      <c r="L70" s="298"/>
      <c r="M70" s="298"/>
      <c r="N70" s="298"/>
      <c r="O70" s="298"/>
      <c r="P70" s="299"/>
      <c r="Q70" s="214"/>
      <c r="R70" s="215"/>
      <c r="S70" s="215"/>
      <c r="T70" s="215"/>
      <c r="U70" s="215"/>
      <c r="V70" s="215"/>
      <c r="W70" s="215"/>
      <c r="X70" s="215"/>
      <c r="Y70" s="215"/>
      <c r="Z70" s="215"/>
    </row>
    <row r="71" spans="1:26" ht="15.75" customHeight="1" x14ac:dyDescent="0.2">
      <c r="A71" s="206"/>
      <c r="B71" s="300" t="s">
        <v>234</v>
      </c>
      <c r="C71" s="301">
        <f>SUM(F71:L71)</f>
        <v>1995470.0219751769</v>
      </c>
      <c r="D71" s="302"/>
      <c r="E71" s="302"/>
      <c r="F71" s="303">
        <f t="shared" ref="F71:P71" si="58">F18+F36+F53</f>
        <v>0</v>
      </c>
      <c r="G71" s="304">
        <f t="shared" si="58"/>
        <v>33413.343999999983</v>
      </c>
      <c r="H71" s="304">
        <f t="shared" si="58"/>
        <v>98651.154303999996</v>
      </c>
      <c r="I71" s="304">
        <f t="shared" si="58"/>
        <v>429716.17214093701</v>
      </c>
      <c r="J71" s="304">
        <f t="shared" si="58"/>
        <v>83707.634524852692</v>
      </c>
      <c r="K71" s="304">
        <f t="shared" si="58"/>
        <v>89444.496248655341</v>
      </c>
      <c r="L71" s="304">
        <f t="shared" si="58"/>
        <v>1260537.2207567319</v>
      </c>
      <c r="M71" s="303">
        <f t="shared" si="58"/>
        <v>0</v>
      </c>
      <c r="N71" s="303">
        <f t="shared" si="58"/>
        <v>0</v>
      </c>
      <c r="O71" s="303">
        <f t="shared" si="58"/>
        <v>0</v>
      </c>
      <c r="P71" s="305">
        <f t="shared" si="58"/>
        <v>0</v>
      </c>
      <c r="Q71" s="313">
        <f>SUM(C71:M71)</f>
        <v>3990940.0439503537</v>
      </c>
      <c r="R71" s="215"/>
      <c r="S71" s="215"/>
      <c r="T71" s="215"/>
      <c r="U71" s="215"/>
      <c r="V71" s="215"/>
      <c r="W71" s="215"/>
      <c r="X71" s="215"/>
      <c r="Y71" s="215"/>
      <c r="Z71" s="215"/>
    </row>
    <row r="72" spans="1:26" ht="15.75" customHeight="1" x14ac:dyDescent="0.2">
      <c r="A72" s="206"/>
      <c r="B72" s="300" t="s">
        <v>235</v>
      </c>
      <c r="C72" s="306">
        <f t="shared" ref="C72:C73" si="59">SUM(F72:P72)</f>
        <v>1025640</v>
      </c>
      <c r="D72" s="297" t="s">
        <v>124</v>
      </c>
      <c r="E72" s="297" t="s">
        <v>236</v>
      </c>
      <c r="F72" s="307">
        <f t="shared" ref="F72:P72" si="60">F17</f>
        <v>1025640</v>
      </c>
      <c r="G72" s="307">
        <f t="shared" si="60"/>
        <v>0</v>
      </c>
      <c r="H72" s="307">
        <f t="shared" si="60"/>
        <v>0</v>
      </c>
      <c r="I72" s="307">
        <f t="shared" si="60"/>
        <v>0</v>
      </c>
      <c r="J72" s="307">
        <f t="shared" si="60"/>
        <v>0</v>
      </c>
      <c r="K72" s="307">
        <f t="shared" si="60"/>
        <v>0</v>
      </c>
      <c r="L72" s="307">
        <f t="shared" si="60"/>
        <v>0</v>
      </c>
      <c r="M72" s="307">
        <f t="shared" si="60"/>
        <v>0</v>
      </c>
      <c r="N72" s="307">
        <f t="shared" si="60"/>
        <v>0</v>
      </c>
      <c r="O72" s="307">
        <f t="shared" si="60"/>
        <v>0</v>
      </c>
      <c r="P72" s="308">
        <f t="shared" si="60"/>
        <v>0</v>
      </c>
      <c r="Q72" s="214"/>
      <c r="R72" s="215"/>
      <c r="S72" s="215"/>
      <c r="T72" s="215"/>
      <c r="U72" s="215"/>
      <c r="V72" s="215"/>
      <c r="W72" s="215"/>
      <c r="X72" s="215"/>
      <c r="Y72" s="215"/>
      <c r="Z72" s="215"/>
    </row>
    <row r="73" spans="1:26" ht="15.75" customHeight="1" x14ac:dyDescent="0.2">
      <c r="A73" s="206"/>
      <c r="B73" s="300" t="s">
        <v>237</v>
      </c>
      <c r="C73" s="301">
        <f t="shared" si="59"/>
        <v>969830.02197517699</v>
      </c>
      <c r="D73" s="309">
        <f>IRR(F73:P73)</f>
        <v>0.14947566970491577</v>
      </c>
      <c r="E73" s="310">
        <f>C71/C72</f>
        <v>1.9455852170110144</v>
      </c>
      <c r="F73" s="303">
        <f t="shared" ref="F73:P73" si="61">-F72+F71</f>
        <v>-1025640</v>
      </c>
      <c r="G73" s="303">
        <f t="shared" si="61"/>
        <v>33413.343999999983</v>
      </c>
      <c r="H73" s="303">
        <f t="shared" si="61"/>
        <v>98651.154303999996</v>
      </c>
      <c r="I73" s="303">
        <f t="shared" si="61"/>
        <v>429716.17214093701</v>
      </c>
      <c r="J73" s="303">
        <f t="shared" si="61"/>
        <v>83707.634524852692</v>
      </c>
      <c r="K73" s="303">
        <f t="shared" si="61"/>
        <v>89444.496248655341</v>
      </c>
      <c r="L73" s="303">
        <f t="shared" si="61"/>
        <v>1260537.2207567319</v>
      </c>
      <c r="M73" s="303">
        <f t="shared" si="61"/>
        <v>0</v>
      </c>
      <c r="N73" s="303">
        <f t="shared" si="61"/>
        <v>0</v>
      </c>
      <c r="O73" s="303">
        <f t="shared" si="61"/>
        <v>0</v>
      </c>
      <c r="P73" s="305">
        <f t="shared" si="61"/>
        <v>0</v>
      </c>
      <c r="Q73" s="214"/>
      <c r="R73" s="215"/>
      <c r="S73" s="215"/>
      <c r="T73" s="215"/>
      <c r="U73" s="215"/>
      <c r="V73" s="215"/>
      <c r="W73" s="215"/>
      <c r="X73" s="215"/>
      <c r="Y73" s="215"/>
      <c r="Z73" s="215"/>
    </row>
    <row r="74" spans="1:26" ht="15.75" customHeight="1" x14ac:dyDescent="0.2">
      <c r="A74" s="206"/>
      <c r="B74" s="262"/>
      <c r="C74" s="215"/>
      <c r="D74" s="215"/>
      <c r="E74" s="263" t="s">
        <v>239</v>
      </c>
      <c r="F74" s="287">
        <v>0</v>
      </c>
      <c r="G74" s="287">
        <f t="shared" ref="G74:P74" si="62">G73/$C$72</f>
        <v>3.2578042978042961E-2</v>
      </c>
      <c r="H74" s="287">
        <f t="shared" si="62"/>
        <v>9.618497163137163E-2</v>
      </c>
      <c r="I74" s="287">
        <f t="shared" si="62"/>
        <v>0.41897368681110042</v>
      </c>
      <c r="J74" s="287">
        <f t="shared" si="62"/>
        <v>8.1615025276756653E-2</v>
      </c>
      <c r="K74" s="287">
        <f t="shared" si="62"/>
        <v>8.7208471050910008E-2</v>
      </c>
      <c r="L74" s="287">
        <f t="shared" si="62"/>
        <v>1.2290250192628329</v>
      </c>
      <c r="M74" s="287">
        <f t="shared" si="62"/>
        <v>0</v>
      </c>
      <c r="N74" s="287">
        <f t="shared" si="62"/>
        <v>0</v>
      </c>
      <c r="O74" s="287">
        <f t="shared" si="62"/>
        <v>0</v>
      </c>
      <c r="P74" s="314">
        <f t="shared" si="62"/>
        <v>0</v>
      </c>
      <c r="Q74" s="214"/>
      <c r="R74" s="215"/>
      <c r="S74" s="215"/>
      <c r="T74" s="215"/>
      <c r="U74" s="215"/>
      <c r="V74" s="215"/>
      <c r="W74" s="215"/>
      <c r="X74" s="215"/>
      <c r="Y74" s="215"/>
      <c r="Z74" s="215"/>
    </row>
    <row r="75" spans="1:26" ht="15.75" hidden="1" customHeight="1" x14ac:dyDescent="0.2">
      <c r="A75" s="206"/>
      <c r="B75" s="315" t="s">
        <v>240</v>
      </c>
      <c r="C75" s="316" t="s">
        <v>241</v>
      </c>
      <c r="D75" s="215"/>
      <c r="E75" s="215"/>
      <c r="F75" s="215"/>
      <c r="G75" s="215"/>
      <c r="H75" s="215"/>
      <c r="I75" s="215"/>
      <c r="J75" s="215"/>
      <c r="K75" s="215"/>
      <c r="L75" s="215"/>
      <c r="M75" s="215"/>
      <c r="N75" s="215"/>
      <c r="O75" s="215"/>
      <c r="P75" s="266"/>
      <c r="Q75" s="214"/>
      <c r="R75" s="215"/>
      <c r="S75" s="215"/>
      <c r="T75" s="215"/>
      <c r="U75" s="215"/>
      <c r="V75" s="215"/>
      <c r="W75" s="215"/>
      <c r="X75" s="215"/>
      <c r="Y75" s="215"/>
      <c r="Z75" s="215"/>
    </row>
    <row r="76" spans="1:26" ht="15.75" hidden="1" customHeight="1" x14ac:dyDescent="0.2">
      <c r="A76" s="206"/>
      <c r="B76" s="262"/>
      <c r="C76" s="317">
        <f>D76/C67</f>
        <v>8.7750087750087746E-2</v>
      </c>
      <c r="D76" s="318">
        <v>10000</v>
      </c>
      <c r="E76" s="215"/>
      <c r="F76" s="215"/>
      <c r="G76" s="215"/>
      <c r="H76" s="215"/>
      <c r="I76" s="215"/>
      <c r="J76" s="215"/>
      <c r="K76" s="215"/>
      <c r="L76" s="215"/>
      <c r="M76" s="215"/>
      <c r="N76" s="215"/>
      <c r="O76" s="215"/>
      <c r="P76" s="266"/>
      <c r="Q76" s="214"/>
      <c r="R76" s="215"/>
      <c r="S76" s="215"/>
      <c r="T76" s="215"/>
      <c r="U76" s="215"/>
      <c r="V76" s="215"/>
      <c r="W76" s="215"/>
      <c r="X76" s="215"/>
      <c r="Y76" s="215"/>
      <c r="Z76" s="215"/>
    </row>
    <row r="77" spans="1:26" ht="15.75" hidden="1" customHeight="1" x14ac:dyDescent="0.2">
      <c r="A77" s="206"/>
      <c r="B77" s="262" t="s">
        <v>242</v>
      </c>
      <c r="C77" s="265">
        <f t="shared" ref="C77:C79" si="63">SUM(F77:P77)</f>
        <v>10000</v>
      </c>
      <c r="D77" s="215"/>
      <c r="E77" s="215"/>
      <c r="F77" s="265">
        <f t="shared" ref="F77:P77" si="64">F67*$C76</f>
        <v>10000</v>
      </c>
      <c r="G77" s="265">
        <f t="shared" si="64"/>
        <v>0</v>
      </c>
      <c r="H77" s="265">
        <f t="shared" si="64"/>
        <v>0</v>
      </c>
      <c r="I77" s="265">
        <f t="shared" si="64"/>
        <v>0</v>
      </c>
      <c r="J77" s="265">
        <f t="shared" si="64"/>
        <v>0</v>
      </c>
      <c r="K77" s="265">
        <f t="shared" si="64"/>
        <v>0</v>
      </c>
      <c r="L77" s="265">
        <f t="shared" si="64"/>
        <v>0</v>
      </c>
      <c r="M77" s="265">
        <f t="shared" si="64"/>
        <v>0</v>
      </c>
      <c r="N77" s="265">
        <f t="shared" si="64"/>
        <v>0</v>
      </c>
      <c r="O77" s="265">
        <f t="shared" si="64"/>
        <v>0</v>
      </c>
      <c r="P77" s="295">
        <f t="shared" si="64"/>
        <v>0</v>
      </c>
      <c r="Q77" s="214"/>
      <c r="R77" s="215"/>
      <c r="S77" s="215"/>
      <c r="T77" s="215"/>
      <c r="U77" s="215"/>
      <c r="V77" s="215"/>
      <c r="W77" s="215"/>
      <c r="X77" s="215"/>
      <c r="Y77" s="215"/>
      <c r="Z77" s="215"/>
    </row>
    <row r="78" spans="1:26" ht="15.75" hidden="1" customHeight="1" x14ac:dyDescent="0.2">
      <c r="A78" s="206"/>
      <c r="B78" s="319" t="s">
        <v>243</v>
      </c>
      <c r="C78" s="320">
        <f t="shared" si="63"/>
        <v>41579.085077853466</v>
      </c>
      <c r="D78" s="321" t="s">
        <v>124</v>
      </c>
      <c r="E78" s="321" t="s">
        <v>236</v>
      </c>
      <c r="F78" s="320">
        <f t="shared" ref="F78:P78" si="65">F$66*$C76</f>
        <v>0</v>
      </c>
      <c r="G78" s="320">
        <f t="shared" si="65"/>
        <v>4212.0042120042117</v>
      </c>
      <c r="H78" s="320">
        <f t="shared" si="65"/>
        <v>197.16782871182838</v>
      </c>
      <c r="I78" s="320">
        <f t="shared" si="65"/>
        <v>8088.7380229724677</v>
      </c>
      <c r="J78" s="320">
        <f t="shared" si="65"/>
        <v>983.49241982808246</v>
      </c>
      <c r="K78" s="320">
        <f t="shared" si="65"/>
        <v>1168.3544949362181</v>
      </c>
      <c r="L78" s="320">
        <f t="shared" si="65"/>
        <v>26929.328099400653</v>
      </c>
      <c r="M78" s="320">
        <f t="shared" si="65"/>
        <v>0</v>
      </c>
      <c r="N78" s="320">
        <f t="shared" si="65"/>
        <v>0</v>
      </c>
      <c r="O78" s="320">
        <f t="shared" si="65"/>
        <v>0</v>
      </c>
      <c r="P78" s="322">
        <f t="shared" si="65"/>
        <v>0</v>
      </c>
      <c r="Q78" s="214"/>
      <c r="R78" s="215"/>
      <c r="S78" s="215"/>
      <c r="T78" s="215"/>
      <c r="U78" s="215"/>
      <c r="V78" s="215"/>
      <c r="W78" s="215"/>
      <c r="X78" s="215"/>
      <c r="Y78" s="215"/>
      <c r="Z78" s="215"/>
    </row>
    <row r="79" spans="1:26" ht="15.75" hidden="1" customHeight="1" x14ac:dyDescent="0.2">
      <c r="A79" s="206"/>
      <c r="B79" s="262" t="s">
        <v>237</v>
      </c>
      <c r="C79" s="265">
        <f t="shared" si="63"/>
        <v>31579.085077853459</v>
      </c>
      <c r="D79" s="323">
        <f>IRR(F79:P79)</f>
        <v>0.40422981398908031</v>
      </c>
      <c r="E79" s="324">
        <f>C78/C77</f>
        <v>4.1579085077853462</v>
      </c>
      <c r="F79" s="265">
        <f t="shared" ref="F79:P79" si="66">F78-F77</f>
        <v>-10000</v>
      </c>
      <c r="G79" s="265">
        <f t="shared" si="66"/>
        <v>4212.0042120042117</v>
      </c>
      <c r="H79" s="265">
        <f t="shared" si="66"/>
        <v>197.16782871182838</v>
      </c>
      <c r="I79" s="265">
        <f t="shared" si="66"/>
        <v>8088.7380229724677</v>
      </c>
      <c r="J79" s="265">
        <f t="shared" si="66"/>
        <v>983.49241982808246</v>
      </c>
      <c r="K79" s="265">
        <f t="shared" si="66"/>
        <v>1168.3544949362181</v>
      </c>
      <c r="L79" s="265">
        <f t="shared" si="66"/>
        <v>26929.328099400653</v>
      </c>
      <c r="M79" s="265">
        <f t="shared" si="66"/>
        <v>0</v>
      </c>
      <c r="N79" s="265">
        <f t="shared" si="66"/>
        <v>0</v>
      </c>
      <c r="O79" s="265">
        <f t="shared" si="66"/>
        <v>0</v>
      </c>
      <c r="P79" s="295">
        <f t="shared" si="66"/>
        <v>0</v>
      </c>
      <c r="Q79" s="214"/>
      <c r="R79" s="215"/>
      <c r="S79" s="215"/>
      <c r="T79" s="215"/>
      <c r="U79" s="215"/>
      <c r="V79" s="215"/>
      <c r="W79" s="215"/>
      <c r="X79" s="215"/>
      <c r="Y79" s="215"/>
      <c r="Z79" s="215"/>
    </row>
    <row r="80" spans="1:26" ht="15.75" hidden="1" customHeight="1" x14ac:dyDescent="0.2">
      <c r="A80" s="206"/>
      <c r="B80" s="262"/>
      <c r="C80" s="265"/>
      <c r="D80" s="325"/>
      <c r="E80" s="326"/>
      <c r="F80" s="265"/>
      <c r="G80" s="265"/>
      <c r="H80" s="265"/>
      <c r="I80" s="265"/>
      <c r="J80" s="265"/>
      <c r="K80" s="265"/>
      <c r="L80" s="265"/>
      <c r="M80" s="265"/>
      <c r="N80" s="265"/>
      <c r="O80" s="265"/>
      <c r="P80" s="295"/>
      <c r="Q80" s="214"/>
      <c r="R80" s="215"/>
      <c r="S80" s="215"/>
      <c r="T80" s="215"/>
      <c r="U80" s="215"/>
      <c r="V80" s="215"/>
      <c r="W80" s="215"/>
      <c r="X80" s="215"/>
      <c r="Y80" s="215"/>
      <c r="Z80" s="215"/>
    </row>
    <row r="81" spans="1:26" ht="15.75" hidden="1" customHeight="1" x14ac:dyDescent="0.2">
      <c r="A81" s="206"/>
      <c r="B81" s="315" t="s">
        <v>244</v>
      </c>
      <c r="C81" s="316" t="s">
        <v>241</v>
      </c>
      <c r="D81" s="215"/>
      <c r="E81" s="215"/>
      <c r="F81" s="215"/>
      <c r="G81" s="215"/>
      <c r="H81" s="215"/>
      <c r="I81" s="215"/>
      <c r="J81" s="215"/>
      <c r="K81" s="215"/>
      <c r="L81" s="215"/>
      <c r="M81" s="215"/>
      <c r="N81" s="215"/>
      <c r="O81" s="215"/>
      <c r="P81" s="266"/>
      <c r="Q81" s="214"/>
      <c r="R81" s="215"/>
      <c r="S81" s="215"/>
      <c r="T81" s="215"/>
      <c r="U81" s="215"/>
      <c r="V81" s="215"/>
      <c r="W81" s="215"/>
      <c r="X81" s="215"/>
      <c r="Y81" s="215"/>
      <c r="Z81" s="215"/>
    </row>
    <row r="82" spans="1:26" ht="15.75" hidden="1" customHeight="1" x14ac:dyDescent="0.2">
      <c r="A82" s="206"/>
      <c r="B82" s="262"/>
      <c r="C82" s="327">
        <f>D82/C72</f>
        <v>9.7500097500097492E-3</v>
      </c>
      <c r="D82" s="318">
        <v>10000</v>
      </c>
      <c r="E82" s="215"/>
      <c r="F82" s="215"/>
      <c r="G82" s="215"/>
      <c r="H82" s="215"/>
      <c r="I82" s="215"/>
      <c r="J82" s="215"/>
      <c r="K82" s="215"/>
      <c r="L82" s="215"/>
      <c r="M82" s="215"/>
      <c r="N82" s="215"/>
      <c r="O82" s="215"/>
      <c r="P82" s="266"/>
      <c r="Q82" s="214"/>
      <c r="R82" s="215"/>
      <c r="S82" s="215"/>
      <c r="T82" s="215"/>
      <c r="U82" s="215"/>
      <c r="V82" s="215"/>
      <c r="W82" s="215"/>
      <c r="X82" s="215"/>
      <c r="Y82" s="215"/>
      <c r="Z82" s="215"/>
    </row>
    <row r="83" spans="1:26" ht="15.75" hidden="1" customHeight="1" x14ac:dyDescent="0.2">
      <c r="A83" s="206"/>
      <c r="B83" s="262" t="s">
        <v>242</v>
      </c>
      <c r="C83" s="265">
        <f t="shared" ref="C83:C85" si="67">SUM(F83:P83)</f>
        <v>10000</v>
      </c>
      <c r="D83" s="215"/>
      <c r="E83" s="215"/>
      <c r="F83" s="265">
        <f t="shared" ref="F83:P83" si="68">F72*$C82</f>
        <v>10000</v>
      </c>
      <c r="G83" s="265">
        <f t="shared" si="68"/>
        <v>0</v>
      </c>
      <c r="H83" s="265">
        <f t="shared" si="68"/>
        <v>0</v>
      </c>
      <c r="I83" s="265">
        <f t="shared" si="68"/>
        <v>0</v>
      </c>
      <c r="J83" s="265">
        <f t="shared" si="68"/>
        <v>0</v>
      </c>
      <c r="K83" s="265">
        <f t="shared" si="68"/>
        <v>0</v>
      </c>
      <c r="L83" s="265">
        <f t="shared" si="68"/>
        <v>0</v>
      </c>
      <c r="M83" s="265">
        <f t="shared" si="68"/>
        <v>0</v>
      </c>
      <c r="N83" s="265">
        <f t="shared" si="68"/>
        <v>0</v>
      </c>
      <c r="O83" s="265">
        <f t="shared" si="68"/>
        <v>0</v>
      </c>
      <c r="P83" s="295">
        <f t="shared" si="68"/>
        <v>0</v>
      </c>
      <c r="Q83" s="214"/>
      <c r="R83" s="215"/>
      <c r="S83" s="215"/>
      <c r="T83" s="215"/>
      <c r="U83" s="215"/>
      <c r="V83" s="215"/>
      <c r="W83" s="215"/>
      <c r="X83" s="215"/>
      <c r="Y83" s="215"/>
      <c r="Z83" s="215"/>
    </row>
    <row r="84" spans="1:26" ht="15.75" hidden="1" customHeight="1" x14ac:dyDescent="0.2">
      <c r="A84" s="206"/>
      <c r="B84" s="319" t="s">
        <v>243</v>
      </c>
      <c r="C84" s="320">
        <f t="shared" si="67"/>
        <v>19455.852170110142</v>
      </c>
      <c r="D84" s="321" t="s">
        <v>124</v>
      </c>
      <c r="E84" s="321" t="s">
        <v>236</v>
      </c>
      <c r="F84" s="320">
        <f t="shared" ref="F84:P84" si="69">F71*$C82</f>
        <v>0</v>
      </c>
      <c r="G84" s="320">
        <f t="shared" si="69"/>
        <v>325.78042978042959</v>
      </c>
      <c r="H84" s="320">
        <f t="shared" si="69"/>
        <v>961.84971631371616</v>
      </c>
      <c r="I84" s="320">
        <f t="shared" si="69"/>
        <v>4189.7368681110038</v>
      </c>
      <c r="J84" s="320">
        <f t="shared" si="69"/>
        <v>816.15025276756649</v>
      </c>
      <c r="K84" s="320">
        <f t="shared" si="69"/>
        <v>872.08471050909998</v>
      </c>
      <c r="L84" s="320">
        <f t="shared" si="69"/>
        <v>12290.250192628328</v>
      </c>
      <c r="M84" s="320">
        <f t="shared" si="69"/>
        <v>0</v>
      </c>
      <c r="N84" s="320">
        <f t="shared" si="69"/>
        <v>0</v>
      </c>
      <c r="O84" s="320">
        <f t="shared" si="69"/>
        <v>0</v>
      </c>
      <c r="P84" s="322">
        <f t="shared" si="69"/>
        <v>0</v>
      </c>
      <c r="Q84" s="214"/>
      <c r="R84" s="215"/>
      <c r="S84" s="215"/>
      <c r="T84" s="215"/>
      <c r="U84" s="215"/>
      <c r="V84" s="215"/>
      <c r="W84" s="215"/>
      <c r="X84" s="215"/>
      <c r="Y84" s="215"/>
      <c r="Z84" s="215"/>
    </row>
    <row r="85" spans="1:26" ht="15.75" hidden="1" customHeight="1" x14ac:dyDescent="0.2">
      <c r="A85" s="206"/>
      <c r="B85" s="328" t="s">
        <v>237</v>
      </c>
      <c r="C85" s="329">
        <f t="shared" si="67"/>
        <v>9455.8521701101417</v>
      </c>
      <c r="D85" s="330">
        <f>IRR(F85:P85)</f>
        <v>0.14947566970491577</v>
      </c>
      <c r="E85" s="331">
        <f>C84/C83</f>
        <v>1.9455852170110142</v>
      </c>
      <c r="F85" s="329">
        <f t="shared" ref="F85:P85" si="70">F84-F83</f>
        <v>-10000</v>
      </c>
      <c r="G85" s="329">
        <f t="shared" si="70"/>
        <v>325.78042978042959</v>
      </c>
      <c r="H85" s="329">
        <f t="shared" si="70"/>
        <v>961.84971631371616</v>
      </c>
      <c r="I85" s="329">
        <f t="shared" si="70"/>
        <v>4189.7368681110038</v>
      </c>
      <c r="J85" s="329">
        <f t="shared" si="70"/>
        <v>816.15025276756649</v>
      </c>
      <c r="K85" s="329">
        <f t="shared" si="70"/>
        <v>872.08471050909998</v>
      </c>
      <c r="L85" s="329">
        <f t="shared" si="70"/>
        <v>12290.250192628328</v>
      </c>
      <c r="M85" s="329">
        <f t="shared" si="70"/>
        <v>0</v>
      </c>
      <c r="N85" s="329">
        <f t="shared" si="70"/>
        <v>0</v>
      </c>
      <c r="O85" s="329">
        <f t="shared" si="70"/>
        <v>0</v>
      </c>
      <c r="P85" s="332">
        <f t="shared" si="70"/>
        <v>0</v>
      </c>
      <c r="Q85" s="214"/>
      <c r="R85" s="215"/>
      <c r="S85" s="215"/>
      <c r="T85" s="215"/>
      <c r="U85" s="215"/>
      <c r="V85" s="215"/>
      <c r="W85" s="215"/>
      <c r="X85" s="215"/>
      <c r="Y85" s="215"/>
      <c r="Z85" s="215"/>
    </row>
    <row r="86" spans="1:26" ht="11.25" customHeight="1" x14ac:dyDescent="0.2">
      <c r="A86" s="333"/>
      <c r="B86" s="334"/>
      <c r="C86" s="334"/>
      <c r="D86" s="334"/>
      <c r="E86" s="334"/>
      <c r="F86" s="334"/>
      <c r="G86" s="334"/>
      <c r="H86" s="334"/>
      <c r="I86" s="334"/>
      <c r="J86" s="334"/>
      <c r="K86" s="334"/>
      <c r="L86" s="334"/>
      <c r="M86" s="334"/>
      <c r="N86" s="334"/>
      <c r="O86" s="334"/>
      <c r="P86" s="334"/>
      <c r="Q86" s="335"/>
      <c r="R86" s="205"/>
      <c r="S86" s="205"/>
      <c r="T86" s="205"/>
      <c r="U86" s="205"/>
      <c r="V86" s="205"/>
      <c r="W86" s="205"/>
      <c r="X86" s="205"/>
      <c r="Y86" s="205"/>
      <c r="Z86" s="205"/>
    </row>
    <row r="87" spans="1:26" ht="15.75" customHeight="1" x14ac:dyDescent="0.2">
      <c r="A87" s="205"/>
      <c r="B87" s="336"/>
      <c r="C87" s="215"/>
      <c r="D87" s="215"/>
      <c r="E87" s="215"/>
      <c r="F87" s="337"/>
      <c r="G87" s="215"/>
      <c r="H87" s="215"/>
      <c r="I87" s="215"/>
      <c r="J87" s="215"/>
      <c r="K87" s="215"/>
      <c r="L87" s="215"/>
      <c r="M87" s="215"/>
      <c r="N87" s="215"/>
      <c r="O87" s="215"/>
      <c r="P87" s="215"/>
      <c r="Q87" s="205"/>
      <c r="R87" s="215"/>
      <c r="S87" s="215"/>
      <c r="T87" s="215"/>
      <c r="U87" s="215"/>
      <c r="V87" s="215"/>
      <c r="W87" s="215"/>
      <c r="X87" s="215"/>
      <c r="Y87" s="215"/>
      <c r="Z87" s="215"/>
    </row>
    <row r="88" spans="1:26" ht="15.75" customHeight="1" x14ac:dyDescent="0.2">
      <c r="A88" s="338"/>
      <c r="B88" s="339" t="s">
        <v>245</v>
      </c>
      <c r="C88" s="340"/>
      <c r="D88" s="340"/>
      <c r="E88" s="340"/>
      <c r="F88" s="341"/>
      <c r="G88" s="341"/>
      <c r="H88" s="341"/>
      <c r="I88" s="341"/>
      <c r="J88" s="341"/>
      <c r="K88" s="341"/>
      <c r="L88" s="341"/>
      <c r="M88" s="342"/>
      <c r="N88" s="342"/>
      <c r="O88" s="342"/>
      <c r="P88" s="342"/>
      <c r="Q88" s="343"/>
      <c r="R88" s="215"/>
      <c r="S88" s="215"/>
      <c r="T88" s="215"/>
      <c r="U88" s="215"/>
      <c r="V88" s="215"/>
      <c r="W88" s="215"/>
      <c r="X88" s="215"/>
      <c r="Y88" s="215"/>
      <c r="Z88" s="215"/>
    </row>
    <row r="89" spans="1:26" ht="15.75" customHeight="1" x14ac:dyDescent="0.2">
      <c r="A89" s="344"/>
      <c r="B89" s="345"/>
      <c r="C89" s="346"/>
      <c r="D89" s="346"/>
      <c r="E89" s="346"/>
      <c r="F89" s="346"/>
      <c r="G89" s="346"/>
      <c r="H89" s="346"/>
      <c r="I89" s="346"/>
      <c r="J89" s="346"/>
      <c r="K89" s="346"/>
      <c r="L89" s="346"/>
      <c r="M89" s="346"/>
      <c r="N89" s="346"/>
      <c r="O89" s="346"/>
      <c r="P89" s="346"/>
      <c r="Q89" s="347"/>
      <c r="R89" s="215"/>
      <c r="S89" s="215"/>
      <c r="T89" s="215"/>
      <c r="U89" s="215"/>
      <c r="V89" s="215"/>
      <c r="W89" s="215"/>
      <c r="X89" s="215"/>
      <c r="Y89" s="215"/>
      <c r="Z89" s="215"/>
    </row>
    <row r="90" spans="1:26" ht="15.75" customHeight="1" x14ac:dyDescent="0.2">
      <c r="A90" s="348"/>
      <c r="B90" s="349" t="s">
        <v>246</v>
      </c>
      <c r="C90" s="205" t="s">
        <v>247</v>
      </c>
      <c r="D90" s="205"/>
      <c r="E90" s="205"/>
      <c r="F90" s="350">
        <v>-75000</v>
      </c>
      <c r="G90" s="351">
        <f t="shared" ref="G90:L90" si="71">$F$91*G73</f>
        <v>2443.3532233532223</v>
      </c>
      <c r="H90" s="351">
        <f t="shared" si="71"/>
        <v>7213.8728723528729</v>
      </c>
      <c r="I90" s="351">
        <f t="shared" si="71"/>
        <v>31423.026510832533</v>
      </c>
      <c r="J90" s="351">
        <f t="shared" si="71"/>
        <v>6121.126895756749</v>
      </c>
      <c r="K90" s="351">
        <f t="shared" si="71"/>
        <v>6540.6353288182509</v>
      </c>
      <c r="L90" s="351">
        <f t="shared" si="71"/>
        <v>92176.87644471247</v>
      </c>
      <c r="M90" s="205"/>
      <c r="N90" s="205"/>
      <c r="O90" s="205"/>
      <c r="P90" s="205"/>
      <c r="Q90" s="352"/>
      <c r="R90" s="215"/>
      <c r="S90" s="215"/>
      <c r="T90" s="215"/>
      <c r="U90" s="215"/>
      <c r="V90" s="215"/>
      <c r="W90" s="215"/>
      <c r="X90" s="215"/>
      <c r="Y90" s="215"/>
      <c r="Z90" s="215"/>
    </row>
    <row r="91" spans="1:26" ht="15.75" customHeight="1" x14ac:dyDescent="0.2">
      <c r="A91" s="348"/>
      <c r="B91" s="353"/>
      <c r="C91" s="205" t="s">
        <v>124</v>
      </c>
      <c r="D91" s="354">
        <f>D73</f>
        <v>0.14947566970491577</v>
      </c>
      <c r="E91" s="205"/>
      <c r="F91" s="355">
        <f>F90/F73</f>
        <v>7.3125073125073131E-2</v>
      </c>
      <c r="G91" s="205"/>
      <c r="H91" s="205"/>
      <c r="I91" s="205"/>
      <c r="J91" s="205"/>
      <c r="K91" s="205"/>
      <c r="L91" s="205"/>
      <c r="M91" s="205"/>
      <c r="N91" s="205"/>
      <c r="O91" s="205"/>
      <c r="P91" s="205"/>
      <c r="Q91" s="352"/>
      <c r="R91" s="215"/>
      <c r="S91" s="215"/>
      <c r="T91" s="215"/>
      <c r="U91" s="215"/>
      <c r="V91" s="215"/>
      <c r="W91" s="215"/>
      <c r="X91" s="215"/>
      <c r="Y91" s="215"/>
      <c r="Z91" s="215"/>
    </row>
    <row r="92" spans="1:26" ht="15.75" customHeight="1" x14ac:dyDescent="0.2">
      <c r="A92" s="348"/>
      <c r="B92" s="353"/>
      <c r="C92" s="205" t="s">
        <v>248</v>
      </c>
      <c r="D92" s="273">
        <f>AVERAGE(G92:K92)</f>
        <v>0.14331203954963634</v>
      </c>
      <c r="E92" s="205"/>
      <c r="F92" s="205"/>
      <c r="G92" s="273">
        <f t="shared" ref="G92:L92" si="72">G74</f>
        <v>3.2578042978042961E-2</v>
      </c>
      <c r="H92" s="273">
        <f t="shared" si="72"/>
        <v>9.618497163137163E-2</v>
      </c>
      <c r="I92" s="273">
        <f t="shared" si="72"/>
        <v>0.41897368681110042</v>
      </c>
      <c r="J92" s="273">
        <f t="shared" si="72"/>
        <v>8.1615025276756653E-2</v>
      </c>
      <c r="K92" s="273">
        <f t="shared" si="72"/>
        <v>8.7208471050910008E-2</v>
      </c>
      <c r="L92" s="273">
        <f t="shared" si="72"/>
        <v>1.2290250192628329</v>
      </c>
      <c r="M92" s="205"/>
      <c r="N92" s="205"/>
      <c r="O92" s="205"/>
      <c r="P92" s="205"/>
      <c r="Q92" s="352"/>
      <c r="R92" s="215"/>
      <c r="S92" s="215"/>
      <c r="T92" s="215"/>
      <c r="U92" s="215"/>
      <c r="V92" s="215"/>
      <c r="W92" s="215"/>
      <c r="X92" s="215"/>
      <c r="Y92" s="215"/>
      <c r="Z92" s="215"/>
    </row>
    <row r="93" spans="1:26" ht="15.75" customHeight="1" x14ac:dyDescent="0.2">
      <c r="A93" s="348"/>
      <c r="B93" s="353"/>
      <c r="C93" s="205" t="s">
        <v>249</v>
      </c>
      <c r="D93" s="273">
        <f>((SUM(G90:L90)+F90)/6)/-F90</f>
        <v>0.15759753616850242</v>
      </c>
      <c r="E93" s="205"/>
      <c r="F93" s="205"/>
      <c r="G93" s="205"/>
      <c r="H93" s="205"/>
      <c r="I93" s="205"/>
      <c r="J93" s="205"/>
      <c r="K93" s="205"/>
      <c r="L93" s="205"/>
      <c r="M93" s="205"/>
      <c r="N93" s="205"/>
      <c r="O93" s="205"/>
      <c r="P93" s="205"/>
      <c r="Q93" s="352"/>
      <c r="R93" s="215"/>
      <c r="S93" s="215"/>
      <c r="T93" s="215"/>
      <c r="U93" s="215"/>
      <c r="V93" s="215"/>
      <c r="W93" s="215"/>
      <c r="X93" s="215"/>
      <c r="Y93" s="215"/>
      <c r="Z93" s="215"/>
    </row>
    <row r="94" spans="1:26" ht="15.75" customHeight="1" x14ac:dyDescent="0.2">
      <c r="A94" s="348"/>
      <c r="B94" s="353"/>
      <c r="C94" s="205"/>
      <c r="D94" s="205"/>
      <c r="E94" s="205"/>
      <c r="F94" s="205"/>
      <c r="G94" s="205"/>
      <c r="H94" s="205"/>
      <c r="I94" s="205"/>
      <c r="J94" s="205"/>
      <c r="K94" s="205"/>
      <c r="L94" s="205"/>
      <c r="M94" s="205"/>
      <c r="N94" s="205"/>
      <c r="O94" s="205"/>
      <c r="P94" s="205"/>
      <c r="Q94" s="352"/>
      <c r="R94" s="215"/>
      <c r="S94" s="215"/>
      <c r="T94" s="215"/>
      <c r="U94" s="215"/>
      <c r="V94" s="215"/>
      <c r="W94" s="215"/>
      <c r="X94" s="215"/>
      <c r="Y94" s="215"/>
      <c r="Z94" s="215"/>
    </row>
    <row r="95" spans="1:26" ht="15.75" customHeight="1" x14ac:dyDescent="0.2">
      <c r="A95" s="348"/>
      <c r="B95" s="349" t="s">
        <v>250</v>
      </c>
      <c r="C95" s="205" t="s">
        <v>247</v>
      </c>
      <c r="D95" s="205"/>
      <c r="E95" s="205"/>
      <c r="F95" s="350">
        <v>-100000</v>
      </c>
      <c r="G95" s="351">
        <f t="shared" ref="G95:L95" si="73">$F$96*G73</f>
        <v>3257.8042978042963</v>
      </c>
      <c r="H95" s="351">
        <f t="shared" si="73"/>
        <v>9618.4971631371627</v>
      </c>
      <c r="I95" s="351">
        <f t="shared" si="73"/>
        <v>41897.368681110042</v>
      </c>
      <c r="J95" s="351">
        <f t="shared" si="73"/>
        <v>8161.5025276756651</v>
      </c>
      <c r="K95" s="351">
        <f t="shared" si="73"/>
        <v>8720.8471050910011</v>
      </c>
      <c r="L95" s="351">
        <f t="shared" si="73"/>
        <v>122902.50192628329</v>
      </c>
      <c r="M95" s="205"/>
      <c r="N95" s="205"/>
      <c r="O95" s="205"/>
      <c r="P95" s="205"/>
      <c r="Q95" s="352"/>
      <c r="R95" s="215"/>
      <c r="S95" s="215"/>
      <c r="T95" s="215"/>
      <c r="U95" s="215"/>
      <c r="V95" s="215"/>
      <c r="W95" s="215"/>
      <c r="X95" s="215"/>
      <c r="Y95" s="215"/>
      <c r="Z95" s="215"/>
    </row>
    <row r="96" spans="1:26" ht="15.75" customHeight="1" x14ac:dyDescent="0.2">
      <c r="A96" s="348"/>
      <c r="B96" s="353"/>
      <c r="C96" s="205" t="s">
        <v>124</v>
      </c>
      <c r="D96" s="354">
        <f>D73</f>
        <v>0.14947566970491577</v>
      </c>
      <c r="E96" s="205"/>
      <c r="F96" s="355">
        <f>F95/F73</f>
        <v>9.7500097500097499E-2</v>
      </c>
      <c r="G96" s="205"/>
      <c r="H96" s="205"/>
      <c r="I96" s="205"/>
      <c r="J96" s="205"/>
      <c r="K96" s="205"/>
      <c r="L96" s="205"/>
      <c r="M96" s="205"/>
      <c r="N96" s="205"/>
      <c r="O96" s="205"/>
      <c r="P96" s="205"/>
      <c r="Q96" s="352"/>
      <c r="R96" s="215"/>
      <c r="S96" s="215"/>
      <c r="T96" s="215"/>
      <c r="U96" s="215"/>
      <c r="V96" s="215"/>
      <c r="W96" s="215"/>
      <c r="X96" s="215"/>
      <c r="Y96" s="215"/>
      <c r="Z96" s="215"/>
    </row>
    <row r="97" spans="1:26" ht="15.75" customHeight="1" x14ac:dyDescent="0.2">
      <c r="A97" s="348"/>
      <c r="B97" s="353"/>
      <c r="C97" s="205" t="s">
        <v>248</v>
      </c>
      <c r="D97" s="273">
        <f>AVERAGE(G97:K97)</f>
        <v>0.14331203954963634</v>
      </c>
      <c r="E97" s="205"/>
      <c r="F97" s="205"/>
      <c r="G97" s="273">
        <f t="shared" ref="G97:L97" si="74">G74</f>
        <v>3.2578042978042961E-2</v>
      </c>
      <c r="H97" s="273">
        <f t="shared" si="74"/>
        <v>9.618497163137163E-2</v>
      </c>
      <c r="I97" s="273">
        <f t="shared" si="74"/>
        <v>0.41897368681110042</v>
      </c>
      <c r="J97" s="273">
        <f t="shared" si="74"/>
        <v>8.1615025276756653E-2</v>
      </c>
      <c r="K97" s="273">
        <f t="shared" si="74"/>
        <v>8.7208471050910008E-2</v>
      </c>
      <c r="L97" s="273">
        <f t="shared" si="74"/>
        <v>1.2290250192628329</v>
      </c>
      <c r="M97" s="205"/>
      <c r="N97" s="205"/>
      <c r="O97" s="205"/>
      <c r="P97" s="205"/>
      <c r="Q97" s="352"/>
      <c r="R97" s="215"/>
      <c r="S97" s="215"/>
      <c r="T97" s="215"/>
      <c r="U97" s="215"/>
      <c r="V97" s="215"/>
      <c r="W97" s="215"/>
      <c r="X97" s="215"/>
      <c r="Y97" s="215"/>
      <c r="Z97" s="215"/>
    </row>
    <row r="98" spans="1:26" ht="15.75" customHeight="1" x14ac:dyDescent="0.2">
      <c r="A98" s="348"/>
      <c r="B98" s="353"/>
      <c r="C98" s="205" t="s">
        <v>249</v>
      </c>
      <c r="D98" s="273">
        <f>((SUM(G95:L95)+F95)/6)/-F95</f>
        <v>0.15759753616850242</v>
      </c>
      <c r="E98" s="205"/>
      <c r="F98" s="205"/>
      <c r="G98" s="205"/>
      <c r="H98" s="205"/>
      <c r="I98" s="205"/>
      <c r="J98" s="205"/>
      <c r="K98" s="205"/>
      <c r="L98" s="205"/>
      <c r="M98" s="205"/>
      <c r="N98" s="205"/>
      <c r="O98" s="205"/>
      <c r="P98" s="205"/>
      <c r="Q98" s="352"/>
      <c r="R98" s="215"/>
      <c r="S98" s="215"/>
      <c r="T98" s="215"/>
      <c r="U98" s="215"/>
      <c r="V98" s="215"/>
      <c r="W98" s="215"/>
      <c r="X98" s="215"/>
      <c r="Y98" s="215"/>
      <c r="Z98" s="215"/>
    </row>
    <row r="99" spans="1:26" ht="15.75" customHeight="1" x14ac:dyDescent="0.2">
      <c r="A99" s="348"/>
      <c r="B99" s="353"/>
      <c r="C99" s="205"/>
      <c r="D99" s="205"/>
      <c r="E99" s="205"/>
      <c r="F99" s="205"/>
      <c r="G99" s="205"/>
      <c r="H99" s="205"/>
      <c r="I99" s="205"/>
      <c r="J99" s="205"/>
      <c r="K99" s="205"/>
      <c r="L99" s="205"/>
      <c r="M99" s="205"/>
      <c r="N99" s="205"/>
      <c r="O99" s="205"/>
      <c r="P99" s="205"/>
      <c r="Q99" s="352"/>
      <c r="R99" s="215"/>
      <c r="S99" s="215"/>
      <c r="T99" s="215"/>
      <c r="U99" s="215"/>
      <c r="V99" s="215"/>
      <c r="W99" s="215"/>
      <c r="X99" s="215"/>
      <c r="Y99" s="215"/>
      <c r="Z99" s="215"/>
    </row>
    <row r="100" spans="1:26" ht="15.75" customHeight="1" x14ac:dyDescent="0.2">
      <c r="A100" s="356"/>
      <c r="B100" s="357"/>
      <c r="C100" s="358"/>
      <c r="D100" s="358"/>
      <c r="E100" s="358"/>
      <c r="F100" s="358"/>
      <c r="G100" s="358"/>
      <c r="H100" s="358"/>
      <c r="I100" s="358"/>
      <c r="J100" s="358"/>
      <c r="K100" s="358"/>
      <c r="L100" s="358"/>
      <c r="M100" s="358"/>
      <c r="N100" s="358"/>
      <c r="O100" s="358"/>
      <c r="P100" s="358"/>
      <c r="Q100" s="359"/>
      <c r="R100" s="215"/>
      <c r="S100" s="215"/>
      <c r="T100" s="215"/>
      <c r="U100" s="215"/>
      <c r="V100" s="215"/>
      <c r="W100" s="215"/>
      <c r="X100" s="215"/>
      <c r="Y100" s="215"/>
      <c r="Z100" s="215"/>
    </row>
    <row r="101" spans="1:26" ht="15.75" customHeight="1" x14ac:dyDescent="0.2">
      <c r="A101" s="205"/>
      <c r="B101" s="336"/>
      <c r="C101" s="215"/>
      <c r="D101" s="215"/>
      <c r="E101" s="215"/>
      <c r="F101" s="215"/>
      <c r="G101" s="215"/>
      <c r="H101" s="215"/>
      <c r="I101" s="215"/>
      <c r="J101" s="215"/>
      <c r="K101" s="215"/>
      <c r="L101" s="215"/>
      <c r="M101" s="215"/>
      <c r="N101" s="215"/>
      <c r="O101" s="215"/>
      <c r="P101" s="215"/>
      <c r="Q101" s="205"/>
      <c r="R101" s="215"/>
      <c r="S101" s="215"/>
      <c r="T101" s="215"/>
      <c r="U101" s="215"/>
      <c r="V101" s="215"/>
      <c r="W101" s="215"/>
      <c r="X101" s="215"/>
      <c r="Y101" s="215"/>
      <c r="Z101" s="215"/>
    </row>
    <row r="102" spans="1:26" ht="15.75" customHeight="1" x14ac:dyDescent="0.2">
      <c r="A102" s="205"/>
      <c r="B102" s="336"/>
      <c r="C102" s="215"/>
      <c r="D102" s="215"/>
      <c r="E102" s="215"/>
      <c r="F102" s="215"/>
      <c r="G102" s="215"/>
      <c r="H102" s="215"/>
      <c r="I102" s="215"/>
      <c r="J102" s="215"/>
      <c r="K102" s="215"/>
      <c r="L102" s="215"/>
      <c r="M102" s="215"/>
      <c r="N102" s="215"/>
      <c r="O102" s="215"/>
      <c r="P102" s="215"/>
      <c r="Q102" s="205"/>
      <c r="R102" s="215"/>
      <c r="S102" s="215"/>
      <c r="T102" s="215"/>
      <c r="U102" s="215"/>
      <c r="V102" s="215"/>
      <c r="W102" s="215"/>
      <c r="X102" s="215"/>
      <c r="Y102" s="215"/>
      <c r="Z102" s="215"/>
    </row>
    <row r="103" spans="1:26" ht="15.75" customHeight="1" x14ac:dyDescent="0.2">
      <c r="A103" s="205"/>
      <c r="B103" s="336"/>
      <c r="C103" s="215"/>
      <c r="D103" s="215"/>
      <c r="E103" s="215"/>
      <c r="F103" s="215"/>
      <c r="G103" s="215"/>
      <c r="H103" s="215"/>
      <c r="I103" s="215"/>
      <c r="J103" s="215"/>
      <c r="K103" s="215"/>
      <c r="L103" s="215"/>
      <c r="M103" s="215"/>
      <c r="N103" s="215"/>
      <c r="O103" s="215"/>
      <c r="P103" s="215"/>
      <c r="Q103" s="205"/>
      <c r="R103" s="215"/>
      <c r="S103" s="215"/>
      <c r="T103" s="215"/>
      <c r="U103" s="215"/>
      <c r="V103" s="215"/>
      <c r="W103" s="215"/>
      <c r="X103" s="215"/>
      <c r="Y103" s="215"/>
      <c r="Z103" s="215"/>
    </row>
    <row r="104" spans="1:26" ht="15.75" customHeight="1" x14ac:dyDescent="0.2">
      <c r="A104" s="205"/>
      <c r="B104" s="336"/>
      <c r="C104" s="215"/>
      <c r="D104" s="215"/>
      <c r="E104" s="215"/>
      <c r="F104" s="215"/>
      <c r="G104" s="215"/>
      <c r="H104" s="215"/>
      <c r="I104" s="215"/>
      <c r="J104" s="215"/>
      <c r="K104" s="215"/>
      <c r="L104" s="215"/>
      <c r="M104" s="215"/>
      <c r="N104" s="215"/>
      <c r="O104" s="215"/>
      <c r="P104" s="215"/>
      <c r="Q104" s="205"/>
      <c r="R104" s="215"/>
      <c r="S104" s="215"/>
      <c r="T104" s="215"/>
      <c r="U104" s="215"/>
      <c r="V104" s="215"/>
      <c r="W104" s="215"/>
      <c r="X104" s="215"/>
      <c r="Y104" s="215"/>
      <c r="Z104" s="215"/>
    </row>
    <row r="105" spans="1:26" ht="15.75" customHeight="1" x14ac:dyDescent="0.2">
      <c r="A105" s="205"/>
      <c r="B105" s="336"/>
      <c r="C105" s="215"/>
      <c r="D105" s="215"/>
      <c r="E105" s="215"/>
      <c r="F105" s="215"/>
      <c r="G105" s="215"/>
      <c r="H105" s="215"/>
      <c r="I105" s="215"/>
      <c r="J105" s="215"/>
      <c r="K105" s="215"/>
      <c r="L105" s="215"/>
      <c r="M105" s="215"/>
      <c r="N105" s="215"/>
      <c r="O105" s="215"/>
      <c r="P105" s="215"/>
      <c r="Q105" s="205"/>
      <c r="R105" s="215"/>
      <c r="S105" s="215"/>
      <c r="T105" s="215"/>
      <c r="U105" s="215"/>
      <c r="V105" s="215"/>
      <c r="W105" s="215"/>
      <c r="X105" s="215"/>
      <c r="Y105" s="215"/>
      <c r="Z105" s="215"/>
    </row>
    <row r="106" spans="1:26" ht="15.75" customHeight="1" x14ac:dyDescent="0.2">
      <c r="A106" s="205"/>
      <c r="B106" s="336"/>
      <c r="C106" s="215"/>
      <c r="D106" s="215"/>
      <c r="E106" s="215"/>
      <c r="F106" s="215"/>
      <c r="G106" s="215"/>
      <c r="H106" s="215"/>
      <c r="I106" s="215"/>
      <c r="J106" s="215"/>
      <c r="K106" s="215"/>
      <c r="L106" s="215"/>
      <c r="M106" s="215"/>
      <c r="N106" s="215"/>
      <c r="O106" s="215"/>
      <c r="P106" s="215"/>
      <c r="Q106" s="205"/>
      <c r="R106" s="215"/>
      <c r="S106" s="215"/>
      <c r="T106" s="215"/>
      <c r="U106" s="215"/>
      <c r="V106" s="215"/>
      <c r="W106" s="215"/>
      <c r="X106" s="215"/>
      <c r="Y106" s="215"/>
      <c r="Z106" s="215"/>
    </row>
    <row r="107" spans="1:26" ht="15.75" customHeight="1" x14ac:dyDescent="0.2">
      <c r="A107" s="205"/>
      <c r="B107" s="336"/>
      <c r="C107" s="215"/>
      <c r="D107" s="215"/>
      <c r="E107" s="215"/>
      <c r="F107" s="215"/>
      <c r="G107" s="215"/>
      <c r="H107" s="215"/>
      <c r="I107" s="215"/>
      <c r="J107" s="215"/>
      <c r="K107" s="215"/>
      <c r="L107" s="215"/>
      <c r="M107" s="215"/>
      <c r="N107" s="215"/>
      <c r="O107" s="215"/>
      <c r="P107" s="215"/>
      <c r="Q107" s="205"/>
      <c r="R107" s="215"/>
      <c r="S107" s="215"/>
      <c r="T107" s="215"/>
      <c r="U107" s="215"/>
      <c r="V107" s="215"/>
      <c r="W107" s="215"/>
      <c r="X107" s="215"/>
      <c r="Y107" s="215"/>
      <c r="Z107" s="215"/>
    </row>
    <row r="108" spans="1:26" ht="15.75" customHeight="1" x14ac:dyDescent="0.2">
      <c r="A108" s="205"/>
      <c r="B108" s="336"/>
      <c r="C108" s="215"/>
      <c r="D108" s="215"/>
      <c r="E108" s="215"/>
      <c r="F108" s="215"/>
      <c r="G108" s="215"/>
      <c r="H108" s="215"/>
      <c r="I108" s="215"/>
      <c r="J108" s="215"/>
      <c r="K108" s="215"/>
      <c r="L108" s="215"/>
      <c r="M108" s="215"/>
      <c r="N108" s="215"/>
      <c r="O108" s="215"/>
      <c r="P108" s="215"/>
      <c r="Q108" s="205"/>
      <c r="R108" s="215"/>
      <c r="S108" s="215"/>
      <c r="T108" s="215"/>
      <c r="U108" s="215"/>
      <c r="V108" s="215"/>
      <c r="W108" s="215"/>
      <c r="X108" s="215"/>
      <c r="Y108" s="215"/>
      <c r="Z108" s="215"/>
    </row>
    <row r="109" spans="1:26" ht="15.75" customHeight="1" x14ac:dyDescent="0.2">
      <c r="A109" s="205"/>
      <c r="B109" s="336"/>
      <c r="C109" s="215"/>
      <c r="D109" s="215"/>
      <c r="E109" s="215"/>
      <c r="F109" s="215"/>
      <c r="G109" s="215"/>
      <c r="H109" s="215"/>
      <c r="I109" s="215"/>
      <c r="J109" s="215"/>
      <c r="K109" s="215"/>
      <c r="L109" s="215"/>
      <c r="M109" s="215"/>
      <c r="N109" s="215"/>
      <c r="O109" s="215"/>
      <c r="P109" s="215"/>
      <c r="Q109" s="205"/>
      <c r="R109" s="215"/>
      <c r="S109" s="215"/>
      <c r="T109" s="215"/>
      <c r="U109" s="215"/>
      <c r="V109" s="215"/>
      <c r="W109" s="215"/>
      <c r="X109" s="215"/>
      <c r="Y109" s="215"/>
      <c r="Z109" s="215"/>
    </row>
    <row r="110" spans="1:26" ht="15.75" customHeight="1" x14ac:dyDescent="0.2">
      <c r="A110" s="205"/>
      <c r="B110" s="336"/>
      <c r="C110" s="215"/>
      <c r="D110" s="215"/>
      <c r="E110" s="215"/>
      <c r="F110" s="215"/>
      <c r="G110" s="215"/>
      <c r="H110" s="215"/>
      <c r="I110" s="215"/>
      <c r="J110" s="215"/>
      <c r="K110" s="215"/>
      <c r="L110" s="215"/>
      <c r="M110" s="215"/>
      <c r="N110" s="215"/>
      <c r="O110" s="215"/>
      <c r="P110" s="215"/>
      <c r="Q110" s="205"/>
      <c r="R110" s="215"/>
      <c r="S110" s="215"/>
      <c r="T110" s="215"/>
      <c r="U110" s="215"/>
      <c r="V110" s="215"/>
      <c r="W110" s="215"/>
      <c r="X110" s="215"/>
      <c r="Y110" s="215"/>
      <c r="Z110" s="215"/>
    </row>
    <row r="111" spans="1:26" ht="15.75" customHeight="1" x14ac:dyDescent="0.2">
      <c r="A111" s="205"/>
      <c r="B111" s="336"/>
      <c r="C111" s="215"/>
      <c r="D111" s="215"/>
      <c r="E111" s="215"/>
      <c r="F111" s="215"/>
      <c r="G111" s="215"/>
      <c r="H111" s="215"/>
      <c r="I111" s="215"/>
      <c r="J111" s="215"/>
      <c r="K111" s="215"/>
      <c r="L111" s="215"/>
      <c r="M111" s="215"/>
      <c r="N111" s="215"/>
      <c r="O111" s="215"/>
      <c r="P111" s="215"/>
      <c r="Q111" s="205"/>
      <c r="R111" s="215"/>
      <c r="S111" s="215"/>
      <c r="T111" s="215"/>
      <c r="U111" s="215"/>
      <c r="V111" s="215"/>
      <c r="W111" s="215"/>
      <c r="X111" s="215"/>
      <c r="Y111" s="215"/>
      <c r="Z111" s="215"/>
    </row>
    <row r="112" spans="1:26" ht="15.75" customHeight="1" x14ac:dyDescent="0.2">
      <c r="A112" s="205"/>
      <c r="B112" s="336"/>
      <c r="C112" s="215"/>
      <c r="D112" s="215"/>
      <c r="E112" s="215"/>
      <c r="F112" s="215"/>
      <c r="G112" s="215"/>
      <c r="H112" s="215"/>
      <c r="I112" s="215"/>
      <c r="J112" s="215"/>
      <c r="K112" s="215"/>
      <c r="L112" s="215"/>
      <c r="M112" s="215"/>
      <c r="N112" s="215"/>
      <c r="O112" s="215"/>
      <c r="P112" s="215"/>
      <c r="Q112" s="205"/>
      <c r="R112" s="215"/>
      <c r="S112" s="215"/>
      <c r="T112" s="215"/>
      <c r="U112" s="215"/>
      <c r="V112" s="215"/>
      <c r="W112" s="215"/>
      <c r="X112" s="215"/>
      <c r="Y112" s="215"/>
      <c r="Z112" s="215"/>
    </row>
    <row r="113" spans="1:26" ht="15.75" customHeight="1" x14ac:dyDescent="0.2">
      <c r="A113" s="205"/>
      <c r="B113" s="336"/>
      <c r="C113" s="215"/>
      <c r="D113" s="215"/>
      <c r="E113" s="215"/>
      <c r="F113" s="215"/>
      <c r="G113" s="215"/>
      <c r="H113" s="215"/>
      <c r="I113" s="215"/>
      <c r="J113" s="215"/>
      <c r="K113" s="215"/>
      <c r="L113" s="215"/>
      <c r="M113" s="215"/>
      <c r="N113" s="215"/>
      <c r="O113" s="215"/>
      <c r="P113" s="215"/>
      <c r="Q113" s="205"/>
      <c r="R113" s="215"/>
      <c r="S113" s="215"/>
      <c r="T113" s="215"/>
      <c r="U113" s="215"/>
      <c r="V113" s="215"/>
      <c r="W113" s="215"/>
      <c r="X113" s="215"/>
      <c r="Y113" s="215"/>
      <c r="Z113" s="215"/>
    </row>
    <row r="114" spans="1:26" ht="15.75" customHeight="1" x14ac:dyDescent="0.2">
      <c r="A114" s="205"/>
      <c r="B114" s="336"/>
      <c r="C114" s="215"/>
      <c r="D114" s="215"/>
      <c r="E114" s="215"/>
      <c r="F114" s="215"/>
      <c r="G114" s="215"/>
      <c r="H114" s="215"/>
      <c r="I114" s="215"/>
      <c r="J114" s="215"/>
      <c r="K114" s="215"/>
      <c r="L114" s="215"/>
      <c r="M114" s="215"/>
      <c r="N114" s="215"/>
      <c r="O114" s="215"/>
      <c r="P114" s="215"/>
      <c r="Q114" s="205"/>
      <c r="R114" s="215"/>
      <c r="S114" s="215"/>
      <c r="T114" s="215"/>
      <c r="U114" s="215"/>
      <c r="V114" s="215"/>
      <c r="W114" s="215"/>
      <c r="X114" s="215"/>
      <c r="Y114" s="215"/>
      <c r="Z114" s="215"/>
    </row>
    <row r="115" spans="1:26" ht="15.75" customHeight="1" x14ac:dyDescent="0.2">
      <c r="A115" s="205"/>
      <c r="B115" s="336"/>
      <c r="C115" s="215"/>
      <c r="D115" s="215"/>
      <c r="E115" s="215"/>
      <c r="F115" s="215"/>
      <c r="G115" s="215"/>
      <c r="H115" s="215"/>
      <c r="I115" s="215"/>
      <c r="J115" s="215"/>
      <c r="K115" s="215"/>
      <c r="L115" s="215"/>
      <c r="M115" s="215"/>
      <c r="N115" s="215"/>
      <c r="O115" s="215"/>
      <c r="P115" s="215"/>
      <c r="Q115" s="205"/>
      <c r="R115" s="215"/>
      <c r="S115" s="215"/>
      <c r="T115" s="215"/>
      <c r="U115" s="215"/>
      <c r="V115" s="215"/>
      <c r="W115" s="215"/>
      <c r="X115" s="215"/>
      <c r="Y115" s="215"/>
      <c r="Z115" s="215"/>
    </row>
    <row r="116" spans="1:26" ht="15.75" customHeight="1" x14ac:dyDescent="0.2">
      <c r="A116" s="205"/>
      <c r="B116" s="336"/>
      <c r="C116" s="215"/>
      <c r="D116" s="215"/>
      <c r="E116" s="215"/>
      <c r="F116" s="215"/>
      <c r="G116" s="215"/>
      <c r="H116" s="215"/>
      <c r="I116" s="215"/>
      <c r="J116" s="215"/>
      <c r="K116" s="215"/>
      <c r="L116" s="215"/>
      <c r="M116" s="215"/>
      <c r="N116" s="215"/>
      <c r="O116" s="215"/>
      <c r="P116" s="215"/>
      <c r="Q116" s="205"/>
      <c r="R116" s="215"/>
      <c r="S116" s="215"/>
      <c r="T116" s="215"/>
      <c r="U116" s="215"/>
      <c r="V116" s="215"/>
      <c r="W116" s="215"/>
      <c r="X116" s="215"/>
      <c r="Y116" s="215"/>
      <c r="Z116" s="215"/>
    </row>
    <row r="117" spans="1:26" ht="15.75" customHeight="1" x14ac:dyDescent="0.2">
      <c r="A117" s="205"/>
      <c r="B117" s="336"/>
      <c r="C117" s="215"/>
      <c r="D117" s="215"/>
      <c r="E117" s="215"/>
      <c r="F117" s="215"/>
      <c r="G117" s="215"/>
      <c r="H117" s="215"/>
      <c r="I117" s="215"/>
      <c r="J117" s="215"/>
      <c r="K117" s="215"/>
      <c r="L117" s="215"/>
      <c r="M117" s="215"/>
      <c r="N117" s="215"/>
      <c r="O117" s="215"/>
      <c r="P117" s="215"/>
      <c r="Q117" s="205"/>
      <c r="R117" s="215"/>
      <c r="S117" s="215"/>
      <c r="T117" s="215"/>
      <c r="U117" s="215"/>
      <c r="V117" s="215"/>
      <c r="W117" s="215"/>
      <c r="X117" s="215"/>
      <c r="Y117" s="215"/>
      <c r="Z117" s="215"/>
    </row>
    <row r="118" spans="1:26" ht="15.75" customHeight="1" x14ac:dyDescent="0.2">
      <c r="A118" s="205"/>
      <c r="B118" s="336"/>
      <c r="C118" s="215"/>
      <c r="D118" s="215"/>
      <c r="E118" s="215"/>
      <c r="F118" s="215"/>
      <c r="G118" s="215"/>
      <c r="H118" s="215"/>
      <c r="I118" s="215"/>
      <c r="J118" s="215"/>
      <c r="K118" s="215"/>
      <c r="L118" s="215"/>
      <c r="M118" s="215"/>
      <c r="N118" s="215"/>
      <c r="O118" s="215"/>
      <c r="P118" s="215"/>
      <c r="Q118" s="205"/>
      <c r="R118" s="215"/>
      <c r="S118" s="215"/>
      <c r="T118" s="215"/>
      <c r="U118" s="215"/>
      <c r="V118" s="215"/>
      <c r="W118" s="215"/>
      <c r="X118" s="215"/>
      <c r="Y118" s="215"/>
      <c r="Z118" s="215"/>
    </row>
    <row r="119" spans="1:26" ht="15.75" customHeight="1" x14ac:dyDescent="0.2">
      <c r="A119" s="205"/>
      <c r="B119" s="336"/>
      <c r="C119" s="215"/>
      <c r="D119" s="215"/>
      <c r="E119" s="215"/>
      <c r="F119" s="215"/>
      <c r="G119" s="215"/>
      <c r="H119" s="215"/>
      <c r="I119" s="215"/>
      <c r="J119" s="215"/>
      <c r="K119" s="215"/>
      <c r="L119" s="215"/>
      <c r="M119" s="215"/>
      <c r="N119" s="215"/>
      <c r="O119" s="215"/>
      <c r="P119" s="215"/>
      <c r="Q119" s="205"/>
      <c r="R119" s="215"/>
      <c r="S119" s="215"/>
      <c r="T119" s="215"/>
      <c r="U119" s="215"/>
      <c r="V119" s="215"/>
      <c r="W119" s="215"/>
      <c r="X119" s="215"/>
      <c r="Y119" s="215"/>
      <c r="Z119" s="215"/>
    </row>
    <row r="120" spans="1:26" ht="15.75" customHeight="1" x14ac:dyDescent="0.2">
      <c r="A120" s="205"/>
      <c r="B120" s="336"/>
      <c r="C120" s="215"/>
      <c r="D120" s="215"/>
      <c r="E120" s="215"/>
      <c r="F120" s="215"/>
      <c r="G120" s="215"/>
      <c r="H120" s="215"/>
      <c r="I120" s="215"/>
      <c r="J120" s="215"/>
      <c r="K120" s="215"/>
      <c r="L120" s="215"/>
      <c r="M120" s="215"/>
      <c r="N120" s="215"/>
      <c r="O120" s="215"/>
      <c r="P120" s="215"/>
      <c r="Q120" s="205"/>
      <c r="R120" s="215"/>
      <c r="S120" s="215"/>
      <c r="T120" s="215"/>
      <c r="U120" s="215"/>
      <c r="V120" s="215"/>
      <c r="W120" s="215"/>
      <c r="X120" s="215"/>
      <c r="Y120" s="215"/>
      <c r="Z120" s="215"/>
    </row>
    <row r="121" spans="1:26" ht="15.75" customHeight="1" x14ac:dyDescent="0.2">
      <c r="A121" s="205"/>
      <c r="B121" s="336"/>
      <c r="C121" s="215"/>
      <c r="D121" s="215"/>
      <c r="E121" s="215"/>
      <c r="F121" s="215"/>
      <c r="G121" s="215"/>
      <c r="H121" s="215"/>
      <c r="I121" s="215"/>
      <c r="J121" s="215"/>
      <c r="K121" s="215"/>
      <c r="L121" s="215"/>
      <c r="M121" s="215"/>
      <c r="N121" s="215"/>
      <c r="O121" s="215"/>
      <c r="P121" s="215"/>
      <c r="Q121" s="205"/>
      <c r="R121" s="215"/>
      <c r="S121" s="215"/>
      <c r="T121" s="215"/>
      <c r="U121" s="215"/>
      <c r="V121" s="215"/>
      <c r="W121" s="215"/>
      <c r="X121" s="215"/>
      <c r="Y121" s="215"/>
      <c r="Z121" s="215"/>
    </row>
    <row r="122" spans="1:26" ht="15.75" customHeight="1" x14ac:dyDescent="0.2">
      <c r="A122" s="205"/>
      <c r="B122" s="336"/>
      <c r="C122" s="215"/>
      <c r="D122" s="215"/>
      <c r="E122" s="215"/>
      <c r="F122" s="215"/>
      <c r="G122" s="215"/>
      <c r="H122" s="215"/>
      <c r="I122" s="215"/>
      <c r="J122" s="215"/>
      <c r="K122" s="215"/>
      <c r="L122" s="215"/>
      <c r="M122" s="215"/>
      <c r="N122" s="215"/>
      <c r="O122" s="215"/>
      <c r="P122" s="215"/>
      <c r="Q122" s="205"/>
      <c r="R122" s="215"/>
      <c r="S122" s="215"/>
      <c r="T122" s="215"/>
      <c r="U122" s="215"/>
      <c r="V122" s="215"/>
      <c r="W122" s="215"/>
      <c r="X122" s="215"/>
      <c r="Y122" s="215"/>
      <c r="Z122" s="215"/>
    </row>
    <row r="123" spans="1:26" ht="15.75" customHeight="1" x14ac:dyDescent="0.2">
      <c r="A123" s="205"/>
      <c r="B123" s="336"/>
      <c r="C123" s="215"/>
      <c r="D123" s="215"/>
      <c r="E123" s="215"/>
      <c r="F123" s="215"/>
      <c r="G123" s="215"/>
      <c r="H123" s="215"/>
      <c r="I123" s="215"/>
      <c r="J123" s="215"/>
      <c r="K123" s="215"/>
      <c r="L123" s="215"/>
      <c r="M123" s="215"/>
      <c r="N123" s="215"/>
      <c r="O123" s="215"/>
      <c r="P123" s="215"/>
      <c r="Q123" s="205"/>
      <c r="R123" s="215"/>
      <c r="S123" s="215"/>
      <c r="T123" s="215"/>
      <c r="U123" s="215"/>
      <c r="V123" s="215"/>
      <c r="W123" s="215"/>
      <c r="X123" s="215"/>
      <c r="Y123" s="215"/>
      <c r="Z123" s="215"/>
    </row>
    <row r="124" spans="1:26" ht="15.75" customHeight="1" x14ac:dyDescent="0.2">
      <c r="A124" s="205"/>
      <c r="B124" s="336"/>
      <c r="C124" s="215"/>
      <c r="D124" s="215"/>
      <c r="E124" s="215"/>
      <c r="F124" s="215"/>
      <c r="G124" s="215"/>
      <c r="H124" s="215"/>
      <c r="I124" s="215"/>
      <c r="J124" s="215"/>
      <c r="K124" s="215"/>
      <c r="L124" s="215"/>
      <c r="M124" s="215"/>
      <c r="N124" s="215"/>
      <c r="O124" s="215"/>
      <c r="P124" s="215"/>
      <c r="Q124" s="205"/>
      <c r="R124" s="215"/>
      <c r="S124" s="215"/>
      <c r="T124" s="215"/>
      <c r="U124" s="215"/>
      <c r="V124" s="215"/>
      <c r="W124" s="215"/>
      <c r="X124" s="215"/>
      <c r="Y124" s="215"/>
      <c r="Z124" s="215"/>
    </row>
    <row r="125" spans="1:26" ht="15.75" customHeight="1" x14ac:dyDescent="0.2">
      <c r="A125" s="205"/>
      <c r="B125" s="336"/>
      <c r="C125" s="215"/>
      <c r="D125" s="215"/>
      <c r="E125" s="215"/>
      <c r="F125" s="215"/>
      <c r="G125" s="215"/>
      <c r="H125" s="215"/>
      <c r="I125" s="215"/>
      <c r="J125" s="215"/>
      <c r="K125" s="215"/>
      <c r="L125" s="215"/>
      <c r="M125" s="215"/>
      <c r="N125" s="215"/>
      <c r="O125" s="215"/>
      <c r="P125" s="215"/>
      <c r="Q125" s="205"/>
      <c r="R125" s="215"/>
      <c r="S125" s="215"/>
      <c r="T125" s="215"/>
      <c r="U125" s="215"/>
      <c r="V125" s="215"/>
      <c r="W125" s="215"/>
      <c r="X125" s="215"/>
      <c r="Y125" s="215"/>
      <c r="Z125" s="215"/>
    </row>
    <row r="126" spans="1:26" ht="15.75" customHeight="1" x14ac:dyDescent="0.2">
      <c r="A126" s="205"/>
      <c r="B126" s="336"/>
      <c r="C126" s="215"/>
      <c r="D126" s="215"/>
      <c r="E126" s="215"/>
      <c r="F126" s="215"/>
      <c r="G126" s="215"/>
      <c r="H126" s="215"/>
      <c r="I126" s="215"/>
      <c r="J126" s="215"/>
      <c r="K126" s="215"/>
      <c r="L126" s="215"/>
      <c r="M126" s="215"/>
      <c r="N126" s="215"/>
      <c r="O126" s="215"/>
      <c r="P126" s="215"/>
      <c r="Q126" s="205"/>
      <c r="R126" s="215"/>
      <c r="S126" s="215"/>
      <c r="T126" s="215"/>
      <c r="U126" s="215"/>
      <c r="V126" s="215"/>
      <c r="W126" s="215"/>
      <c r="X126" s="215"/>
      <c r="Y126" s="215"/>
      <c r="Z126" s="215"/>
    </row>
    <row r="127" spans="1:26" ht="15.75" customHeight="1" x14ac:dyDescent="0.2">
      <c r="A127" s="205"/>
      <c r="B127" s="336"/>
      <c r="C127" s="215"/>
      <c r="D127" s="215"/>
      <c r="E127" s="215"/>
      <c r="F127" s="215"/>
      <c r="G127" s="215"/>
      <c r="H127" s="215"/>
      <c r="I127" s="215"/>
      <c r="J127" s="215"/>
      <c r="K127" s="215"/>
      <c r="L127" s="215"/>
      <c r="M127" s="215"/>
      <c r="N127" s="215"/>
      <c r="O127" s="215"/>
      <c r="P127" s="215"/>
      <c r="Q127" s="205"/>
      <c r="R127" s="215"/>
      <c r="S127" s="215"/>
      <c r="T127" s="215"/>
      <c r="U127" s="215"/>
      <c r="V127" s="215"/>
      <c r="W127" s="215"/>
      <c r="X127" s="215"/>
      <c r="Y127" s="215"/>
      <c r="Z127" s="215"/>
    </row>
    <row r="128" spans="1:26" ht="15.75" customHeight="1" x14ac:dyDescent="0.2">
      <c r="A128" s="205"/>
      <c r="B128" s="336"/>
      <c r="C128" s="215"/>
      <c r="D128" s="215"/>
      <c r="E128" s="215"/>
      <c r="F128" s="215"/>
      <c r="G128" s="215"/>
      <c r="H128" s="215"/>
      <c r="I128" s="215"/>
      <c r="J128" s="215"/>
      <c r="K128" s="215"/>
      <c r="L128" s="215"/>
      <c r="M128" s="215"/>
      <c r="N128" s="215"/>
      <c r="O128" s="215"/>
      <c r="P128" s="215"/>
      <c r="Q128" s="205"/>
      <c r="R128" s="215"/>
      <c r="S128" s="215"/>
      <c r="T128" s="215"/>
      <c r="U128" s="215"/>
      <c r="V128" s="215"/>
      <c r="W128" s="215"/>
      <c r="X128" s="215"/>
      <c r="Y128" s="215"/>
      <c r="Z128" s="215"/>
    </row>
    <row r="129" spans="1:26" ht="15.75" customHeight="1" x14ac:dyDescent="0.2">
      <c r="A129" s="205"/>
      <c r="B129" s="336"/>
      <c r="C129" s="215"/>
      <c r="D129" s="215"/>
      <c r="E129" s="215"/>
      <c r="F129" s="215"/>
      <c r="G129" s="215"/>
      <c r="H129" s="215"/>
      <c r="I129" s="215"/>
      <c r="J129" s="215"/>
      <c r="K129" s="215"/>
      <c r="L129" s="215"/>
      <c r="M129" s="215"/>
      <c r="N129" s="215"/>
      <c r="O129" s="215"/>
      <c r="P129" s="215"/>
      <c r="Q129" s="205"/>
      <c r="R129" s="215"/>
      <c r="S129" s="215"/>
      <c r="T129" s="215"/>
      <c r="U129" s="215"/>
      <c r="V129" s="215"/>
      <c r="W129" s="215"/>
      <c r="X129" s="215"/>
      <c r="Y129" s="215"/>
      <c r="Z129" s="215"/>
    </row>
    <row r="130" spans="1:26" ht="15.75" customHeight="1" x14ac:dyDescent="0.2">
      <c r="A130" s="205"/>
      <c r="B130" s="336"/>
      <c r="C130" s="215"/>
      <c r="D130" s="215"/>
      <c r="E130" s="215"/>
      <c r="F130" s="215"/>
      <c r="G130" s="215"/>
      <c r="H130" s="215"/>
      <c r="I130" s="215"/>
      <c r="J130" s="215"/>
      <c r="K130" s="215"/>
      <c r="L130" s="215"/>
      <c r="M130" s="215"/>
      <c r="N130" s="215"/>
      <c r="O130" s="215"/>
      <c r="P130" s="215"/>
      <c r="Q130" s="205"/>
      <c r="R130" s="215"/>
      <c r="S130" s="215"/>
      <c r="T130" s="215"/>
      <c r="U130" s="215"/>
      <c r="V130" s="215"/>
      <c r="W130" s="215"/>
      <c r="X130" s="215"/>
      <c r="Y130" s="215"/>
      <c r="Z130" s="215"/>
    </row>
    <row r="131" spans="1:26" ht="15.75" customHeight="1" x14ac:dyDescent="0.2">
      <c r="A131" s="205"/>
      <c r="B131" s="336"/>
      <c r="C131" s="215"/>
      <c r="D131" s="215"/>
      <c r="E131" s="215"/>
      <c r="F131" s="215"/>
      <c r="G131" s="215"/>
      <c r="H131" s="215"/>
      <c r="I131" s="215"/>
      <c r="J131" s="215"/>
      <c r="K131" s="215"/>
      <c r="L131" s="215"/>
      <c r="M131" s="215"/>
      <c r="N131" s="215"/>
      <c r="O131" s="215"/>
      <c r="P131" s="215"/>
      <c r="Q131" s="205"/>
      <c r="R131" s="215"/>
      <c r="S131" s="215"/>
      <c r="T131" s="215"/>
      <c r="U131" s="215"/>
      <c r="V131" s="215"/>
      <c r="W131" s="215"/>
      <c r="X131" s="215"/>
      <c r="Y131" s="215"/>
      <c r="Z131" s="215"/>
    </row>
    <row r="132" spans="1:26" ht="15.75" customHeight="1" x14ac:dyDescent="0.2">
      <c r="A132" s="205"/>
      <c r="B132" s="336"/>
      <c r="C132" s="215"/>
      <c r="D132" s="215"/>
      <c r="E132" s="215"/>
      <c r="F132" s="215"/>
      <c r="G132" s="215"/>
      <c r="H132" s="215"/>
      <c r="I132" s="215"/>
      <c r="J132" s="215"/>
      <c r="K132" s="215"/>
      <c r="L132" s="215"/>
      <c r="M132" s="215"/>
      <c r="N132" s="215"/>
      <c r="O132" s="215"/>
      <c r="P132" s="215"/>
      <c r="Q132" s="205"/>
      <c r="R132" s="215"/>
      <c r="S132" s="215"/>
      <c r="T132" s="215"/>
      <c r="U132" s="215"/>
      <c r="V132" s="215"/>
      <c r="W132" s="215"/>
      <c r="X132" s="215"/>
      <c r="Y132" s="215"/>
      <c r="Z132" s="215"/>
    </row>
    <row r="133" spans="1:26" ht="15.75" customHeight="1" x14ac:dyDescent="0.2">
      <c r="A133" s="205"/>
      <c r="B133" s="336"/>
      <c r="C133" s="215"/>
      <c r="D133" s="215"/>
      <c r="E133" s="215"/>
      <c r="F133" s="215"/>
      <c r="G133" s="215"/>
      <c r="H133" s="215"/>
      <c r="I133" s="215"/>
      <c r="J133" s="215"/>
      <c r="K133" s="215"/>
      <c r="L133" s="215"/>
      <c r="M133" s="215"/>
      <c r="N133" s="215"/>
      <c r="O133" s="215"/>
      <c r="P133" s="215"/>
      <c r="Q133" s="205"/>
      <c r="R133" s="215"/>
      <c r="S133" s="215"/>
      <c r="T133" s="215"/>
      <c r="U133" s="215"/>
      <c r="V133" s="215"/>
      <c r="W133" s="215"/>
      <c r="X133" s="215"/>
      <c r="Y133" s="215"/>
      <c r="Z133" s="215"/>
    </row>
    <row r="134" spans="1:26" ht="15.75" customHeight="1" x14ac:dyDescent="0.2">
      <c r="A134" s="205"/>
      <c r="B134" s="336"/>
      <c r="C134" s="215"/>
      <c r="D134" s="215"/>
      <c r="E134" s="215"/>
      <c r="F134" s="215"/>
      <c r="G134" s="215"/>
      <c r="H134" s="215"/>
      <c r="I134" s="215"/>
      <c r="J134" s="215"/>
      <c r="K134" s="215"/>
      <c r="L134" s="215"/>
      <c r="M134" s="215"/>
      <c r="N134" s="215"/>
      <c r="O134" s="215"/>
      <c r="P134" s="215"/>
      <c r="Q134" s="205"/>
      <c r="R134" s="215"/>
      <c r="S134" s="215"/>
      <c r="T134" s="215"/>
      <c r="U134" s="215"/>
      <c r="V134" s="215"/>
      <c r="W134" s="215"/>
      <c r="X134" s="215"/>
      <c r="Y134" s="215"/>
      <c r="Z134" s="215"/>
    </row>
    <row r="135" spans="1:26" ht="15.75" customHeight="1" x14ac:dyDescent="0.2">
      <c r="A135" s="205"/>
      <c r="B135" s="336"/>
      <c r="C135" s="215"/>
      <c r="D135" s="215"/>
      <c r="E135" s="215"/>
      <c r="F135" s="215"/>
      <c r="G135" s="215"/>
      <c r="H135" s="215"/>
      <c r="I135" s="215"/>
      <c r="J135" s="215"/>
      <c r="K135" s="215"/>
      <c r="L135" s="215"/>
      <c r="M135" s="215"/>
      <c r="N135" s="215"/>
      <c r="O135" s="215"/>
      <c r="P135" s="215"/>
      <c r="Q135" s="205"/>
      <c r="R135" s="215"/>
      <c r="S135" s="215"/>
      <c r="T135" s="215"/>
      <c r="U135" s="215"/>
      <c r="V135" s="215"/>
      <c r="W135" s="215"/>
      <c r="X135" s="215"/>
      <c r="Y135" s="215"/>
      <c r="Z135" s="215"/>
    </row>
    <row r="136" spans="1:26" ht="15.75" customHeight="1" x14ac:dyDescent="0.2">
      <c r="A136" s="205"/>
      <c r="B136" s="336"/>
      <c r="C136" s="215"/>
      <c r="D136" s="215"/>
      <c r="E136" s="215"/>
      <c r="F136" s="215"/>
      <c r="G136" s="215"/>
      <c r="H136" s="215"/>
      <c r="I136" s="215"/>
      <c r="J136" s="215"/>
      <c r="K136" s="215"/>
      <c r="L136" s="215"/>
      <c r="M136" s="215"/>
      <c r="N136" s="215"/>
      <c r="O136" s="215"/>
      <c r="P136" s="215"/>
      <c r="Q136" s="205"/>
      <c r="R136" s="215"/>
      <c r="S136" s="215"/>
      <c r="T136" s="215"/>
      <c r="U136" s="215"/>
      <c r="V136" s="215"/>
      <c r="W136" s="215"/>
      <c r="X136" s="215"/>
      <c r="Y136" s="215"/>
      <c r="Z136" s="215"/>
    </row>
    <row r="137" spans="1:26" ht="15.75" customHeight="1" x14ac:dyDescent="0.2">
      <c r="A137" s="205"/>
      <c r="B137" s="336"/>
      <c r="C137" s="215"/>
      <c r="D137" s="215"/>
      <c r="E137" s="215"/>
      <c r="F137" s="215"/>
      <c r="G137" s="215"/>
      <c r="H137" s="215"/>
      <c r="I137" s="215"/>
      <c r="J137" s="215"/>
      <c r="K137" s="215"/>
      <c r="L137" s="215"/>
      <c r="M137" s="215"/>
      <c r="N137" s="215"/>
      <c r="O137" s="215"/>
      <c r="P137" s="215"/>
      <c r="Q137" s="205"/>
      <c r="R137" s="215"/>
      <c r="S137" s="215"/>
      <c r="T137" s="215"/>
      <c r="U137" s="215"/>
      <c r="V137" s="215"/>
      <c r="W137" s="215"/>
      <c r="X137" s="215"/>
      <c r="Y137" s="215"/>
      <c r="Z137" s="215"/>
    </row>
    <row r="138" spans="1:26" ht="15.75" customHeight="1" x14ac:dyDescent="0.2">
      <c r="A138" s="205"/>
      <c r="B138" s="336"/>
      <c r="C138" s="215"/>
      <c r="D138" s="215"/>
      <c r="E138" s="215"/>
      <c r="F138" s="215"/>
      <c r="G138" s="215"/>
      <c r="H138" s="215"/>
      <c r="I138" s="215"/>
      <c r="J138" s="215"/>
      <c r="K138" s="215"/>
      <c r="L138" s="215"/>
      <c r="M138" s="215"/>
      <c r="N138" s="215"/>
      <c r="O138" s="215"/>
      <c r="P138" s="215"/>
      <c r="Q138" s="205"/>
      <c r="R138" s="215"/>
      <c r="S138" s="215"/>
      <c r="T138" s="215"/>
      <c r="U138" s="215"/>
      <c r="V138" s="215"/>
      <c r="W138" s="215"/>
      <c r="X138" s="215"/>
      <c r="Y138" s="215"/>
      <c r="Z138" s="215"/>
    </row>
    <row r="139" spans="1:26" ht="15.75" customHeight="1" x14ac:dyDescent="0.2">
      <c r="A139" s="205"/>
      <c r="B139" s="336"/>
      <c r="C139" s="215"/>
      <c r="D139" s="215"/>
      <c r="E139" s="215"/>
      <c r="F139" s="215"/>
      <c r="G139" s="215"/>
      <c r="H139" s="215"/>
      <c r="I139" s="215"/>
      <c r="J139" s="215"/>
      <c r="K139" s="215"/>
      <c r="L139" s="215"/>
      <c r="M139" s="215"/>
      <c r="N139" s="215"/>
      <c r="O139" s="215"/>
      <c r="P139" s="215"/>
      <c r="Q139" s="205"/>
      <c r="R139" s="215"/>
      <c r="S139" s="215"/>
      <c r="T139" s="215"/>
      <c r="U139" s="215"/>
      <c r="V139" s="215"/>
      <c r="W139" s="215"/>
      <c r="X139" s="215"/>
      <c r="Y139" s="215"/>
      <c r="Z139" s="215"/>
    </row>
    <row r="140" spans="1:26" ht="15.75" customHeight="1" x14ac:dyDescent="0.2">
      <c r="A140" s="205"/>
      <c r="B140" s="336"/>
      <c r="C140" s="215"/>
      <c r="D140" s="215"/>
      <c r="E140" s="215"/>
      <c r="F140" s="215"/>
      <c r="G140" s="215"/>
      <c r="H140" s="215"/>
      <c r="I140" s="215"/>
      <c r="J140" s="215"/>
      <c r="K140" s="215"/>
      <c r="L140" s="215"/>
      <c r="M140" s="215"/>
      <c r="N140" s="215"/>
      <c r="O140" s="215"/>
      <c r="P140" s="215"/>
      <c r="Q140" s="205"/>
      <c r="R140" s="215"/>
      <c r="S140" s="215"/>
      <c r="T140" s="215"/>
      <c r="U140" s="215"/>
      <c r="V140" s="215"/>
      <c r="W140" s="215"/>
      <c r="X140" s="215"/>
      <c r="Y140" s="215"/>
      <c r="Z140" s="215"/>
    </row>
    <row r="141" spans="1:26" ht="15.75" customHeight="1" x14ac:dyDescent="0.2">
      <c r="A141" s="205"/>
      <c r="B141" s="336"/>
      <c r="C141" s="215"/>
      <c r="D141" s="215"/>
      <c r="E141" s="215"/>
      <c r="F141" s="215"/>
      <c r="G141" s="215"/>
      <c r="H141" s="215"/>
      <c r="I141" s="215"/>
      <c r="J141" s="215"/>
      <c r="K141" s="215"/>
      <c r="L141" s="215"/>
      <c r="M141" s="215"/>
      <c r="N141" s="215"/>
      <c r="O141" s="215"/>
      <c r="P141" s="215"/>
      <c r="Q141" s="205"/>
      <c r="R141" s="215"/>
      <c r="S141" s="215"/>
      <c r="T141" s="215"/>
      <c r="U141" s="215"/>
      <c r="V141" s="215"/>
      <c r="W141" s="215"/>
      <c r="X141" s="215"/>
      <c r="Y141" s="215"/>
      <c r="Z141" s="215"/>
    </row>
    <row r="142" spans="1:26" ht="15.75" customHeight="1" x14ac:dyDescent="0.2">
      <c r="A142" s="205"/>
      <c r="B142" s="336"/>
      <c r="C142" s="215"/>
      <c r="D142" s="215"/>
      <c r="E142" s="215"/>
      <c r="F142" s="215"/>
      <c r="G142" s="215"/>
      <c r="H142" s="215"/>
      <c r="I142" s="215"/>
      <c r="J142" s="215"/>
      <c r="K142" s="215"/>
      <c r="L142" s="215"/>
      <c r="M142" s="215"/>
      <c r="N142" s="215"/>
      <c r="O142" s="215"/>
      <c r="P142" s="215"/>
      <c r="Q142" s="205"/>
      <c r="R142" s="215"/>
      <c r="S142" s="215"/>
      <c r="T142" s="215"/>
      <c r="U142" s="215"/>
      <c r="V142" s="215"/>
      <c r="W142" s="215"/>
      <c r="X142" s="215"/>
      <c r="Y142" s="215"/>
      <c r="Z142" s="215"/>
    </row>
    <row r="143" spans="1:26" ht="15.75" customHeight="1" x14ac:dyDescent="0.2">
      <c r="A143" s="205"/>
      <c r="B143" s="336"/>
      <c r="C143" s="215"/>
      <c r="D143" s="215"/>
      <c r="E143" s="215"/>
      <c r="F143" s="215"/>
      <c r="G143" s="215"/>
      <c r="H143" s="215"/>
      <c r="I143" s="215"/>
      <c r="J143" s="215"/>
      <c r="K143" s="215"/>
      <c r="L143" s="215"/>
      <c r="M143" s="215"/>
      <c r="N143" s="215"/>
      <c r="O143" s="215"/>
      <c r="P143" s="215"/>
      <c r="Q143" s="205"/>
      <c r="R143" s="215"/>
      <c r="S143" s="215"/>
      <c r="T143" s="215"/>
      <c r="U143" s="215"/>
      <c r="V143" s="215"/>
      <c r="W143" s="215"/>
      <c r="X143" s="215"/>
      <c r="Y143" s="215"/>
      <c r="Z143" s="215"/>
    </row>
    <row r="144" spans="1:26" ht="15.75" customHeight="1" x14ac:dyDescent="0.2">
      <c r="A144" s="205"/>
      <c r="B144" s="336"/>
      <c r="C144" s="215"/>
      <c r="D144" s="215"/>
      <c r="E144" s="215"/>
      <c r="F144" s="215"/>
      <c r="G144" s="215"/>
      <c r="H144" s="215"/>
      <c r="I144" s="215"/>
      <c r="J144" s="215"/>
      <c r="K144" s="215"/>
      <c r="L144" s="215"/>
      <c r="M144" s="215"/>
      <c r="N144" s="215"/>
      <c r="O144" s="215"/>
      <c r="P144" s="215"/>
      <c r="Q144" s="205"/>
      <c r="R144" s="215"/>
      <c r="S144" s="215"/>
      <c r="T144" s="215"/>
      <c r="U144" s="215"/>
      <c r="V144" s="215"/>
      <c r="W144" s="215"/>
      <c r="X144" s="215"/>
      <c r="Y144" s="215"/>
      <c r="Z144" s="215"/>
    </row>
    <row r="145" spans="1:26" ht="15.75" customHeight="1" x14ac:dyDescent="0.2">
      <c r="A145" s="205"/>
      <c r="B145" s="336"/>
      <c r="C145" s="215"/>
      <c r="D145" s="215"/>
      <c r="E145" s="215"/>
      <c r="F145" s="215"/>
      <c r="G145" s="215"/>
      <c r="H145" s="215"/>
      <c r="I145" s="215"/>
      <c r="J145" s="215"/>
      <c r="K145" s="215"/>
      <c r="L145" s="215"/>
      <c r="M145" s="215"/>
      <c r="N145" s="215"/>
      <c r="O145" s="215"/>
      <c r="P145" s="215"/>
      <c r="Q145" s="205"/>
      <c r="R145" s="215"/>
      <c r="S145" s="215"/>
      <c r="T145" s="215"/>
      <c r="U145" s="215"/>
      <c r="V145" s="215"/>
      <c r="W145" s="215"/>
      <c r="X145" s="215"/>
      <c r="Y145" s="215"/>
      <c r="Z145" s="215"/>
    </row>
    <row r="146" spans="1:26" ht="15.75" customHeight="1" x14ac:dyDescent="0.2">
      <c r="A146" s="205"/>
      <c r="B146" s="336"/>
      <c r="C146" s="215"/>
      <c r="D146" s="215"/>
      <c r="E146" s="215"/>
      <c r="F146" s="215"/>
      <c r="G146" s="215"/>
      <c r="H146" s="215"/>
      <c r="I146" s="215"/>
      <c r="J146" s="215"/>
      <c r="K146" s="215"/>
      <c r="L146" s="215"/>
      <c r="M146" s="215"/>
      <c r="N146" s="215"/>
      <c r="O146" s="215"/>
      <c r="P146" s="215"/>
      <c r="Q146" s="205"/>
      <c r="R146" s="215"/>
      <c r="S146" s="215"/>
      <c r="T146" s="215"/>
      <c r="U146" s="215"/>
      <c r="V146" s="215"/>
      <c r="W146" s="215"/>
      <c r="X146" s="215"/>
      <c r="Y146" s="215"/>
      <c r="Z146" s="215"/>
    </row>
    <row r="147" spans="1:26" ht="15.75" customHeight="1" x14ac:dyDescent="0.2">
      <c r="A147" s="205"/>
      <c r="B147" s="336"/>
      <c r="C147" s="215"/>
      <c r="D147" s="215"/>
      <c r="E147" s="215"/>
      <c r="F147" s="215"/>
      <c r="G147" s="215"/>
      <c r="H147" s="215"/>
      <c r="I147" s="215"/>
      <c r="J147" s="215"/>
      <c r="K147" s="215"/>
      <c r="L147" s="215"/>
      <c r="M147" s="215"/>
      <c r="N147" s="215"/>
      <c r="O147" s="215"/>
      <c r="P147" s="215"/>
      <c r="Q147" s="205"/>
      <c r="R147" s="215"/>
      <c r="S147" s="215"/>
      <c r="T147" s="215"/>
      <c r="U147" s="215"/>
      <c r="V147" s="215"/>
      <c r="W147" s="215"/>
      <c r="X147" s="215"/>
      <c r="Y147" s="215"/>
      <c r="Z147" s="215"/>
    </row>
    <row r="148" spans="1:26" ht="15.75" customHeight="1" x14ac:dyDescent="0.2">
      <c r="A148" s="205"/>
      <c r="B148" s="336"/>
      <c r="C148" s="215"/>
      <c r="D148" s="215"/>
      <c r="E148" s="215"/>
      <c r="F148" s="215"/>
      <c r="G148" s="215"/>
      <c r="H148" s="215"/>
      <c r="I148" s="215"/>
      <c r="J148" s="215"/>
      <c r="K148" s="215"/>
      <c r="L148" s="215"/>
      <c r="M148" s="215"/>
      <c r="N148" s="215"/>
      <c r="O148" s="215"/>
      <c r="P148" s="215"/>
      <c r="Q148" s="205"/>
      <c r="R148" s="215"/>
      <c r="S148" s="215"/>
      <c r="T148" s="215"/>
      <c r="U148" s="215"/>
      <c r="V148" s="215"/>
      <c r="W148" s="215"/>
      <c r="X148" s="215"/>
      <c r="Y148" s="215"/>
      <c r="Z148" s="215"/>
    </row>
    <row r="149" spans="1:26" ht="15.75" customHeight="1" x14ac:dyDescent="0.2">
      <c r="A149" s="205"/>
      <c r="B149" s="336"/>
      <c r="C149" s="215"/>
      <c r="D149" s="215"/>
      <c r="E149" s="215"/>
      <c r="F149" s="215"/>
      <c r="G149" s="215"/>
      <c r="H149" s="215"/>
      <c r="I149" s="215"/>
      <c r="J149" s="215"/>
      <c r="K149" s="215"/>
      <c r="L149" s="215"/>
      <c r="M149" s="215"/>
      <c r="N149" s="215"/>
      <c r="O149" s="215"/>
      <c r="P149" s="215"/>
      <c r="Q149" s="205"/>
      <c r="R149" s="215"/>
      <c r="S149" s="215"/>
      <c r="T149" s="215"/>
      <c r="U149" s="215"/>
      <c r="V149" s="215"/>
      <c r="W149" s="215"/>
      <c r="X149" s="215"/>
      <c r="Y149" s="215"/>
      <c r="Z149" s="215"/>
    </row>
    <row r="150" spans="1:26" ht="15.75" customHeight="1" x14ac:dyDescent="0.2">
      <c r="A150" s="205"/>
      <c r="B150" s="336"/>
      <c r="C150" s="215"/>
      <c r="D150" s="215"/>
      <c r="E150" s="215"/>
      <c r="F150" s="215"/>
      <c r="G150" s="215"/>
      <c r="H150" s="215"/>
      <c r="I150" s="215"/>
      <c r="J150" s="215"/>
      <c r="K150" s="215"/>
      <c r="L150" s="215"/>
      <c r="M150" s="215"/>
      <c r="N150" s="215"/>
      <c r="O150" s="215"/>
      <c r="P150" s="215"/>
      <c r="Q150" s="205"/>
      <c r="R150" s="215"/>
      <c r="S150" s="215"/>
      <c r="T150" s="215"/>
      <c r="U150" s="215"/>
      <c r="V150" s="215"/>
      <c r="W150" s="215"/>
      <c r="X150" s="215"/>
      <c r="Y150" s="215"/>
      <c r="Z150" s="215"/>
    </row>
    <row r="151" spans="1:26" ht="15.75" customHeight="1" x14ac:dyDescent="0.2">
      <c r="A151" s="205"/>
      <c r="B151" s="336"/>
      <c r="C151" s="215"/>
      <c r="D151" s="215"/>
      <c r="E151" s="215"/>
      <c r="F151" s="215"/>
      <c r="G151" s="215"/>
      <c r="H151" s="215"/>
      <c r="I151" s="215"/>
      <c r="J151" s="215"/>
      <c r="K151" s="215"/>
      <c r="L151" s="215"/>
      <c r="M151" s="215"/>
      <c r="N151" s="215"/>
      <c r="O151" s="215"/>
      <c r="P151" s="215"/>
      <c r="Q151" s="205"/>
      <c r="R151" s="215"/>
      <c r="S151" s="215"/>
      <c r="T151" s="215"/>
      <c r="U151" s="215"/>
      <c r="V151" s="215"/>
      <c r="W151" s="215"/>
      <c r="X151" s="215"/>
      <c r="Y151" s="215"/>
      <c r="Z151" s="215"/>
    </row>
    <row r="152" spans="1:26" ht="15.75" customHeight="1" x14ac:dyDescent="0.2">
      <c r="A152" s="205"/>
      <c r="B152" s="336"/>
      <c r="C152" s="215"/>
      <c r="D152" s="215"/>
      <c r="E152" s="215"/>
      <c r="F152" s="215"/>
      <c r="G152" s="215"/>
      <c r="H152" s="215"/>
      <c r="I152" s="215"/>
      <c r="J152" s="215"/>
      <c r="K152" s="215"/>
      <c r="L152" s="215"/>
      <c r="M152" s="215"/>
      <c r="N152" s="215"/>
      <c r="O152" s="215"/>
      <c r="P152" s="215"/>
      <c r="Q152" s="205"/>
      <c r="R152" s="215"/>
      <c r="S152" s="215"/>
      <c r="T152" s="215"/>
      <c r="U152" s="215"/>
      <c r="V152" s="215"/>
      <c r="W152" s="215"/>
      <c r="X152" s="215"/>
      <c r="Y152" s="215"/>
      <c r="Z152" s="215"/>
    </row>
    <row r="153" spans="1:26" ht="15.75" customHeight="1" x14ac:dyDescent="0.2">
      <c r="A153" s="205"/>
      <c r="B153" s="336"/>
      <c r="C153" s="215"/>
      <c r="D153" s="215"/>
      <c r="E153" s="215"/>
      <c r="F153" s="215"/>
      <c r="G153" s="215"/>
      <c r="H153" s="215"/>
      <c r="I153" s="215"/>
      <c r="J153" s="215"/>
      <c r="K153" s="215"/>
      <c r="L153" s="215"/>
      <c r="M153" s="215"/>
      <c r="N153" s="215"/>
      <c r="O153" s="215"/>
      <c r="P153" s="215"/>
      <c r="Q153" s="205"/>
      <c r="R153" s="215"/>
      <c r="S153" s="215"/>
      <c r="T153" s="215"/>
      <c r="U153" s="215"/>
      <c r="V153" s="215"/>
      <c r="W153" s="215"/>
      <c r="X153" s="215"/>
      <c r="Y153" s="215"/>
      <c r="Z153" s="215"/>
    </row>
    <row r="154" spans="1:26" ht="15.75" customHeight="1" x14ac:dyDescent="0.2">
      <c r="A154" s="205"/>
      <c r="B154" s="336"/>
      <c r="C154" s="215"/>
      <c r="D154" s="215"/>
      <c r="E154" s="215"/>
      <c r="F154" s="215"/>
      <c r="G154" s="215"/>
      <c r="H154" s="215"/>
      <c r="I154" s="215"/>
      <c r="J154" s="215"/>
      <c r="K154" s="215"/>
      <c r="L154" s="215"/>
      <c r="M154" s="215"/>
      <c r="N154" s="215"/>
      <c r="O154" s="215"/>
      <c r="P154" s="215"/>
      <c r="Q154" s="205"/>
      <c r="R154" s="215"/>
      <c r="S154" s="215"/>
      <c r="T154" s="215"/>
      <c r="U154" s="215"/>
      <c r="V154" s="215"/>
      <c r="W154" s="215"/>
      <c r="X154" s="215"/>
      <c r="Y154" s="215"/>
      <c r="Z154" s="215"/>
    </row>
    <row r="155" spans="1:26" ht="15.75" customHeight="1" x14ac:dyDescent="0.2">
      <c r="A155" s="205"/>
      <c r="B155" s="336"/>
      <c r="C155" s="215"/>
      <c r="D155" s="215"/>
      <c r="E155" s="215"/>
      <c r="F155" s="215"/>
      <c r="G155" s="215"/>
      <c r="H155" s="215"/>
      <c r="I155" s="215"/>
      <c r="J155" s="215"/>
      <c r="K155" s="215"/>
      <c r="L155" s="215"/>
      <c r="M155" s="215"/>
      <c r="N155" s="215"/>
      <c r="O155" s="215"/>
      <c r="P155" s="215"/>
      <c r="Q155" s="205"/>
      <c r="R155" s="215"/>
      <c r="S155" s="215"/>
      <c r="T155" s="215"/>
      <c r="U155" s="215"/>
      <c r="V155" s="215"/>
      <c r="W155" s="215"/>
      <c r="X155" s="215"/>
      <c r="Y155" s="215"/>
      <c r="Z155" s="215"/>
    </row>
    <row r="156" spans="1:26" ht="15.75" customHeight="1" x14ac:dyDescent="0.2">
      <c r="A156" s="205"/>
      <c r="B156" s="336"/>
      <c r="C156" s="215"/>
      <c r="D156" s="215"/>
      <c r="E156" s="215"/>
      <c r="F156" s="215"/>
      <c r="G156" s="215"/>
      <c r="H156" s="215"/>
      <c r="I156" s="215"/>
      <c r="J156" s="215"/>
      <c r="K156" s="215"/>
      <c r="L156" s="215"/>
      <c r="M156" s="215"/>
      <c r="N156" s="215"/>
      <c r="O156" s="215"/>
      <c r="P156" s="215"/>
      <c r="Q156" s="205"/>
      <c r="R156" s="215"/>
      <c r="S156" s="215"/>
      <c r="T156" s="215"/>
      <c r="U156" s="215"/>
      <c r="V156" s="215"/>
      <c r="W156" s="215"/>
      <c r="X156" s="215"/>
      <c r="Y156" s="215"/>
      <c r="Z156" s="215"/>
    </row>
    <row r="157" spans="1:26" ht="15.75" customHeight="1" x14ac:dyDescent="0.2">
      <c r="A157" s="205"/>
      <c r="B157" s="336"/>
      <c r="C157" s="215"/>
      <c r="D157" s="215"/>
      <c r="E157" s="215"/>
      <c r="F157" s="215"/>
      <c r="G157" s="215"/>
      <c r="H157" s="215"/>
      <c r="I157" s="215"/>
      <c r="J157" s="215"/>
      <c r="K157" s="215"/>
      <c r="L157" s="215"/>
      <c r="M157" s="215"/>
      <c r="N157" s="215"/>
      <c r="O157" s="215"/>
      <c r="P157" s="215"/>
      <c r="Q157" s="205"/>
      <c r="R157" s="215"/>
      <c r="S157" s="215"/>
      <c r="T157" s="215"/>
      <c r="U157" s="215"/>
      <c r="V157" s="215"/>
      <c r="W157" s="215"/>
      <c r="X157" s="215"/>
      <c r="Y157" s="215"/>
      <c r="Z157" s="215"/>
    </row>
    <row r="158" spans="1:26" ht="15.75" customHeight="1" x14ac:dyDescent="0.2">
      <c r="A158" s="205"/>
      <c r="B158" s="336"/>
      <c r="C158" s="215"/>
      <c r="D158" s="215"/>
      <c r="E158" s="215"/>
      <c r="F158" s="215"/>
      <c r="G158" s="215"/>
      <c r="H158" s="215"/>
      <c r="I158" s="215"/>
      <c r="J158" s="215"/>
      <c r="K158" s="215"/>
      <c r="L158" s="215"/>
      <c r="M158" s="215"/>
      <c r="N158" s="215"/>
      <c r="O158" s="215"/>
      <c r="P158" s="215"/>
      <c r="Q158" s="205"/>
      <c r="R158" s="215"/>
      <c r="S158" s="215"/>
      <c r="T158" s="215"/>
      <c r="U158" s="215"/>
      <c r="V158" s="215"/>
      <c r="W158" s="215"/>
      <c r="X158" s="215"/>
      <c r="Y158" s="215"/>
      <c r="Z158" s="215"/>
    </row>
    <row r="159" spans="1:26" ht="15.75" customHeight="1" x14ac:dyDescent="0.2">
      <c r="A159" s="205"/>
      <c r="B159" s="336"/>
      <c r="C159" s="215"/>
      <c r="D159" s="215"/>
      <c r="E159" s="215"/>
      <c r="F159" s="215"/>
      <c r="G159" s="215"/>
      <c r="H159" s="215"/>
      <c r="I159" s="215"/>
      <c r="J159" s="215"/>
      <c r="K159" s="215"/>
      <c r="L159" s="215"/>
      <c r="M159" s="215"/>
      <c r="N159" s="215"/>
      <c r="O159" s="215"/>
      <c r="P159" s="215"/>
      <c r="Q159" s="205"/>
      <c r="R159" s="215"/>
      <c r="S159" s="215"/>
      <c r="T159" s="215"/>
      <c r="U159" s="215"/>
      <c r="V159" s="215"/>
      <c r="W159" s="215"/>
      <c r="X159" s="215"/>
      <c r="Y159" s="215"/>
      <c r="Z159" s="215"/>
    </row>
    <row r="160" spans="1:26" ht="15.75" customHeight="1" x14ac:dyDescent="0.2">
      <c r="A160" s="205"/>
      <c r="B160" s="336"/>
      <c r="C160" s="215"/>
      <c r="D160" s="215"/>
      <c r="E160" s="215"/>
      <c r="F160" s="215"/>
      <c r="G160" s="215"/>
      <c r="H160" s="215"/>
      <c r="I160" s="215"/>
      <c r="J160" s="215"/>
      <c r="K160" s="215"/>
      <c r="L160" s="215"/>
      <c r="M160" s="215"/>
      <c r="N160" s="215"/>
      <c r="O160" s="215"/>
      <c r="P160" s="215"/>
      <c r="Q160" s="205"/>
      <c r="R160" s="215"/>
      <c r="S160" s="215"/>
      <c r="T160" s="215"/>
      <c r="U160" s="215"/>
      <c r="V160" s="215"/>
      <c r="W160" s="215"/>
      <c r="X160" s="215"/>
      <c r="Y160" s="215"/>
      <c r="Z160" s="215"/>
    </row>
    <row r="161" spans="1:26" ht="15.75" customHeight="1" x14ac:dyDescent="0.2">
      <c r="A161" s="205"/>
      <c r="B161" s="336"/>
      <c r="C161" s="215"/>
      <c r="D161" s="215"/>
      <c r="E161" s="215"/>
      <c r="F161" s="215"/>
      <c r="G161" s="215"/>
      <c r="H161" s="215"/>
      <c r="I161" s="215"/>
      <c r="J161" s="215"/>
      <c r="K161" s="215"/>
      <c r="L161" s="215"/>
      <c r="M161" s="215"/>
      <c r="N161" s="215"/>
      <c r="O161" s="215"/>
      <c r="P161" s="215"/>
      <c r="Q161" s="205"/>
      <c r="R161" s="215"/>
      <c r="S161" s="215"/>
      <c r="T161" s="215"/>
      <c r="U161" s="215"/>
      <c r="V161" s="215"/>
      <c r="W161" s="215"/>
      <c r="X161" s="215"/>
      <c r="Y161" s="215"/>
      <c r="Z161" s="215"/>
    </row>
    <row r="162" spans="1:26" ht="15.75" customHeight="1" x14ac:dyDescent="0.2">
      <c r="A162" s="205"/>
      <c r="B162" s="336"/>
      <c r="C162" s="215"/>
      <c r="D162" s="215"/>
      <c r="E162" s="215"/>
      <c r="F162" s="215"/>
      <c r="G162" s="215"/>
      <c r="H162" s="215"/>
      <c r="I162" s="215"/>
      <c r="J162" s="215"/>
      <c r="K162" s="215"/>
      <c r="L162" s="215"/>
      <c r="M162" s="215"/>
      <c r="N162" s="215"/>
      <c r="O162" s="215"/>
      <c r="P162" s="215"/>
      <c r="Q162" s="205"/>
      <c r="R162" s="215"/>
      <c r="S162" s="215"/>
      <c r="T162" s="215"/>
      <c r="U162" s="215"/>
      <c r="V162" s="215"/>
      <c r="W162" s="215"/>
      <c r="X162" s="215"/>
      <c r="Y162" s="215"/>
      <c r="Z162" s="215"/>
    </row>
    <row r="163" spans="1:26" ht="15.75" customHeight="1" x14ac:dyDescent="0.2">
      <c r="A163" s="205"/>
      <c r="B163" s="336"/>
      <c r="C163" s="215"/>
      <c r="D163" s="215"/>
      <c r="E163" s="215"/>
      <c r="F163" s="215"/>
      <c r="G163" s="215"/>
      <c r="H163" s="215"/>
      <c r="I163" s="215"/>
      <c r="J163" s="215"/>
      <c r="K163" s="215"/>
      <c r="L163" s="215"/>
      <c r="M163" s="215"/>
      <c r="N163" s="215"/>
      <c r="O163" s="215"/>
      <c r="P163" s="215"/>
      <c r="Q163" s="205"/>
      <c r="R163" s="215"/>
      <c r="S163" s="215"/>
      <c r="T163" s="215"/>
      <c r="U163" s="215"/>
      <c r="V163" s="215"/>
      <c r="W163" s="215"/>
      <c r="X163" s="215"/>
      <c r="Y163" s="215"/>
      <c r="Z163" s="215"/>
    </row>
    <row r="164" spans="1:26" ht="15.75" customHeight="1" x14ac:dyDescent="0.2">
      <c r="A164" s="205"/>
      <c r="B164" s="336"/>
      <c r="C164" s="215"/>
      <c r="D164" s="215"/>
      <c r="E164" s="215"/>
      <c r="F164" s="215"/>
      <c r="G164" s="215"/>
      <c r="H164" s="215"/>
      <c r="I164" s="215"/>
      <c r="J164" s="215"/>
      <c r="K164" s="215"/>
      <c r="L164" s="215"/>
      <c r="M164" s="215"/>
      <c r="N164" s="215"/>
      <c r="O164" s="215"/>
      <c r="P164" s="215"/>
      <c r="Q164" s="205"/>
      <c r="R164" s="215"/>
      <c r="S164" s="215"/>
      <c r="T164" s="215"/>
      <c r="U164" s="215"/>
      <c r="V164" s="215"/>
      <c r="W164" s="215"/>
      <c r="X164" s="215"/>
      <c r="Y164" s="215"/>
      <c r="Z164" s="215"/>
    </row>
    <row r="165" spans="1:26" ht="15.75" customHeight="1" x14ac:dyDescent="0.2">
      <c r="A165" s="205"/>
      <c r="B165" s="336"/>
      <c r="C165" s="215"/>
      <c r="D165" s="215"/>
      <c r="E165" s="215"/>
      <c r="F165" s="215"/>
      <c r="G165" s="215"/>
      <c r="H165" s="215"/>
      <c r="I165" s="215"/>
      <c r="J165" s="215"/>
      <c r="K165" s="215"/>
      <c r="L165" s="215"/>
      <c r="M165" s="215"/>
      <c r="N165" s="215"/>
      <c r="O165" s="215"/>
      <c r="P165" s="215"/>
      <c r="Q165" s="205"/>
      <c r="R165" s="215"/>
      <c r="S165" s="215"/>
      <c r="T165" s="215"/>
      <c r="U165" s="215"/>
      <c r="V165" s="215"/>
      <c r="W165" s="215"/>
      <c r="X165" s="215"/>
      <c r="Y165" s="215"/>
      <c r="Z165" s="215"/>
    </row>
    <row r="166" spans="1:26" ht="15.75" customHeight="1" x14ac:dyDescent="0.2">
      <c r="A166" s="205"/>
      <c r="B166" s="336"/>
      <c r="C166" s="215"/>
      <c r="D166" s="215"/>
      <c r="E166" s="215"/>
      <c r="F166" s="215"/>
      <c r="G166" s="215"/>
      <c r="H166" s="215"/>
      <c r="I166" s="215"/>
      <c r="J166" s="215"/>
      <c r="K166" s="215"/>
      <c r="L166" s="215"/>
      <c r="M166" s="215"/>
      <c r="N166" s="215"/>
      <c r="O166" s="215"/>
      <c r="P166" s="215"/>
      <c r="Q166" s="205"/>
      <c r="R166" s="215"/>
      <c r="S166" s="215"/>
      <c r="T166" s="215"/>
      <c r="U166" s="215"/>
      <c r="V166" s="215"/>
      <c r="W166" s="215"/>
      <c r="X166" s="215"/>
      <c r="Y166" s="215"/>
      <c r="Z166" s="215"/>
    </row>
    <row r="167" spans="1:26" ht="15.75" customHeight="1" x14ac:dyDescent="0.2">
      <c r="A167" s="205"/>
      <c r="B167" s="336"/>
      <c r="C167" s="215"/>
      <c r="D167" s="215"/>
      <c r="E167" s="215"/>
      <c r="F167" s="215"/>
      <c r="G167" s="215"/>
      <c r="H167" s="215"/>
      <c r="I167" s="215"/>
      <c r="J167" s="215"/>
      <c r="K167" s="215"/>
      <c r="L167" s="215"/>
      <c r="M167" s="215"/>
      <c r="N167" s="215"/>
      <c r="O167" s="215"/>
      <c r="P167" s="215"/>
      <c r="Q167" s="205"/>
      <c r="R167" s="215"/>
      <c r="S167" s="215"/>
      <c r="T167" s="215"/>
      <c r="U167" s="215"/>
      <c r="V167" s="215"/>
      <c r="W167" s="215"/>
      <c r="X167" s="215"/>
      <c r="Y167" s="215"/>
      <c r="Z167" s="215"/>
    </row>
    <row r="168" spans="1:26" ht="15.75" customHeight="1" x14ac:dyDescent="0.2">
      <c r="A168" s="205"/>
      <c r="B168" s="336"/>
      <c r="C168" s="215"/>
      <c r="D168" s="215"/>
      <c r="E168" s="215"/>
      <c r="F168" s="215"/>
      <c r="G168" s="215"/>
      <c r="H168" s="215"/>
      <c r="I168" s="215"/>
      <c r="J168" s="215"/>
      <c r="K168" s="215"/>
      <c r="L168" s="215"/>
      <c r="M168" s="215"/>
      <c r="N168" s="215"/>
      <c r="O168" s="215"/>
      <c r="P168" s="215"/>
      <c r="Q168" s="205"/>
      <c r="R168" s="215"/>
      <c r="S168" s="215"/>
      <c r="T168" s="215"/>
      <c r="U168" s="215"/>
      <c r="V168" s="215"/>
      <c r="W168" s="215"/>
      <c r="X168" s="215"/>
      <c r="Y168" s="215"/>
      <c r="Z168" s="215"/>
    </row>
    <row r="169" spans="1:26" ht="15.75" customHeight="1" x14ac:dyDescent="0.2">
      <c r="A169" s="205"/>
      <c r="B169" s="336"/>
      <c r="C169" s="215"/>
      <c r="D169" s="215"/>
      <c r="E169" s="215"/>
      <c r="F169" s="215"/>
      <c r="G169" s="215"/>
      <c r="H169" s="215"/>
      <c r="I169" s="215"/>
      <c r="J169" s="215"/>
      <c r="K169" s="215"/>
      <c r="L169" s="215"/>
      <c r="M169" s="215"/>
      <c r="N169" s="215"/>
      <c r="O169" s="215"/>
      <c r="P169" s="215"/>
      <c r="Q169" s="205"/>
      <c r="R169" s="215"/>
      <c r="S169" s="215"/>
      <c r="T169" s="215"/>
      <c r="U169" s="215"/>
      <c r="V169" s="215"/>
      <c r="W169" s="215"/>
      <c r="X169" s="215"/>
      <c r="Y169" s="215"/>
      <c r="Z169" s="215"/>
    </row>
    <row r="170" spans="1:26" ht="15.75" customHeight="1" x14ac:dyDescent="0.2">
      <c r="A170" s="205"/>
      <c r="B170" s="336"/>
      <c r="C170" s="215"/>
      <c r="D170" s="215"/>
      <c r="E170" s="215"/>
      <c r="F170" s="215"/>
      <c r="G170" s="215"/>
      <c r="H170" s="215"/>
      <c r="I170" s="215"/>
      <c r="J170" s="215"/>
      <c r="K170" s="215"/>
      <c r="L170" s="215"/>
      <c r="M170" s="215"/>
      <c r="N170" s="215"/>
      <c r="O170" s="215"/>
      <c r="P170" s="215"/>
      <c r="Q170" s="205"/>
      <c r="R170" s="215"/>
      <c r="S170" s="215"/>
      <c r="T170" s="215"/>
      <c r="U170" s="215"/>
      <c r="V170" s="215"/>
      <c r="W170" s="215"/>
      <c r="X170" s="215"/>
      <c r="Y170" s="215"/>
      <c r="Z170" s="215"/>
    </row>
    <row r="171" spans="1:26" ht="15.75" customHeight="1" x14ac:dyDescent="0.2">
      <c r="A171" s="205"/>
      <c r="B171" s="336"/>
      <c r="C171" s="215"/>
      <c r="D171" s="215"/>
      <c r="E171" s="215"/>
      <c r="F171" s="215"/>
      <c r="G171" s="215"/>
      <c r="H171" s="215"/>
      <c r="I171" s="215"/>
      <c r="J171" s="215"/>
      <c r="K171" s="215"/>
      <c r="L171" s="215"/>
      <c r="M171" s="215"/>
      <c r="N171" s="215"/>
      <c r="O171" s="215"/>
      <c r="P171" s="215"/>
      <c r="Q171" s="205"/>
      <c r="R171" s="215"/>
      <c r="S171" s="215"/>
      <c r="T171" s="215"/>
      <c r="U171" s="215"/>
      <c r="V171" s="215"/>
      <c r="W171" s="215"/>
      <c r="X171" s="215"/>
      <c r="Y171" s="215"/>
      <c r="Z171" s="215"/>
    </row>
    <row r="172" spans="1:26" ht="15.75" customHeight="1" x14ac:dyDescent="0.2">
      <c r="A172" s="205"/>
      <c r="B172" s="336"/>
      <c r="C172" s="215"/>
      <c r="D172" s="215"/>
      <c r="E172" s="215"/>
      <c r="F172" s="215"/>
      <c r="G172" s="215"/>
      <c r="H172" s="215"/>
      <c r="I172" s="215"/>
      <c r="J172" s="215"/>
      <c r="K172" s="215"/>
      <c r="L172" s="215"/>
      <c r="M172" s="215"/>
      <c r="N172" s="215"/>
      <c r="O172" s="215"/>
      <c r="P172" s="215"/>
      <c r="Q172" s="205"/>
      <c r="R172" s="215"/>
      <c r="S172" s="215"/>
      <c r="T172" s="215"/>
      <c r="U172" s="215"/>
      <c r="V172" s="215"/>
      <c r="W172" s="215"/>
      <c r="X172" s="215"/>
      <c r="Y172" s="215"/>
      <c r="Z172" s="215"/>
    </row>
    <row r="173" spans="1:26" ht="15.75" customHeight="1" x14ac:dyDescent="0.2">
      <c r="A173" s="205"/>
      <c r="B173" s="336"/>
      <c r="C173" s="215"/>
      <c r="D173" s="215"/>
      <c r="E173" s="215"/>
      <c r="F173" s="215"/>
      <c r="G173" s="215"/>
      <c r="H173" s="215"/>
      <c r="I173" s="215"/>
      <c r="J173" s="215"/>
      <c r="K173" s="215"/>
      <c r="L173" s="215"/>
      <c r="M173" s="215"/>
      <c r="N173" s="215"/>
      <c r="O173" s="215"/>
      <c r="P173" s="215"/>
      <c r="Q173" s="205"/>
      <c r="R173" s="215"/>
      <c r="S173" s="215"/>
      <c r="T173" s="215"/>
      <c r="U173" s="215"/>
      <c r="V173" s="215"/>
      <c r="W173" s="215"/>
      <c r="X173" s="215"/>
      <c r="Y173" s="215"/>
      <c r="Z173" s="215"/>
    </row>
    <row r="174" spans="1:26" ht="15.75" customHeight="1" x14ac:dyDescent="0.2">
      <c r="A174" s="205"/>
      <c r="B174" s="336"/>
      <c r="C174" s="215"/>
      <c r="D174" s="215"/>
      <c r="E174" s="215"/>
      <c r="F174" s="215"/>
      <c r="G174" s="215"/>
      <c r="H174" s="215"/>
      <c r="I174" s="215"/>
      <c r="J174" s="215"/>
      <c r="K174" s="215"/>
      <c r="L174" s="215"/>
      <c r="M174" s="215"/>
      <c r="N174" s="215"/>
      <c r="O174" s="215"/>
      <c r="P174" s="215"/>
      <c r="Q174" s="205"/>
      <c r="R174" s="215"/>
      <c r="S174" s="215"/>
      <c r="T174" s="215"/>
      <c r="U174" s="215"/>
      <c r="V174" s="215"/>
      <c r="W174" s="215"/>
      <c r="X174" s="215"/>
      <c r="Y174" s="215"/>
      <c r="Z174" s="215"/>
    </row>
    <row r="175" spans="1:26" ht="15.75" customHeight="1" x14ac:dyDescent="0.2">
      <c r="A175" s="205"/>
      <c r="B175" s="336"/>
      <c r="C175" s="215"/>
      <c r="D175" s="215"/>
      <c r="E175" s="215"/>
      <c r="F175" s="215"/>
      <c r="G175" s="215"/>
      <c r="H175" s="215"/>
      <c r="I175" s="215"/>
      <c r="J175" s="215"/>
      <c r="K175" s="215"/>
      <c r="L175" s="215"/>
      <c r="M175" s="215"/>
      <c r="N175" s="215"/>
      <c r="O175" s="215"/>
      <c r="P175" s="215"/>
      <c r="Q175" s="205"/>
      <c r="R175" s="215"/>
      <c r="S175" s="215"/>
      <c r="T175" s="215"/>
      <c r="U175" s="215"/>
      <c r="V175" s="215"/>
      <c r="W175" s="215"/>
      <c r="X175" s="215"/>
      <c r="Y175" s="215"/>
      <c r="Z175" s="215"/>
    </row>
    <row r="176" spans="1:26" ht="15.75" customHeight="1" x14ac:dyDescent="0.2">
      <c r="A176" s="205"/>
      <c r="B176" s="336"/>
      <c r="C176" s="215"/>
      <c r="D176" s="215"/>
      <c r="E176" s="215"/>
      <c r="F176" s="215"/>
      <c r="G176" s="215"/>
      <c r="H176" s="215"/>
      <c r="I176" s="215"/>
      <c r="J176" s="215"/>
      <c r="K176" s="215"/>
      <c r="L176" s="215"/>
      <c r="M176" s="215"/>
      <c r="N176" s="215"/>
      <c r="O176" s="215"/>
      <c r="P176" s="215"/>
      <c r="Q176" s="205"/>
      <c r="R176" s="215"/>
      <c r="S176" s="215"/>
      <c r="T176" s="215"/>
      <c r="U176" s="215"/>
      <c r="V176" s="215"/>
      <c r="W176" s="215"/>
      <c r="X176" s="215"/>
      <c r="Y176" s="215"/>
      <c r="Z176" s="215"/>
    </row>
    <row r="177" spans="1:26" ht="15.75" customHeight="1" x14ac:dyDescent="0.2">
      <c r="A177" s="205"/>
      <c r="B177" s="336"/>
      <c r="C177" s="215"/>
      <c r="D177" s="215"/>
      <c r="E177" s="215"/>
      <c r="F177" s="215"/>
      <c r="G177" s="215"/>
      <c r="H177" s="215"/>
      <c r="I177" s="215"/>
      <c r="J177" s="215"/>
      <c r="K177" s="215"/>
      <c r="L177" s="215"/>
      <c r="M177" s="215"/>
      <c r="N177" s="215"/>
      <c r="O177" s="215"/>
      <c r="P177" s="215"/>
      <c r="Q177" s="205"/>
      <c r="R177" s="215"/>
      <c r="S177" s="215"/>
      <c r="T177" s="215"/>
      <c r="U177" s="215"/>
      <c r="V177" s="215"/>
      <c r="W177" s="215"/>
      <c r="X177" s="215"/>
      <c r="Y177" s="215"/>
      <c r="Z177" s="215"/>
    </row>
    <row r="178" spans="1:26" ht="15.75" customHeight="1" x14ac:dyDescent="0.2">
      <c r="A178" s="205"/>
      <c r="B178" s="336"/>
      <c r="C178" s="215"/>
      <c r="D178" s="215"/>
      <c r="E178" s="215"/>
      <c r="F178" s="215"/>
      <c r="G178" s="215"/>
      <c r="H178" s="215"/>
      <c r="I178" s="215"/>
      <c r="J178" s="215"/>
      <c r="K178" s="215"/>
      <c r="L178" s="215"/>
      <c r="M178" s="215"/>
      <c r="N178" s="215"/>
      <c r="O178" s="215"/>
      <c r="P178" s="215"/>
      <c r="Q178" s="205"/>
      <c r="R178" s="215"/>
      <c r="S178" s="215"/>
      <c r="T178" s="215"/>
      <c r="U178" s="215"/>
      <c r="V178" s="215"/>
      <c r="W178" s="215"/>
      <c r="X178" s="215"/>
      <c r="Y178" s="215"/>
      <c r="Z178" s="215"/>
    </row>
    <row r="179" spans="1:26" ht="15.75" customHeight="1" x14ac:dyDescent="0.2">
      <c r="A179" s="205"/>
      <c r="B179" s="336"/>
      <c r="C179" s="215"/>
      <c r="D179" s="215"/>
      <c r="E179" s="215"/>
      <c r="F179" s="215"/>
      <c r="G179" s="215"/>
      <c r="H179" s="215"/>
      <c r="I179" s="215"/>
      <c r="J179" s="215"/>
      <c r="K179" s="215"/>
      <c r="L179" s="215"/>
      <c r="M179" s="215"/>
      <c r="N179" s="215"/>
      <c r="O179" s="215"/>
      <c r="P179" s="215"/>
      <c r="Q179" s="205"/>
      <c r="R179" s="215"/>
      <c r="S179" s="215"/>
      <c r="T179" s="215"/>
      <c r="U179" s="215"/>
      <c r="V179" s="215"/>
      <c r="W179" s="215"/>
      <c r="X179" s="215"/>
      <c r="Y179" s="215"/>
      <c r="Z179" s="215"/>
    </row>
    <row r="180" spans="1:26" ht="15.75" customHeight="1" x14ac:dyDescent="0.2">
      <c r="A180" s="205"/>
      <c r="B180" s="336"/>
      <c r="C180" s="215"/>
      <c r="D180" s="215"/>
      <c r="E180" s="215"/>
      <c r="F180" s="215"/>
      <c r="G180" s="215"/>
      <c r="H180" s="215"/>
      <c r="I180" s="215"/>
      <c r="J180" s="215"/>
      <c r="K180" s="215"/>
      <c r="L180" s="215"/>
      <c r="M180" s="215"/>
      <c r="N180" s="215"/>
      <c r="O180" s="215"/>
      <c r="P180" s="215"/>
      <c r="Q180" s="205"/>
      <c r="R180" s="215"/>
      <c r="S180" s="215"/>
      <c r="T180" s="215"/>
      <c r="U180" s="215"/>
      <c r="V180" s="215"/>
      <c r="W180" s="215"/>
      <c r="X180" s="215"/>
      <c r="Y180" s="215"/>
      <c r="Z180" s="215"/>
    </row>
    <row r="181" spans="1:26" ht="15.75" customHeight="1" x14ac:dyDescent="0.2">
      <c r="A181" s="205"/>
      <c r="B181" s="336"/>
      <c r="C181" s="215"/>
      <c r="D181" s="215"/>
      <c r="E181" s="215"/>
      <c r="F181" s="215"/>
      <c r="G181" s="215"/>
      <c r="H181" s="215"/>
      <c r="I181" s="215"/>
      <c r="J181" s="215"/>
      <c r="K181" s="215"/>
      <c r="L181" s="215"/>
      <c r="M181" s="215"/>
      <c r="N181" s="215"/>
      <c r="O181" s="215"/>
      <c r="P181" s="215"/>
      <c r="Q181" s="205"/>
      <c r="R181" s="215"/>
      <c r="S181" s="215"/>
      <c r="T181" s="215"/>
      <c r="U181" s="215"/>
      <c r="V181" s="215"/>
      <c r="W181" s="215"/>
      <c r="X181" s="215"/>
      <c r="Y181" s="215"/>
      <c r="Z181" s="215"/>
    </row>
    <row r="182" spans="1:26" ht="15.75" customHeight="1" x14ac:dyDescent="0.2">
      <c r="A182" s="205"/>
      <c r="B182" s="336"/>
      <c r="C182" s="215"/>
      <c r="D182" s="215"/>
      <c r="E182" s="215"/>
      <c r="F182" s="215"/>
      <c r="G182" s="215"/>
      <c r="H182" s="215"/>
      <c r="I182" s="215"/>
      <c r="J182" s="215"/>
      <c r="K182" s="215"/>
      <c r="L182" s="215"/>
      <c r="M182" s="215"/>
      <c r="N182" s="215"/>
      <c r="O182" s="215"/>
      <c r="P182" s="215"/>
      <c r="Q182" s="205"/>
      <c r="R182" s="215"/>
      <c r="S182" s="215"/>
      <c r="T182" s="215"/>
      <c r="U182" s="215"/>
      <c r="V182" s="215"/>
      <c r="W182" s="215"/>
      <c r="X182" s="215"/>
      <c r="Y182" s="215"/>
      <c r="Z182" s="215"/>
    </row>
    <row r="183" spans="1:26" ht="15.75" customHeight="1" x14ac:dyDescent="0.2">
      <c r="A183" s="205"/>
      <c r="B183" s="336"/>
      <c r="C183" s="215"/>
      <c r="D183" s="215"/>
      <c r="E183" s="215"/>
      <c r="F183" s="215"/>
      <c r="G183" s="215"/>
      <c r="H183" s="215"/>
      <c r="I183" s="215"/>
      <c r="J183" s="215"/>
      <c r="K183" s="215"/>
      <c r="L183" s="215"/>
      <c r="M183" s="215"/>
      <c r="N183" s="215"/>
      <c r="O183" s="215"/>
      <c r="P183" s="215"/>
      <c r="Q183" s="205"/>
      <c r="R183" s="215"/>
      <c r="S183" s="215"/>
      <c r="T183" s="215"/>
      <c r="U183" s="215"/>
      <c r="V183" s="215"/>
      <c r="W183" s="215"/>
      <c r="X183" s="215"/>
      <c r="Y183" s="215"/>
      <c r="Z183" s="215"/>
    </row>
    <row r="184" spans="1:26" ht="15.75" customHeight="1" x14ac:dyDescent="0.2">
      <c r="A184" s="205"/>
      <c r="B184" s="336"/>
      <c r="C184" s="215"/>
      <c r="D184" s="215"/>
      <c r="E184" s="215"/>
      <c r="F184" s="215"/>
      <c r="G184" s="215"/>
      <c r="H184" s="215"/>
      <c r="I184" s="215"/>
      <c r="J184" s="215"/>
      <c r="K184" s="215"/>
      <c r="L184" s="215"/>
      <c r="M184" s="215"/>
      <c r="N184" s="215"/>
      <c r="O184" s="215"/>
      <c r="P184" s="215"/>
      <c r="Q184" s="205"/>
      <c r="R184" s="215"/>
      <c r="S184" s="215"/>
      <c r="T184" s="215"/>
      <c r="U184" s="215"/>
      <c r="V184" s="215"/>
      <c r="W184" s="215"/>
      <c r="X184" s="215"/>
      <c r="Y184" s="215"/>
      <c r="Z184" s="215"/>
    </row>
    <row r="185" spans="1:26" ht="15.75" customHeight="1" x14ac:dyDescent="0.2">
      <c r="A185" s="205"/>
      <c r="B185" s="336"/>
      <c r="C185" s="215"/>
      <c r="D185" s="215"/>
      <c r="E185" s="215"/>
      <c r="F185" s="215"/>
      <c r="G185" s="215"/>
      <c r="H185" s="215"/>
      <c r="I185" s="215"/>
      <c r="J185" s="215"/>
      <c r="K185" s="215"/>
      <c r="L185" s="215"/>
      <c r="M185" s="215"/>
      <c r="N185" s="215"/>
      <c r="O185" s="215"/>
      <c r="P185" s="215"/>
      <c r="Q185" s="205"/>
      <c r="R185" s="215"/>
      <c r="S185" s="215"/>
      <c r="T185" s="215"/>
      <c r="U185" s="215"/>
      <c r="V185" s="215"/>
      <c r="W185" s="215"/>
      <c r="X185" s="215"/>
      <c r="Y185" s="215"/>
      <c r="Z185" s="215"/>
    </row>
    <row r="186" spans="1:26" ht="15.75" customHeight="1" x14ac:dyDescent="0.2">
      <c r="A186" s="205"/>
      <c r="B186" s="336"/>
      <c r="C186" s="215"/>
      <c r="D186" s="215"/>
      <c r="E186" s="215"/>
      <c r="F186" s="215"/>
      <c r="G186" s="215"/>
      <c r="H186" s="215"/>
      <c r="I186" s="215"/>
      <c r="J186" s="215"/>
      <c r="K186" s="215"/>
      <c r="L186" s="215"/>
      <c r="M186" s="215"/>
      <c r="N186" s="215"/>
      <c r="O186" s="215"/>
      <c r="P186" s="215"/>
      <c r="Q186" s="205"/>
      <c r="R186" s="215"/>
      <c r="S186" s="215"/>
      <c r="T186" s="215"/>
      <c r="U186" s="215"/>
      <c r="V186" s="215"/>
      <c r="W186" s="215"/>
      <c r="X186" s="215"/>
      <c r="Y186" s="215"/>
      <c r="Z186" s="215"/>
    </row>
    <row r="187" spans="1:26" ht="15.75" customHeight="1" x14ac:dyDescent="0.2">
      <c r="A187" s="205"/>
      <c r="B187" s="336"/>
      <c r="C187" s="215"/>
      <c r="D187" s="215"/>
      <c r="E187" s="215"/>
      <c r="F187" s="215"/>
      <c r="G187" s="215"/>
      <c r="H187" s="215"/>
      <c r="I187" s="215"/>
      <c r="J187" s="215"/>
      <c r="K187" s="215"/>
      <c r="L187" s="215"/>
      <c r="M187" s="215"/>
      <c r="N187" s="215"/>
      <c r="O187" s="215"/>
      <c r="P187" s="215"/>
      <c r="Q187" s="205"/>
      <c r="R187" s="215"/>
      <c r="S187" s="215"/>
      <c r="T187" s="215"/>
      <c r="U187" s="215"/>
      <c r="V187" s="215"/>
      <c r="W187" s="215"/>
      <c r="X187" s="215"/>
      <c r="Y187" s="215"/>
      <c r="Z187" s="215"/>
    </row>
    <row r="188" spans="1:26" ht="15.75" customHeight="1" x14ac:dyDescent="0.2">
      <c r="A188" s="205"/>
      <c r="B188" s="336"/>
      <c r="C188" s="215"/>
      <c r="D188" s="215"/>
      <c r="E188" s="215"/>
      <c r="F188" s="215"/>
      <c r="G188" s="215"/>
      <c r="H188" s="215"/>
      <c r="I188" s="215"/>
      <c r="J188" s="215"/>
      <c r="K188" s="215"/>
      <c r="L188" s="215"/>
      <c r="M188" s="215"/>
      <c r="N188" s="215"/>
      <c r="O188" s="215"/>
      <c r="P188" s="215"/>
      <c r="Q188" s="205"/>
      <c r="R188" s="215"/>
      <c r="S188" s="215"/>
      <c r="T188" s="215"/>
      <c r="U188" s="215"/>
      <c r="V188" s="215"/>
      <c r="W188" s="215"/>
      <c r="X188" s="215"/>
      <c r="Y188" s="215"/>
      <c r="Z188" s="215"/>
    </row>
    <row r="189" spans="1:26" ht="15.75" customHeight="1" x14ac:dyDescent="0.2">
      <c r="A189" s="205"/>
      <c r="B189" s="336"/>
      <c r="C189" s="215"/>
      <c r="D189" s="215"/>
      <c r="E189" s="215"/>
      <c r="F189" s="215"/>
      <c r="G189" s="215"/>
      <c r="H189" s="215"/>
      <c r="I189" s="215"/>
      <c r="J189" s="215"/>
      <c r="K189" s="215"/>
      <c r="L189" s="215"/>
      <c r="M189" s="215"/>
      <c r="N189" s="215"/>
      <c r="O189" s="215"/>
      <c r="P189" s="215"/>
      <c r="Q189" s="205"/>
      <c r="R189" s="215"/>
      <c r="S189" s="215"/>
      <c r="T189" s="215"/>
      <c r="U189" s="215"/>
      <c r="V189" s="215"/>
      <c r="W189" s="215"/>
      <c r="X189" s="215"/>
      <c r="Y189" s="215"/>
      <c r="Z189" s="215"/>
    </row>
    <row r="190" spans="1:26" ht="15.75" customHeight="1" x14ac:dyDescent="0.2">
      <c r="A190" s="205"/>
      <c r="B190" s="336"/>
      <c r="C190" s="215"/>
      <c r="D190" s="215"/>
      <c r="E190" s="215"/>
      <c r="F190" s="215"/>
      <c r="G190" s="215"/>
      <c r="H190" s="215"/>
      <c r="I190" s="215"/>
      <c r="J190" s="215"/>
      <c r="K190" s="215"/>
      <c r="L190" s="215"/>
      <c r="M190" s="215"/>
      <c r="N190" s="215"/>
      <c r="O190" s="215"/>
      <c r="P190" s="215"/>
      <c r="Q190" s="205"/>
      <c r="R190" s="215"/>
      <c r="S190" s="215"/>
      <c r="T190" s="215"/>
      <c r="U190" s="215"/>
      <c r="V190" s="215"/>
      <c r="W190" s="215"/>
      <c r="X190" s="215"/>
      <c r="Y190" s="215"/>
      <c r="Z190" s="215"/>
    </row>
    <row r="191" spans="1:26" ht="15.75" customHeight="1" x14ac:dyDescent="0.2">
      <c r="A191" s="205"/>
      <c r="B191" s="336"/>
      <c r="C191" s="215"/>
      <c r="D191" s="215"/>
      <c r="E191" s="215"/>
      <c r="F191" s="215"/>
      <c r="G191" s="215"/>
      <c r="H191" s="215"/>
      <c r="I191" s="215"/>
      <c r="J191" s="215"/>
      <c r="K191" s="215"/>
      <c r="L191" s="215"/>
      <c r="M191" s="215"/>
      <c r="N191" s="215"/>
      <c r="O191" s="215"/>
      <c r="P191" s="215"/>
      <c r="Q191" s="205"/>
      <c r="R191" s="215"/>
      <c r="S191" s="215"/>
      <c r="T191" s="215"/>
      <c r="U191" s="215"/>
      <c r="V191" s="215"/>
      <c r="W191" s="215"/>
      <c r="X191" s="215"/>
      <c r="Y191" s="215"/>
      <c r="Z191" s="215"/>
    </row>
    <row r="192" spans="1:26" ht="15.75" customHeight="1" x14ac:dyDescent="0.2">
      <c r="A192" s="205"/>
      <c r="B192" s="336"/>
      <c r="C192" s="215"/>
      <c r="D192" s="215"/>
      <c r="E192" s="215"/>
      <c r="F192" s="215"/>
      <c r="G192" s="215"/>
      <c r="H192" s="215"/>
      <c r="I192" s="215"/>
      <c r="J192" s="215"/>
      <c r="K192" s="215"/>
      <c r="L192" s="215"/>
      <c r="M192" s="215"/>
      <c r="N192" s="215"/>
      <c r="O192" s="215"/>
      <c r="P192" s="215"/>
      <c r="Q192" s="205"/>
      <c r="R192" s="215"/>
      <c r="S192" s="215"/>
      <c r="T192" s="215"/>
      <c r="U192" s="215"/>
      <c r="V192" s="215"/>
      <c r="W192" s="215"/>
      <c r="X192" s="215"/>
      <c r="Y192" s="215"/>
      <c r="Z192" s="215"/>
    </row>
    <row r="193" spans="1:26" ht="15.75" customHeight="1" x14ac:dyDescent="0.2">
      <c r="A193" s="205"/>
      <c r="B193" s="336"/>
      <c r="C193" s="215"/>
      <c r="D193" s="215"/>
      <c r="E193" s="215"/>
      <c r="F193" s="215"/>
      <c r="G193" s="215"/>
      <c r="H193" s="215"/>
      <c r="I193" s="215"/>
      <c r="J193" s="215"/>
      <c r="K193" s="215"/>
      <c r="L193" s="215"/>
      <c r="M193" s="215"/>
      <c r="N193" s="215"/>
      <c r="O193" s="215"/>
      <c r="P193" s="215"/>
      <c r="Q193" s="205"/>
      <c r="R193" s="215"/>
      <c r="S193" s="215"/>
      <c r="T193" s="215"/>
      <c r="U193" s="215"/>
      <c r="V193" s="215"/>
      <c r="W193" s="215"/>
      <c r="X193" s="215"/>
      <c r="Y193" s="215"/>
      <c r="Z193" s="215"/>
    </row>
    <row r="194" spans="1:26" ht="15.75" customHeight="1" x14ac:dyDescent="0.2">
      <c r="A194" s="205"/>
      <c r="B194" s="336"/>
      <c r="C194" s="215"/>
      <c r="D194" s="215"/>
      <c r="E194" s="215"/>
      <c r="F194" s="215"/>
      <c r="G194" s="215"/>
      <c r="H194" s="215"/>
      <c r="I194" s="215"/>
      <c r="J194" s="215"/>
      <c r="K194" s="215"/>
      <c r="L194" s="215"/>
      <c r="M194" s="215"/>
      <c r="N194" s="215"/>
      <c r="O194" s="215"/>
      <c r="P194" s="215"/>
      <c r="Q194" s="205"/>
      <c r="R194" s="215"/>
      <c r="S194" s="215"/>
      <c r="T194" s="215"/>
      <c r="U194" s="215"/>
      <c r="V194" s="215"/>
      <c r="W194" s="215"/>
      <c r="X194" s="215"/>
      <c r="Y194" s="215"/>
      <c r="Z194" s="215"/>
    </row>
    <row r="195" spans="1:26" ht="15.75" customHeight="1" x14ac:dyDescent="0.2">
      <c r="A195" s="205"/>
      <c r="B195" s="336"/>
      <c r="C195" s="215"/>
      <c r="D195" s="215"/>
      <c r="E195" s="215"/>
      <c r="F195" s="215"/>
      <c r="G195" s="215"/>
      <c r="H195" s="215"/>
      <c r="I195" s="215"/>
      <c r="J195" s="215"/>
      <c r="K195" s="215"/>
      <c r="L195" s="215"/>
      <c r="M195" s="215"/>
      <c r="N195" s="215"/>
      <c r="O195" s="215"/>
      <c r="P195" s="215"/>
      <c r="Q195" s="205"/>
      <c r="R195" s="215"/>
      <c r="S195" s="215"/>
      <c r="T195" s="215"/>
      <c r="U195" s="215"/>
      <c r="V195" s="215"/>
      <c r="W195" s="215"/>
      <c r="X195" s="215"/>
      <c r="Y195" s="215"/>
      <c r="Z195" s="215"/>
    </row>
    <row r="196" spans="1:26" ht="15.75" customHeight="1" x14ac:dyDescent="0.2">
      <c r="A196" s="205"/>
      <c r="B196" s="336"/>
      <c r="C196" s="215"/>
      <c r="D196" s="215"/>
      <c r="E196" s="215"/>
      <c r="F196" s="215"/>
      <c r="G196" s="215"/>
      <c r="H196" s="215"/>
      <c r="I196" s="215"/>
      <c r="J196" s="215"/>
      <c r="K196" s="215"/>
      <c r="L196" s="215"/>
      <c r="M196" s="215"/>
      <c r="N196" s="215"/>
      <c r="O196" s="215"/>
      <c r="P196" s="215"/>
      <c r="Q196" s="205"/>
      <c r="R196" s="215"/>
      <c r="S196" s="215"/>
      <c r="T196" s="215"/>
      <c r="U196" s="215"/>
      <c r="V196" s="215"/>
      <c r="W196" s="215"/>
      <c r="X196" s="215"/>
      <c r="Y196" s="215"/>
      <c r="Z196" s="215"/>
    </row>
    <row r="197" spans="1:26" ht="15.75" customHeight="1" x14ac:dyDescent="0.2">
      <c r="A197" s="205"/>
      <c r="B197" s="336"/>
      <c r="C197" s="215"/>
      <c r="D197" s="215"/>
      <c r="E197" s="215"/>
      <c r="F197" s="215"/>
      <c r="G197" s="215"/>
      <c r="H197" s="215"/>
      <c r="I197" s="215"/>
      <c r="J197" s="215"/>
      <c r="K197" s="215"/>
      <c r="L197" s="215"/>
      <c r="M197" s="215"/>
      <c r="N197" s="215"/>
      <c r="O197" s="215"/>
      <c r="P197" s="215"/>
      <c r="Q197" s="205"/>
      <c r="R197" s="215"/>
      <c r="S197" s="215"/>
      <c r="T197" s="215"/>
      <c r="U197" s="215"/>
      <c r="V197" s="215"/>
      <c r="W197" s="215"/>
      <c r="X197" s="215"/>
      <c r="Y197" s="215"/>
      <c r="Z197" s="215"/>
    </row>
    <row r="198" spans="1:26" ht="15.75" customHeight="1" x14ac:dyDescent="0.2">
      <c r="A198" s="205"/>
      <c r="B198" s="336"/>
      <c r="C198" s="215"/>
      <c r="D198" s="215"/>
      <c r="E198" s="215"/>
      <c r="F198" s="215"/>
      <c r="G198" s="215"/>
      <c r="H198" s="215"/>
      <c r="I198" s="215"/>
      <c r="J198" s="215"/>
      <c r="K198" s="215"/>
      <c r="L198" s="215"/>
      <c r="M198" s="215"/>
      <c r="N198" s="215"/>
      <c r="O198" s="215"/>
      <c r="P198" s="215"/>
      <c r="Q198" s="205"/>
      <c r="R198" s="215"/>
      <c r="S198" s="215"/>
      <c r="T198" s="215"/>
      <c r="U198" s="215"/>
      <c r="V198" s="215"/>
      <c r="W198" s="215"/>
      <c r="X198" s="215"/>
      <c r="Y198" s="215"/>
      <c r="Z198" s="215"/>
    </row>
    <row r="199" spans="1:26" ht="15.75" customHeight="1" x14ac:dyDescent="0.2">
      <c r="A199" s="205"/>
      <c r="B199" s="336"/>
      <c r="C199" s="215"/>
      <c r="D199" s="215"/>
      <c r="E199" s="215"/>
      <c r="F199" s="215"/>
      <c r="G199" s="215"/>
      <c r="H199" s="215"/>
      <c r="I199" s="215"/>
      <c r="J199" s="215"/>
      <c r="K199" s="215"/>
      <c r="L199" s="215"/>
      <c r="M199" s="215"/>
      <c r="N199" s="215"/>
      <c r="O199" s="215"/>
      <c r="P199" s="215"/>
      <c r="Q199" s="205"/>
      <c r="R199" s="215"/>
      <c r="S199" s="215"/>
      <c r="T199" s="215"/>
      <c r="U199" s="215"/>
      <c r="V199" s="215"/>
      <c r="W199" s="215"/>
      <c r="X199" s="215"/>
      <c r="Y199" s="215"/>
      <c r="Z199" s="215"/>
    </row>
    <row r="200" spans="1:26" ht="15.75" customHeight="1" x14ac:dyDescent="0.2">
      <c r="A200" s="205"/>
      <c r="B200" s="336"/>
      <c r="C200" s="215"/>
      <c r="D200" s="215"/>
      <c r="E200" s="215"/>
      <c r="F200" s="215"/>
      <c r="G200" s="215"/>
      <c r="H200" s="215"/>
      <c r="I200" s="215"/>
      <c r="J200" s="215"/>
      <c r="K200" s="215"/>
      <c r="L200" s="215"/>
      <c r="M200" s="215"/>
      <c r="N200" s="215"/>
      <c r="O200" s="215"/>
      <c r="P200" s="215"/>
      <c r="Q200" s="205"/>
      <c r="R200" s="215"/>
      <c r="S200" s="215"/>
      <c r="T200" s="215"/>
      <c r="U200" s="215"/>
      <c r="V200" s="215"/>
      <c r="W200" s="215"/>
      <c r="X200" s="215"/>
      <c r="Y200" s="215"/>
      <c r="Z200" s="215"/>
    </row>
    <row r="201" spans="1:26" ht="15.75" customHeight="1" x14ac:dyDescent="0.2">
      <c r="A201" s="205"/>
      <c r="B201" s="336"/>
      <c r="C201" s="215"/>
      <c r="D201" s="215"/>
      <c r="E201" s="215"/>
      <c r="F201" s="215"/>
      <c r="G201" s="215"/>
      <c r="H201" s="215"/>
      <c r="I201" s="215"/>
      <c r="J201" s="215"/>
      <c r="K201" s="215"/>
      <c r="L201" s="215"/>
      <c r="M201" s="215"/>
      <c r="N201" s="215"/>
      <c r="O201" s="215"/>
      <c r="P201" s="215"/>
      <c r="Q201" s="205"/>
      <c r="R201" s="215"/>
      <c r="S201" s="215"/>
      <c r="T201" s="215"/>
      <c r="U201" s="215"/>
      <c r="V201" s="215"/>
      <c r="W201" s="215"/>
      <c r="X201" s="215"/>
      <c r="Y201" s="215"/>
      <c r="Z201" s="215"/>
    </row>
    <row r="202" spans="1:26" ht="15.75" customHeight="1" x14ac:dyDescent="0.2">
      <c r="A202" s="205"/>
      <c r="B202" s="336"/>
      <c r="C202" s="215"/>
      <c r="D202" s="215"/>
      <c r="E202" s="215"/>
      <c r="F202" s="215"/>
      <c r="G202" s="215"/>
      <c r="H202" s="215"/>
      <c r="I202" s="215"/>
      <c r="J202" s="215"/>
      <c r="K202" s="215"/>
      <c r="L202" s="215"/>
      <c r="M202" s="215"/>
      <c r="N202" s="215"/>
      <c r="O202" s="215"/>
      <c r="P202" s="215"/>
      <c r="Q202" s="205"/>
      <c r="R202" s="215"/>
      <c r="S202" s="215"/>
      <c r="T202" s="215"/>
      <c r="U202" s="215"/>
      <c r="V202" s="215"/>
      <c r="W202" s="215"/>
      <c r="X202" s="215"/>
      <c r="Y202" s="215"/>
      <c r="Z202" s="215"/>
    </row>
    <row r="203" spans="1:26" ht="15.75" customHeight="1" x14ac:dyDescent="0.2">
      <c r="A203" s="205"/>
      <c r="B203" s="336"/>
      <c r="C203" s="215"/>
      <c r="D203" s="215"/>
      <c r="E203" s="215"/>
      <c r="F203" s="215"/>
      <c r="G203" s="215"/>
      <c r="H203" s="215"/>
      <c r="I203" s="215"/>
      <c r="J203" s="215"/>
      <c r="K203" s="215"/>
      <c r="L203" s="215"/>
      <c r="M203" s="215"/>
      <c r="N203" s="215"/>
      <c r="O203" s="215"/>
      <c r="P203" s="215"/>
      <c r="Q203" s="205"/>
      <c r="R203" s="215"/>
      <c r="S203" s="215"/>
      <c r="T203" s="215"/>
      <c r="U203" s="215"/>
      <c r="V203" s="215"/>
      <c r="W203" s="215"/>
      <c r="X203" s="215"/>
      <c r="Y203" s="215"/>
      <c r="Z203" s="215"/>
    </row>
    <row r="204" spans="1:26" ht="15.75" customHeight="1" x14ac:dyDescent="0.2">
      <c r="A204" s="205"/>
      <c r="B204" s="336"/>
      <c r="C204" s="215"/>
      <c r="D204" s="215"/>
      <c r="E204" s="215"/>
      <c r="F204" s="215"/>
      <c r="G204" s="215"/>
      <c r="H204" s="215"/>
      <c r="I204" s="215"/>
      <c r="J204" s="215"/>
      <c r="K204" s="215"/>
      <c r="L204" s="215"/>
      <c r="M204" s="215"/>
      <c r="N204" s="215"/>
      <c r="O204" s="215"/>
      <c r="P204" s="215"/>
      <c r="Q204" s="205"/>
      <c r="R204" s="215"/>
      <c r="S204" s="215"/>
      <c r="T204" s="215"/>
      <c r="U204" s="215"/>
      <c r="V204" s="215"/>
      <c r="W204" s="215"/>
      <c r="X204" s="215"/>
      <c r="Y204" s="215"/>
      <c r="Z204" s="215"/>
    </row>
    <row r="205" spans="1:26" ht="15.75" customHeight="1" x14ac:dyDescent="0.2">
      <c r="A205" s="205"/>
      <c r="B205" s="336"/>
      <c r="C205" s="215"/>
      <c r="D205" s="215"/>
      <c r="E205" s="215"/>
      <c r="F205" s="215"/>
      <c r="G205" s="215"/>
      <c r="H205" s="215"/>
      <c r="I205" s="215"/>
      <c r="J205" s="215"/>
      <c r="K205" s="215"/>
      <c r="L205" s="215"/>
      <c r="M205" s="215"/>
      <c r="N205" s="215"/>
      <c r="O205" s="215"/>
      <c r="P205" s="215"/>
      <c r="Q205" s="205"/>
      <c r="R205" s="215"/>
      <c r="S205" s="215"/>
      <c r="T205" s="215"/>
      <c r="U205" s="215"/>
      <c r="V205" s="215"/>
      <c r="W205" s="215"/>
      <c r="X205" s="215"/>
      <c r="Y205" s="215"/>
      <c r="Z205" s="215"/>
    </row>
    <row r="206" spans="1:26" ht="15.75" customHeight="1" x14ac:dyDescent="0.2">
      <c r="A206" s="205"/>
      <c r="B206" s="336"/>
      <c r="C206" s="215"/>
      <c r="D206" s="215"/>
      <c r="E206" s="215"/>
      <c r="F206" s="215"/>
      <c r="G206" s="215"/>
      <c r="H206" s="215"/>
      <c r="I206" s="215"/>
      <c r="J206" s="215"/>
      <c r="K206" s="215"/>
      <c r="L206" s="215"/>
      <c r="M206" s="215"/>
      <c r="N206" s="215"/>
      <c r="O206" s="215"/>
      <c r="P206" s="215"/>
      <c r="Q206" s="205"/>
      <c r="R206" s="215"/>
      <c r="S206" s="215"/>
      <c r="T206" s="215"/>
      <c r="U206" s="215"/>
      <c r="V206" s="215"/>
      <c r="W206" s="215"/>
      <c r="X206" s="215"/>
      <c r="Y206" s="215"/>
      <c r="Z206" s="215"/>
    </row>
    <row r="207" spans="1:26" ht="15.75" customHeight="1" x14ac:dyDescent="0.2">
      <c r="A207" s="205"/>
      <c r="B207" s="336"/>
      <c r="C207" s="215"/>
      <c r="D207" s="215"/>
      <c r="E207" s="215"/>
      <c r="F207" s="215"/>
      <c r="G207" s="215"/>
      <c r="H207" s="215"/>
      <c r="I207" s="215"/>
      <c r="J207" s="215"/>
      <c r="K207" s="215"/>
      <c r="L207" s="215"/>
      <c r="M207" s="215"/>
      <c r="N207" s="215"/>
      <c r="O207" s="215"/>
      <c r="P207" s="215"/>
      <c r="Q207" s="205"/>
      <c r="R207" s="215"/>
      <c r="S207" s="215"/>
      <c r="T207" s="215"/>
      <c r="U207" s="215"/>
      <c r="V207" s="215"/>
      <c r="W207" s="215"/>
      <c r="X207" s="215"/>
      <c r="Y207" s="215"/>
      <c r="Z207" s="215"/>
    </row>
    <row r="208" spans="1:26" ht="15.75" customHeight="1" x14ac:dyDescent="0.2">
      <c r="A208" s="205"/>
      <c r="B208" s="336"/>
      <c r="C208" s="215"/>
      <c r="D208" s="215"/>
      <c r="E208" s="215"/>
      <c r="F208" s="215"/>
      <c r="G208" s="215"/>
      <c r="H208" s="215"/>
      <c r="I208" s="215"/>
      <c r="J208" s="215"/>
      <c r="K208" s="215"/>
      <c r="L208" s="215"/>
      <c r="M208" s="215"/>
      <c r="N208" s="215"/>
      <c r="O208" s="215"/>
      <c r="P208" s="215"/>
      <c r="Q208" s="205"/>
      <c r="R208" s="215"/>
      <c r="S208" s="215"/>
      <c r="T208" s="215"/>
      <c r="U208" s="215"/>
      <c r="V208" s="215"/>
      <c r="W208" s="215"/>
      <c r="X208" s="215"/>
      <c r="Y208" s="215"/>
      <c r="Z208" s="215"/>
    </row>
    <row r="209" spans="1:26" ht="15.75" customHeight="1" x14ac:dyDescent="0.2">
      <c r="A209" s="205"/>
      <c r="B209" s="336"/>
      <c r="C209" s="215"/>
      <c r="D209" s="215"/>
      <c r="E209" s="215"/>
      <c r="F209" s="215"/>
      <c r="G209" s="215"/>
      <c r="H209" s="215"/>
      <c r="I209" s="215"/>
      <c r="J209" s="215"/>
      <c r="K209" s="215"/>
      <c r="L209" s="215"/>
      <c r="M209" s="215"/>
      <c r="N209" s="215"/>
      <c r="O209" s="215"/>
      <c r="P209" s="215"/>
      <c r="Q209" s="205"/>
      <c r="R209" s="215"/>
      <c r="S209" s="215"/>
      <c r="T209" s="215"/>
      <c r="U209" s="215"/>
      <c r="V209" s="215"/>
      <c r="W209" s="215"/>
      <c r="X209" s="215"/>
      <c r="Y209" s="215"/>
      <c r="Z209" s="215"/>
    </row>
    <row r="210" spans="1:26" ht="15.75" customHeight="1" x14ac:dyDescent="0.2">
      <c r="A210" s="205"/>
      <c r="B210" s="336"/>
      <c r="C210" s="215"/>
      <c r="D210" s="215"/>
      <c r="E210" s="215"/>
      <c r="F210" s="215"/>
      <c r="G210" s="215"/>
      <c r="H210" s="215"/>
      <c r="I210" s="215"/>
      <c r="J210" s="215"/>
      <c r="K210" s="215"/>
      <c r="L210" s="215"/>
      <c r="M210" s="215"/>
      <c r="N210" s="215"/>
      <c r="O210" s="215"/>
      <c r="P210" s="215"/>
      <c r="Q210" s="205"/>
      <c r="R210" s="215"/>
      <c r="S210" s="215"/>
      <c r="T210" s="215"/>
      <c r="U210" s="215"/>
      <c r="V210" s="215"/>
      <c r="W210" s="215"/>
      <c r="X210" s="215"/>
      <c r="Y210" s="215"/>
      <c r="Z210" s="215"/>
    </row>
    <row r="211" spans="1:26" ht="15.75" customHeight="1" x14ac:dyDescent="0.2">
      <c r="A211" s="205"/>
      <c r="B211" s="336"/>
      <c r="C211" s="215"/>
      <c r="D211" s="215"/>
      <c r="E211" s="215"/>
      <c r="F211" s="215"/>
      <c r="G211" s="215"/>
      <c r="H211" s="215"/>
      <c r="I211" s="215"/>
      <c r="J211" s="215"/>
      <c r="K211" s="215"/>
      <c r="L211" s="215"/>
      <c r="M211" s="215"/>
      <c r="N211" s="215"/>
      <c r="O211" s="215"/>
      <c r="P211" s="215"/>
      <c r="Q211" s="205"/>
      <c r="R211" s="215"/>
      <c r="S211" s="215"/>
      <c r="T211" s="215"/>
      <c r="U211" s="215"/>
      <c r="V211" s="215"/>
      <c r="W211" s="215"/>
      <c r="X211" s="215"/>
      <c r="Y211" s="215"/>
      <c r="Z211" s="215"/>
    </row>
    <row r="212" spans="1:26" ht="15.75" customHeight="1" x14ac:dyDescent="0.2">
      <c r="A212" s="205"/>
      <c r="B212" s="336"/>
      <c r="C212" s="215"/>
      <c r="D212" s="215"/>
      <c r="E212" s="215"/>
      <c r="F212" s="215"/>
      <c r="G212" s="215"/>
      <c r="H212" s="215"/>
      <c r="I212" s="215"/>
      <c r="J212" s="215"/>
      <c r="K212" s="215"/>
      <c r="L212" s="215"/>
      <c r="M212" s="215"/>
      <c r="N212" s="215"/>
      <c r="O212" s="215"/>
      <c r="P212" s="215"/>
      <c r="Q212" s="205"/>
      <c r="R212" s="215"/>
      <c r="S212" s="215"/>
      <c r="T212" s="215"/>
      <c r="U212" s="215"/>
      <c r="V212" s="215"/>
      <c r="W212" s="215"/>
      <c r="X212" s="215"/>
      <c r="Y212" s="215"/>
      <c r="Z212" s="215"/>
    </row>
    <row r="213" spans="1:26" ht="15.75" customHeight="1" x14ac:dyDescent="0.2">
      <c r="A213" s="205"/>
      <c r="B213" s="336"/>
      <c r="C213" s="215"/>
      <c r="D213" s="215"/>
      <c r="E213" s="215"/>
      <c r="F213" s="215"/>
      <c r="G213" s="215"/>
      <c r="H213" s="215"/>
      <c r="I213" s="215"/>
      <c r="J213" s="215"/>
      <c r="K213" s="215"/>
      <c r="L213" s="215"/>
      <c r="M213" s="215"/>
      <c r="N213" s="215"/>
      <c r="O213" s="215"/>
      <c r="P213" s="215"/>
      <c r="Q213" s="205"/>
      <c r="R213" s="215"/>
      <c r="S213" s="215"/>
      <c r="T213" s="215"/>
      <c r="U213" s="215"/>
      <c r="V213" s="215"/>
      <c r="W213" s="215"/>
      <c r="X213" s="215"/>
      <c r="Y213" s="215"/>
      <c r="Z213" s="215"/>
    </row>
    <row r="214" spans="1:26" ht="15.75" customHeight="1" x14ac:dyDescent="0.2">
      <c r="A214" s="205"/>
      <c r="B214" s="336"/>
      <c r="C214" s="215"/>
      <c r="D214" s="215"/>
      <c r="E214" s="215"/>
      <c r="F214" s="215"/>
      <c r="G214" s="215"/>
      <c r="H214" s="215"/>
      <c r="I214" s="215"/>
      <c r="J214" s="215"/>
      <c r="K214" s="215"/>
      <c r="L214" s="215"/>
      <c r="M214" s="215"/>
      <c r="N214" s="215"/>
      <c r="O214" s="215"/>
      <c r="P214" s="215"/>
      <c r="Q214" s="205"/>
      <c r="R214" s="215"/>
      <c r="S214" s="215"/>
      <c r="T214" s="215"/>
      <c r="U214" s="215"/>
      <c r="V214" s="215"/>
      <c r="W214" s="215"/>
      <c r="X214" s="215"/>
      <c r="Y214" s="215"/>
      <c r="Z214" s="215"/>
    </row>
    <row r="215" spans="1:26" ht="15.75" customHeight="1" x14ac:dyDescent="0.2">
      <c r="A215" s="205"/>
      <c r="B215" s="336"/>
      <c r="C215" s="215"/>
      <c r="D215" s="215"/>
      <c r="E215" s="215"/>
      <c r="F215" s="215"/>
      <c r="G215" s="215"/>
      <c r="H215" s="215"/>
      <c r="I215" s="215"/>
      <c r="J215" s="215"/>
      <c r="K215" s="215"/>
      <c r="L215" s="215"/>
      <c r="M215" s="215"/>
      <c r="N215" s="215"/>
      <c r="O215" s="215"/>
      <c r="P215" s="215"/>
      <c r="Q215" s="205"/>
      <c r="R215" s="215"/>
      <c r="S215" s="215"/>
      <c r="T215" s="215"/>
      <c r="U215" s="215"/>
      <c r="V215" s="215"/>
      <c r="W215" s="215"/>
      <c r="X215" s="215"/>
      <c r="Y215" s="215"/>
      <c r="Z215" s="215"/>
    </row>
    <row r="216" spans="1:26" ht="15.75" customHeight="1" x14ac:dyDescent="0.2">
      <c r="A216" s="205"/>
      <c r="B216" s="336"/>
      <c r="C216" s="215"/>
      <c r="D216" s="215"/>
      <c r="E216" s="215"/>
      <c r="F216" s="215"/>
      <c r="G216" s="215"/>
      <c r="H216" s="215"/>
      <c r="I216" s="215"/>
      <c r="J216" s="215"/>
      <c r="K216" s="215"/>
      <c r="L216" s="215"/>
      <c r="M216" s="215"/>
      <c r="N216" s="215"/>
      <c r="O216" s="215"/>
      <c r="P216" s="215"/>
      <c r="Q216" s="205"/>
      <c r="R216" s="215"/>
      <c r="S216" s="215"/>
      <c r="T216" s="215"/>
      <c r="U216" s="215"/>
      <c r="V216" s="215"/>
      <c r="W216" s="215"/>
      <c r="X216" s="215"/>
      <c r="Y216" s="215"/>
      <c r="Z216" s="215"/>
    </row>
    <row r="217" spans="1:26" ht="15.75" customHeight="1" x14ac:dyDescent="0.2">
      <c r="A217" s="205"/>
      <c r="B217" s="336"/>
      <c r="C217" s="215"/>
      <c r="D217" s="215"/>
      <c r="E217" s="215"/>
      <c r="F217" s="215"/>
      <c r="G217" s="215"/>
      <c r="H217" s="215"/>
      <c r="I217" s="215"/>
      <c r="J217" s="215"/>
      <c r="K217" s="215"/>
      <c r="L217" s="215"/>
      <c r="M217" s="215"/>
      <c r="N217" s="215"/>
      <c r="O217" s="215"/>
      <c r="P217" s="215"/>
      <c r="Q217" s="205"/>
      <c r="R217" s="215"/>
      <c r="S217" s="215"/>
      <c r="T217" s="215"/>
      <c r="U217" s="215"/>
      <c r="V217" s="215"/>
      <c r="W217" s="215"/>
      <c r="X217" s="215"/>
      <c r="Y217" s="215"/>
      <c r="Z217" s="215"/>
    </row>
    <row r="218" spans="1:26" ht="15.75" customHeight="1" x14ac:dyDescent="0.2">
      <c r="A218" s="205"/>
      <c r="B218" s="336"/>
      <c r="C218" s="215"/>
      <c r="D218" s="215"/>
      <c r="E218" s="215"/>
      <c r="F218" s="215"/>
      <c r="G218" s="215"/>
      <c r="H218" s="215"/>
      <c r="I218" s="215"/>
      <c r="J218" s="215"/>
      <c r="K218" s="215"/>
      <c r="L218" s="215"/>
      <c r="M218" s="215"/>
      <c r="N218" s="215"/>
      <c r="O218" s="215"/>
      <c r="P218" s="215"/>
      <c r="Q218" s="205"/>
      <c r="R218" s="215"/>
      <c r="S218" s="215"/>
      <c r="T218" s="215"/>
      <c r="U218" s="215"/>
      <c r="V218" s="215"/>
      <c r="W218" s="215"/>
      <c r="X218" s="215"/>
      <c r="Y218" s="215"/>
      <c r="Z218" s="215"/>
    </row>
    <row r="219" spans="1:26" ht="15.75" customHeight="1" x14ac:dyDescent="0.2">
      <c r="A219" s="205"/>
      <c r="B219" s="336"/>
      <c r="C219" s="215"/>
      <c r="D219" s="215"/>
      <c r="E219" s="215"/>
      <c r="F219" s="215"/>
      <c r="G219" s="215"/>
      <c r="H219" s="215"/>
      <c r="I219" s="215"/>
      <c r="J219" s="215"/>
      <c r="K219" s="215"/>
      <c r="L219" s="215"/>
      <c r="M219" s="215"/>
      <c r="N219" s="215"/>
      <c r="O219" s="215"/>
      <c r="P219" s="215"/>
      <c r="Q219" s="205"/>
      <c r="R219" s="215"/>
      <c r="S219" s="215"/>
      <c r="T219" s="215"/>
      <c r="U219" s="215"/>
      <c r="V219" s="215"/>
      <c r="W219" s="215"/>
      <c r="X219" s="215"/>
      <c r="Y219" s="215"/>
      <c r="Z219" s="215"/>
    </row>
    <row r="220" spans="1:26" ht="15.75" customHeight="1" x14ac:dyDescent="0.2">
      <c r="A220" s="205"/>
      <c r="B220" s="336"/>
      <c r="C220" s="215"/>
      <c r="D220" s="215"/>
      <c r="E220" s="215"/>
      <c r="F220" s="215"/>
      <c r="G220" s="215"/>
      <c r="H220" s="215"/>
      <c r="I220" s="215"/>
      <c r="J220" s="215"/>
      <c r="K220" s="215"/>
      <c r="L220" s="215"/>
      <c r="M220" s="215"/>
      <c r="N220" s="215"/>
      <c r="O220" s="215"/>
      <c r="P220" s="215"/>
      <c r="Q220" s="205"/>
      <c r="R220" s="215"/>
      <c r="S220" s="215"/>
      <c r="T220" s="215"/>
      <c r="U220" s="215"/>
      <c r="V220" s="215"/>
      <c r="W220" s="215"/>
      <c r="X220" s="215"/>
      <c r="Y220" s="215"/>
      <c r="Z220" s="215"/>
    </row>
    <row r="221" spans="1:26" ht="15.75" customHeight="1" x14ac:dyDescent="0.2">
      <c r="A221" s="205"/>
      <c r="B221" s="336"/>
      <c r="C221" s="215"/>
      <c r="D221" s="215"/>
      <c r="E221" s="215"/>
      <c r="F221" s="215"/>
      <c r="G221" s="215"/>
      <c r="H221" s="215"/>
      <c r="I221" s="215"/>
      <c r="J221" s="215"/>
      <c r="K221" s="215"/>
      <c r="L221" s="215"/>
      <c r="M221" s="215"/>
      <c r="N221" s="215"/>
      <c r="O221" s="215"/>
      <c r="P221" s="215"/>
      <c r="Q221" s="205"/>
      <c r="R221" s="215"/>
      <c r="S221" s="215"/>
      <c r="T221" s="215"/>
      <c r="U221" s="215"/>
      <c r="V221" s="215"/>
      <c r="W221" s="215"/>
      <c r="X221" s="215"/>
      <c r="Y221" s="215"/>
      <c r="Z221" s="215"/>
    </row>
    <row r="222" spans="1:26" ht="15.75" customHeight="1" x14ac:dyDescent="0.2">
      <c r="A222" s="205"/>
      <c r="B222" s="336"/>
      <c r="C222" s="215"/>
      <c r="D222" s="215"/>
      <c r="E222" s="215"/>
      <c r="F222" s="215"/>
      <c r="G222" s="215"/>
      <c r="H222" s="215"/>
      <c r="I222" s="215"/>
      <c r="J222" s="215"/>
      <c r="K222" s="215"/>
      <c r="L222" s="215"/>
      <c r="M222" s="215"/>
      <c r="N222" s="215"/>
      <c r="O222" s="215"/>
      <c r="P222" s="215"/>
      <c r="Q222" s="205"/>
      <c r="R222" s="215"/>
      <c r="S222" s="215"/>
      <c r="T222" s="215"/>
      <c r="U222" s="215"/>
      <c r="V222" s="215"/>
      <c r="W222" s="215"/>
      <c r="X222" s="215"/>
      <c r="Y222" s="215"/>
      <c r="Z222" s="215"/>
    </row>
    <row r="223" spans="1:26" ht="15.75" customHeight="1" x14ac:dyDescent="0.2">
      <c r="A223" s="205"/>
      <c r="B223" s="336"/>
      <c r="C223" s="215"/>
      <c r="D223" s="215"/>
      <c r="E223" s="215"/>
      <c r="F223" s="215"/>
      <c r="G223" s="215"/>
      <c r="H223" s="215"/>
      <c r="I223" s="215"/>
      <c r="J223" s="215"/>
      <c r="K223" s="215"/>
      <c r="L223" s="215"/>
      <c r="M223" s="215"/>
      <c r="N223" s="215"/>
      <c r="O223" s="215"/>
      <c r="P223" s="215"/>
      <c r="Q223" s="205"/>
      <c r="R223" s="215"/>
      <c r="S223" s="215"/>
      <c r="T223" s="215"/>
      <c r="U223" s="215"/>
      <c r="V223" s="215"/>
      <c r="W223" s="215"/>
      <c r="X223" s="215"/>
      <c r="Y223" s="215"/>
      <c r="Z223" s="215"/>
    </row>
    <row r="224" spans="1:26" ht="15.75" customHeight="1" x14ac:dyDescent="0.2">
      <c r="A224" s="205"/>
      <c r="B224" s="336"/>
      <c r="C224" s="215"/>
      <c r="D224" s="215"/>
      <c r="E224" s="215"/>
      <c r="F224" s="215"/>
      <c r="G224" s="215"/>
      <c r="H224" s="215"/>
      <c r="I224" s="215"/>
      <c r="J224" s="215"/>
      <c r="K224" s="215"/>
      <c r="L224" s="215"/>
      <c r="M224" s="215"/>
      <c r="N224" s="215"/>
      <c r="O224" s="215"/>
      <c r="P224" s="215"/>
      <c r="Q224" s="205"/>
      <c r="R224" s="215"/>
      <c r="S224" s="215"/>
      <c r="T224" s="215"/>
      <c r="U224" s="215"/>
      <c r="V224" s="215"/>
      <c r="W224" s="215"/>
      <c r="X224" s="215"/>
      <c r="Y224" s="215"/>
      <c r="Z224" s="215"/>
    </row>
    <row r="225" spans="1:26" ht="15.75" customHeight="1" x14ac:dyDescent="0.2">
      <c r="A225" s="205"/>
      <c r="B225" s="336"/>
      <c r="C225" s="215"/>
      <c r="D225" s="215"/>
      <c r="E225" s="215"/>
      <c r="F225" s="215"/>
      <c r="G225" s="215"/>
      <c r="H225" s="215"/>
      <c r="I225" s="215"/>
      <c r="J225" s="215"/>
      <c r="K225" s="215"/>
      <c r="L225" s="215"/>
      <c r="M225" s="215"/>
      <c r="N225" s="215"/>
      <c r="O225" s="215"/>
      <c r="P225" s="215"/>
      <c r="Q225" s="205"/>
      <c r="R225" s="215"/>
      <c r="S225" s="215"/>
      <c r="T225" s="215"/>
      <c r="U225" s="215"/>
      <c r="V225" s="215"/>
      <c r="W225" s="215"/>
      <c r="X225" s="215"/>
      <c r="Y225" s="215"/>
      <c r="Z225" s="215"/>
    </row>
    <row r="226" spans="1:26" ht="15.75" customHeight="1" x14ac:dyDescent="0.2">
      <c r="A226" s="205"/>
      <c r="B226" s="336"/>
      <c r="C226" s="215"/>
      <c r="D226" s="215"/>
      <c r="E226" s="215"/>
      <c r="F226" s="215"/>
      <c r="G226" s="215"/>
      <c r="H226" s="215"/>
      <c r="I226" s="215"/>
      <c r="J226" s="215"/>
      <c r="K226" s="215"/>
      <c r="L226" s="215"/>
      <c r="M226" s="215"/>
      <c r="N226" s="215"/>
      <c r="O226" s="215"/>
      <c r="P226" s="215"/>
      <c r="Q226" s="205"/>
      <c r="R226" s="215"/>
      <c r="S226" s="215"/>
      <c r="T226" s="215"/>
      <c r="U226" s="215"/>
      <c r="V226" s="215"/>
      <c r="W226" s="215"/>
      <c r="X226" s="215"/>
      <c r="Y226" s="215"/>
      <c r="Z226" s="215"/>
    </row>
    <row r="227" spans="1:26" ht="15.75" customHeight="1" x14ac:dyDescent="0.2">
      <c r="A227" s="205"/>
      <c r="B227" s="336"/>
      <c r="C227" s="215"/>
      <c r="D227" s="215"/>
      <c r="E227" s="215"/>
      <c r="F227" s="215"/>
      <c r="G227" s="215"/>
      <c r="H227" s="215"/>
      <c r="I227" s="215"/>
      <c r="J227" s="215"/>
      <c r="K227" s="215"/>
      <c r="L227" s="215"/>
      <c r="M227" s="215"/>
      <c r="N227" s="215"/>
      <c r="O227" s="215"/>
      <c r="P227" s="215"/>
      <c r="Q227" s="205"/>
      <c r="R227" s="215"/>
      <c r="S227" s="215"/>
      <c r="T227" s="215"/>
      <c r="U227" s="215"/>
      <c r="V227" s="215"/>
      <c r="W227" s="215"/>
      <c r="X227" s="215"/>
      <c r="Y227" s="215"/>
      <c r="Z227" s="215"/>
    </row>
    <row r="228" spans="1:26" ht="15.75" customHeight="1" x14ac:dyDescent="0.2">
      <c r="A228" s="205"/>
      <c r="B228" s="336"/>
      <c r="C228" s="215"/>
      <c r="D228" s="215"/>
      <c r="E228" s="215"/>
      <c r="F228" s="215"/>
      <c r="G228" s="215"/>
      <c r="H228" s="215"/>
      <c r="I228" s="215"/>
      <c r="J228" s="215"/>
      <c r="K228" s="215"/>
      <c r="L228" s="215"/>
      <c r="M228" s="215"/>
      <c r="N228" s="215"/>
      <c r="O228" s="215"/>
      <c r="P228" s="215"/>
      <c r="Q228" s="205"/>
      <c r="R228" s="215"/>
      <c r="S228" s="215"/>
      <c r="T228" s="215"/>
      <c r="U228" s="215"/>
      <c r="V228" s="215"/>
      <c r="W228" s="215"/>
      <c r="X228" s="215"/>
      <c r="Y228" s="215"/>
      <c r="Z228" s="215"/>
    </row>
    <row r="229" spans="1:26" ht="15.75" customHeight="1" x14ac:dyDescent="0.2">
      <c r="A229" s="205"/>
      <c r="B229" s="336"/>
      <c r="C229" s="215"/>
      <c r="D229" s="215"/>
      <c r="E229" s="215"/>
      <c r="F229" s="215"/>
      <c r="G229" s="215"/>
      <c r="H229" s="215"/>
      <c r="I229" s="215"/>
      <c r="J229" s="215"/>
      <c r="K229" s="215"/>
      <c r="L229" s="215"/>
      <c r="M229" s="215"/>
      <c r="N229" s="215"/>
      <c r="O229" s="215"/>
      <c r="P229" s="215"/>
      <c r="Q229" s="205"/>
      <c r="R229" s="215"/>
      <c r="S229" s="215"/>
      <c r="T229" s="215"/>
      <c r="U229" s="215"/>
      <c r="V229" s="215"/>
      <c r="W229" s="215"/>
      <c r="X229" s="215"/>
      <c r="Y229" s="215"/>
      <c r="Z229" s="215"/>
    </row>
    <row r="230" spans="1:26" ht="15.75" customHeight="1" x14ac:dyDescent="0.2">
      <c r="A230" s="205"/>
      <c r="B230" s="336"/>
      <c r="C230" s="215"/>
      <c r="D230" s="215"/>
      <c r="E230" s="215"/>
      <c r="F230" s="215"/>
      <c r="G230" s="215"/>
      <c r="H230" s="215"/>
      <c r="I230" s="215"/>
      <c r="J230" s="215"/>
      <c r="K230" s="215"/>
      <c r="L230" s="215"/>
      <c r="M230" s="215"/>
      <c r="N230" s="215"/>
      <c r="O230" s="215"/>
      <c r="P230" s="215"/>
      <c r="Q230" s="205"/>
      <c r="R230" s="215"/>
      <c r="S230" s="215"/>
      <c r="T230" s="215"/>
      <c r="U230" s="215"/>
      <c r="V230" s="215"/>
      <c r="W230" s="215"/>
      <c r="X230" s="215"/>
      <c r="Y230" s="215"/>
      <c r="Z230" s="215"/>
    </row>
    <row r="231" spans="1:26" ht="15.75" customHeight="1" x14ac:dyDescent="0.2">
      <c r="A231" s="205"/>
      <c r="B231" s="336"/>
      <c r="C231" s="215"/>
      <c r="D231" s="215"/>
      <c r="E231" s="215"/>
      <c r="F231" s="215"/>
      <c r="G231" s="215"/>
      <c r="H231" s="215"/>
      <c r="I231" s="215"/>
      <c r="J231" s="215"/>
      <c r="K231" s="215"/>
      <c r="L231" s="215"/>
      <c r="M231" s="215"/>
      <c r="N231" s="215"/>
      <c r="O231" s="215"/>
      <c r="P231" s="215"/>
      <c r="Q231" s="205"/>
      <c r="R231" s="215"/>
      <c r="S231" s="215"/>
      <c r="T231" s="215"/>
      <c r="U231" s="215"/>
      <c r="V231" s="215"/>
      <c r="W231" s="215"/>
      <c r="X231" s="215"/>
      <c r="Y231" s="215"/>
      <c r="Z231" s="215"/>
    </row>
    <row r="232" spans="1:26" ht="15.75" customHeight="1" x14ac:dyDescent="0.2">
      <c r="A232" s="205"/>
      <c r="B232" s="336"/>
      <c r="C232" s="215"/>
      <c r="D232" s="215"/>
      <c r="E232" s="215"/>
      <c r="F232" s="215"/>
      <c r="G232" s="215"/>
      <c r="H232" s="215"/>
      <c r="I232" s="215"/>
      <c r="J232" s="215"/>
      <c r="K232" s="215"/>
      <c r="L232" s="215"/>
      <c r="M232" s="215"/>
      <c r="N232" s="215"/>
      <c r="O232" s="215"/>
      <c r="P232" s="215"/>
      <c r="Q232" s="205"/>
      <c r="R232" s="215"/>
      <c r="S232" s="215"/>
      <c r="T232" s="215"/>
      <c r="U232" s="215"/>
      <c r="V232" s="215"/>
      <c r="W232" s="215"/>
      <c r="X232" s="215"/>
      <c r="Y232" s="215"/>
      <c r="Z232" s="215"/>
    </row>
    <row r="233" spans="1:26" ht="15.75" customHeight="1" x14ac:dyDescent="0.2">
      <c r="A233" s="205"/>
      <c r="B233" s="336"/>
      <c r="C233" s="215"/>
      <c r="D233" s="215"/>
      <c r="E233" s="215"/>
      <c r="F233" s="215"/>
      <c r="G233" s="215"/>
      <c r="H233" s="215"/>
      <c r="I233" s="215"/>
      <c r="J233" s="215"/>
      <c r="K233" s="215"/>
      <c r="L233" s="215"/>
      <c r="M233" s="215"/>
      <c r="N233" s="215"/>
      <c r="O233" s="215"/>
      <c r="P233" s="215"/>
      <c r="Q233" s="205"/>
      <c r="R233" s="215"/>
      <c r="S233" s="215"/>
      <c r="T233" s="215"/>
      <c r="U233" s="215"/>
      <c r="V233" s="215"/>
      <c r="W233" s="215"/>
      <c r="X233" s="215"/>
      <c r="Y233" s="215"/>
      <c r="Z233" s="215"/>
    </row>
    <row r="234" spans="1:26" ht="15.75" customHeight="1" x14ac:dyDescent="0.2">
      <c r="A234" s="205"/>
      <c r="B234" s="336"/>
      <c r="C234" s="215"/>
      <c r="D234" s="215"/>
      <c r="E234" s="215"/>
      <c r="F234" s="215"/>
      <c r="G234" s="215"/>
      <c r="H234" s="215"/>
      <c r="I234" s="215"/>
      <c r="J234" s="215"/>
      <c r="K234" s="215"/>
      <c r="L234" s="215"/>
      <c r="M234" s="215"/>
      <c r="N234" s="215"/>
      <c r="O234" s="215"/>
      <c r="P234" s="215"/>
      <c r="Q234" s="205"/>
      <c r="R234" s="215"/>
      <c r="S234" s="215"/>
      <c r="T234" s="215"/>
      <c r="U234" s="215"/>
      <c r="V234" s="215"/>
      <c r="W234" s="215"/>
      <c r="X234" s="215"/>
      <c r="Y234" s="215"/>
      <c r="Z234" s="215"/>
    </row>
    <row r="235" spans="1:26" ht="15.75" customHeight="1" x14ac:dyDescent="0.2">
      <c r="A235" s="205"/>
      <c r="B235" s="336"/>
      <c r="C235" s="215"/>
      <c r="D235" s="215"/>
      <c r="E235" s="215"/>
      <c r="F235" s="215"/>
      <c r="G235" s="215"/>
      <c r="H235" s="215"/>
      <c r="I235" s="215"/>
      <c r="J235" s="215"/>
      <c r="K235" s="215"/>
      <c r="L235" s="215"/>
      <c r="M235" s="215"/>
      <c r="N235" s="215"/>
      <c r="O235" s="215"/>
      <c r="P235" s="215"/>
      <c r="Q235" s="205"/>
      <c r="R235" s="215"/>
      <c r="S235" s="215"/>
      <c r="T235" s="215"/>
      <c r="U235" s="215"/>
      <c r="V235" s="215"/>
      <c r="W235" s="215"/>
      <c r="X235" s="215"/>
      <c r="Y235" s="215"/>
      <c r="Z235" s="215"/>
    </row>
    <row r="236" spans="1:26" ht="15.75" customHeight="1" x14ac:dyDescent="0.2">
      <c r="A236" s="205"/>
      <c r="B236" s="336"/>
      <c r="C236" s="215"/>
      <c r="D236" s="215"/>
      <c r="E236" s="215"/>
      <c r="F236" s="215"/>
      <c r="G236" s="215"/>
      <c r="H236" s="215"/>
      <c r="I236" s="215"/>
      <c r="J236" s="215"/>
      <c r="K236" s="215"/>
      <c r="L236" s="215"/>
      <c r="M236" s="215"/>
      <c r="N236" s="215"/>
      <c r="O236" s="215"/>
      <c r="P236" s="215"/>
      <c r="Q236" s="205"/>
      <c r="R236" s="215"/>
      <c r="S236" s="215"/>
      <c r="T236" s="215"/>
      <c r="U236" s="215"/>
      <c r="V236" s="215"/>
      <c r="W236" s="215"/>
      <c r="X236" s="215"/>
      <c r="Y236" s="215"/>
      <c r="Z236" s="215"/>
    </row>
    <row r="237" spans="1:26" ht="15.75" customHeight="1" x14ac:dyDescent="0.2">
      <c r="A237" s="205"/>
      <c r="B237" s="336"/>
      <c r="C237" s="215"/>
      <c r="D237" s="215"/>
      <c r="E237" s="215"/>
      <c r="F237" s="215"/>
      <c r="G237" s="215"/>
      <c r="H237" s="215"/>
      <c r="I237" s="215"/>
      <c r="J237" s="215"/>
      <c r="K237" s="215"/>
      <c r="L237" s="215"/>
      <c r="M237" s="215"/>
      <c r="N237" s="215"/>
      <c r="O237" s="215"/>
      <c r="P237" s="215"/>
      <c r="Q237" s="205"/>
      <c r="R237" s="215"/>
      <c r="S237" s="215"/>
      <c r="T237" s="215"/>
      <c r="U237" s="215"/>
      <c r="V237" s="215"/>
      <c r="W237" s="215"/>
      <c r="X237" s="215"/>
      <c r="Y237" s="215"/>
      <c r="Z237" s="215"/>
    </row>
    <row r="238" spans="1:26" ht="15.75" customHeight="1" x14ac:dyDescent="0.2">
      <c r="A238" s="205"/>
      <c r="B238" s="336"/>
      <c r="C238" s="215"/>
      <c r="D238" s="215"/>
      <c r="E238" s="215"/>
      <c r="F238" s="215"/>
      <c r="G238" s="215"/>
      <c r="H238" s="215"/>
      <c r="I238" s="215"/>
      <c r="J238" s="215"/>
      <c r="K238" s="215"/>
      <c r="L238" s="215"/>
      <c r="M238" s="215"/>
      <c r="N238" s="215"/>
      <c r="O238" s="215"/>
      <c r="P238" s="215"/>
      <c r="Q238" s="205"/>
      <c r="R238" s="215"/>
      <c r="S238" s="215"/>
      <c r="T238" s="215"/>
      <c r="U238" s="215"/>
      <c r="V238" s="215"/>
      <c r="W238" s="215"/>
      <c r="X238" s="215"/>
      <c r="Y238" s="215"/>
      <c r="Z238" s="215"/>
    </row>
    <row r="239" spans="1:26" ht="15.75" customHeight="1" x14ac:dyDescent="0.2">
      <c r="A239" s="205"/>
      <c r="B239" s="336"/>
      <c r="C239" s="215"/>
      <c r="D239" s="215"/>
      <c r="E239" s="215"/>
      <c r="F239" s="215"/>
      <c r="G239" s="215"/>
      <c r="H239" s="215"/>
      <c r="I239" s="215"/>
      <c r="J239" s="215"/>
      <c r="K239" s="215"/>
      <c r="L239" s="215"/>
      <c r="M239" s="215"/>
      <c r="N239" s="215"/>
      <c r="O239" s="215"/>
      <c r="P239" s="215"/>
      <c r="Q239" s="205"/>
      <c r="R239" s="215"/>
      <c r="S239" s="215"/>
      <c r="T239" s="215"/>
      <c r="U239" s="215"/>
      <c r="V239" s="215"/>
      <c r="W239" s="215"/>
      <c r="X239" s="215"/>
      <c r="Y239" s="215"/>
      <c r="Z239" s="215"/>
    </row>
    <row r="240" spans="1:26" ht="15.75" customHeight="1" x14ac:dyDescent="0.2">
      <c r="A240" s="205"/>
      <c r="B240" s="336"/>
      <c r="C240" s="215"/>
      <c r="D240" s="215"/>
      <c r="E240" s="215"/>
      <c r="F240" s="215"/>
      <c r="G240" s="215"/>
      <c r="H240" s="215"/>
      <c r="I240" s="215"/>
      <c r="J240" s="215"/>
      <c r="K240" s="215"/>
      <c r="L240" s="215"/>
      <c r="M240" s="215"/>
      <c r="N240" s="215"/>
      <c r="O240" s="215"/>
      <c r="P240" s="215"/>
      <c r="Q240" s="205"/>
      <c r="R240" s="215"/>
      <c r="S240" s="215"/>
      <c r="T240" s="215"/>
      <c r="U240" s="215"/>
      <c r="V240" s="215"/>
      <c r="W240" s="215"/>
      <c r="X240" s="215"/>
      <c r="Y240" s="215"/>
      <c r="Z240" s="215"/>
    </row>
    <row r="241" spans="1:26" ht="15.75" customHeight="1" x14ac:dyDescent="0.2">
      <c r="A241" s="205"/>
      <c r="B241" s="336"/>
      <c r="C241" s="215"/>
      <c r="D241" s="215"/>
      <c r="E241" s="215"/>
      <c r="F241" s="215"/>
      <c r="G241" s="215"/>
      <c r="H241" s="215"/>
      <c r="I241" s="215"/>
      <c r="J241" s="215"/>
      <c r="K241" s="215"/>
      <c r="L241" s="215"/>
      <c r="M241" s="215"/>
      <c r="N241" s="215"/>
      <c r="O241" s="215"/>
      <c r="P241" s="215"/>
      <c r="Q241" s="205"/>
      <c r="R241" s="215"/>
      <c r="S241" s="215"/>
      <c r="T241" s="215"/>
      <c r="U241" s="215"/>
      <c r="V241" s="215"/>
      <c r="W241" s="215"/>
      <c r="X241" s="215"/>
      <c r="Y241" s="215"/>
      <c r="Z241" s="215"/>
    </row>
    <row r="242" spans="1:26" ht="15.75" customHeight="1" x14ac:dyDescent="0.2">
      <c r="A242" s="205"/>
      <c r="B242" s="336"/>
      <c r="C242" s="215"/>
      <c r="D242" s="215"/>
      <c r="E242" s="215"/>
      <c r="F242" s="215"/>
      <c r="G242" s="215"/>
      <c r="H242" s="215"/>
      <c r="I242" s="215"/>
      <c r="J242" s="215"/>
      <c r="K242" s="215"/>
      <c r="L242" s="215"/>
      <c r="M242" s="215"/>
      <c r="N242" s="215"/>
      <c r="O242" s="215"/>
      <c r="P242" s="215"/>
      <c r="Q242" s="205"/>
      <c r="R242" s="215"/>
      <c r="S242" s="215"/>
      <c r="T242" s="215"/>
      <c r="U242" s="215"/>
      <c r="V242" s="215"/>
      <c r="W242" s="215"/>
      <c r="X242" s="215"/>
      <c r="Y242" s="215"/>
      <c r="Z242" s="215"/>
    </row>
    <row r="243" spans="1:26" ht="15.75" customHeight="1" x14ac:dyDescent="0.2">
      <c r="A243" s="205"/>
      <c r="B243" s="336"/>
      <c r="C243" s="215"/>
      <c r="D243" s="215"/>
      <c r="E243" s="215"/>
      <c r="F243" s="215"/>
      <c r="G243" s="215"/>
      <c r="H243" s="215"/>
      <c r="I243" s="215"/>
      <c r="J243" s="215"/>
      <c r="K243" s="215"/>
      <c r="L243" s="215"/>
      <c r="M243" s="215"/>
      <c r="N243" s="215"/>
      <c r="O243" s="215"/>
      <c r="P243" s="215"/>
      <c r="Q243" s="205"/>
      <c r="R243" s="215"/>
      <c r="S243" s="215"/>
      <c r="T243" s="215"/>
      <c r="U243" s="215"/>
      <c r="V243" s="215"/>
      <c r="W243" s="215"/>
      <c r="X243" s="215"/>
      <c r="Y243" s="215"/>
      <c r="Z243" s="215"/>
    </row>
    <row r="244" spans="1:26" ht="15.75" customHeight="1" x14ac:dyDescent="0.2">
      <c r="A244" s="205"/>
      <c r="B244" s="336"/>
      <c r="C244" s="215"/>
      <c r="D244" s="215"/>
      <c r="E244" s="215"/>
      <c r="F244" s="215"/>
      <c r="G244" s="215"/>
      <c r="H244" s="215"/>
      <c r="I244" s="215"/>
      <c r="J244" s="215"/>
      <c r="K244" s="215"/>
      <c r="L244" s="215"/>
      <c r="M244" s="215"/>
      <c r="N244" s="215"/>
      <c r="O244" s="215"/>
      <c r="P244" s="215"/>
      <c r="Q244" s="205"/>
      <c r="R244" s="215"/>
      <c r="S244" s="215"/>
      <c r="T244" s="215"/>
      <c r="U244" s="215"/>
      <c r="V244" s="215"/>
      <c r="W244" s="215"/>
      <c r="X244" s="215"/>
      <c r="Y244" s="215"/>
      <c r="Z244" s="215"/>
    </row>
    <row r="245" spans="1:26" ht="15.75" customHeight="1" x14ac:dyDescent="0.2">
      <c r="A245" s="205"/>
      <c r="B245" s="336"/>
      <c r="C245" s="215"/>
      <c r="D245" s="215"/>
      <c r="E245" s="215"/>
      <c r="F245" s="215"/>
      <c r="G245" s="215"/>
      <c r="H245" s="215"/>
      <c r="I245" s="215"/>
      <c r="J245" s="215"/>
      <c r="K245" s="215"/>
      <c r="L245" s="215"/>
      <c r="M245" s="215"/>
      <c r="N245" s="215"/>
      <c r="O245" s="215"/>
      <c r="P245" s="215"/>
      <c r="Q245" s="205"/>
      <c r="R245" s="215"/>
      <c r="S245" s="215"/>
      <c r="T245" s="215"/>
      <c r="U245" s="215"/>
      <c r="V245" s="215"/>
      <c r="W245" s="215"/>
      <c r="X245" s="215"/>
      <c r="Y245" s="215"/>
      <c r="Z245" s="215"/>
    </row>
    <row r="246" spans="1:26" ht="15.75" customHeight="1" x14ac:dyDescent="0.2">
      <c r="A246" s="205"/>
      <c r="B246" s="336"/>
      <c r="C246" s="215"/>
      <c r="D246" s="215"/>
      <c r="E246" s="215"/>
      <c r="F246" s="215"/>
      <c r="G246" s="215"/>
      <c r="H246" s="215"/>
      <c r="I246" s="215"/>
      <c r="J246" s="215"/>
      <c r="K246" s="215"/>
      <c r="L246" s="215"/>
      <c r="M246" s="215"/>
      <c r="N246" s="215"/>
      <c r="O246" s="215"/>
      <c r="P246" s="215"/>
      <c r="Q246" s="205"/>
      <c r="R246" s="215"/>
      <c r="S246" s="215"/>
      <c r="T246" s="215"/>
      <c r="U246" s="215"/>
      <c r="V246" s="215"/>
      <c r="W246" s="215"/>
      <c r="X246" s="215"/>
      <c r="Y246" s="215"/>
      <c r="Z246" s="215"/>
    </row>
    <row r="247" spans="1:26" ht="15.75" customHeight="1" x14ac:dyDescent="0.2">
      <c r="A247" s="205"/>
      <c r="B247" s="336"/>
      <c r="C247" s="215"/>
      <c r="D247" s="215"/>
      <c r="E247" s="215"/>
      <c r="F247" s="215"/>
      <c r="G247" s="215"/>
      <c r="H247" s="215"/>
      <c r="I247" s="215"/>
      <c r="J247" s="215"/>
      <c r="K247" s="215"/>
      <c r="L247" s="215"/>
      <c r="M247" s="215"/>
      <c r="N247" s="215"/>
      <c r="O247" s="215"/>
      <c r="P247" s="215"/>
      <c r="Q247" s="205"/>
      <c r="R247" s="215"/>
      <c r="S247" s="215"/>
      <c r="T247" s="215"/>
      <c r="U247" s="215"/>
      <c r="V247" s="215"/>
      <c r="W247" s="215"/>
      <c r="X247" s="215"/>
      <c r="Y247" s="215"/>
      <c r="Z247" s="215"/>
    </row>
    <row r="248" spans="1:26" ht="15.75" customHeight="1" x14ac:dyDescent="0.2">
      <c r="A248" s="205"/>
      <c r="B248" s="336"/>
      <c r="C248" s="215"/>
      <c r="D248" s="215"/>
      <c r="E248" s="215"/>
      <c r="F248" s="215"/>
      <c r="G248" s="215"/>
      <c r="H248" s="215"/>
      <c r="I248" s="215"/>
      <c r="J248" s="215"/>
      <c r="K248" s="215"/>
      <c r="L248" s="215"/>
      <c r="M248" s="215"/>
      <c r="N248" s="215"/>
      <c r="O248" s="215"/>
      <c r="P248" s="215"/>
      <c r="Q248" s="205"/>
      <c r="R248" s="215"/>
      <c r="S248" s="215"/>
      <c r="T248" s="215"/>
      <c r="U248" s="215"/>
      <c r="V248" s="215"/>
      <c r="W248" s="215"/>
      <c r="X248" s="215"/>
      <c r="Y248" s="215"/>
      <c r="Z248" s="215"/>
    </row>
    <row r="249" spans="1:26" ht="15.75" customHeight="1" x14ac:dyDescent="0.2">
      <c r="A249" s="205"/>
      <c r="B249" s="336"/>
      <c r="C249" s="215"/>
      <c r="D249" s="215"/>
      <c r="E249" s="215"/>
      <c r="F249" s="215"/>
      <c r="G249" s="215"/>
      <c r="H249" s="215"/>
      <c r="I249" s="215"/>
      <c r="J249" s="215"/>
      <c r="K249" s="215"/>
      <c r="L249" s="215"/>
      <c r="M249" s="215"/>
      <c r="N249" s="215"/>
      <c r="O249" s="215"/>
      <c r="P249" s="215"/>
      <c r="Q249" s="205"/>
      <c r="R249" s="215"/>
      <c r="S249" s="215"/>
      <c r="T249" s="215"/>
      <c r="U249" s="215"/>
      <c r="V249" s="215"/>
      <c r="W249" s="215"/>
      <c r="X249" s="215"/>
      <c r="Y249" s="215"/>
      <c r="Z249" s="215"/>
    </row>
    <row r="250" spans="1:26" ht="15.75" customHeight="1" x14ac:dyDescent="0.2">
      <c r="A250" s="205"/>
      <c r="B250" s="336"/>
      <c r="C250" s="215"/>
      <c r="D250" s="215"/>
      <c r="E250" s="215"/>
      <c r="F250" s="215"/>
      <c r="G250" s="215"/>
      <c r="H250" s="215"/>
      <c r="I250" s="215"/>
      <c r="J250" s="215"/>
      <c r="K250" s="215"/>
      <c r="L250" s="215"/>
      <c r="M250" s="215"/>
      <c r="N250" s="215"/>
      <c r="O250" s="215"/>
      <c r="P250" s="215"/>
      <c r="Q250" s="205"/>
      <c r="R250" s="215"/>
      <c r="S250" s="215"/>
      <c r="T250" s="215"/>
      <c r="U250" s="215"/>
      <c r="V250" s="215"/>
      <c r="W250" s="215"/>
      <c r="X250" s="215"/>
      <c r="Y250" s="215"/>
      <c r="Z250" s="215"/>
    </row>
    <row r="251" spans="1:26" ht="15.75" customHeight="1" x14ac:dyDescent="0.2">
      <c r="A251" s="205"/>
      <c r="B251" s="336"/>
      <c r="C251" s="215"/>
      <c r="D251" s="215"/>
      <c r="E251" s="215"/>
      <c r="F251" s="215"/>
      <c r="G251" s="215"/>
      <c r="H251" s="215"/>
      <c r="I251" s="215"/>
      <c r="J251" s="215"/>
      <c r="K251" s="215"/>
      <c r="L251" s="215"/>
      <c r="M251" s="215"/>
      <c r="N251" s="215"/>
      <c r="O251" s="215"/>
      <c r="P251" s="215"/>
      <c r="Q251" s="205"/>
      <c r="R251" s="215"/>
      <c r="S251" s="215"/>
      <c r="T251" s="215"/>
      <c r="U251" s="215"/>
      <c r="V251" s="215"/>
      <c r="W251" s="215"/>
      <c r="X251" s="215"/>
      <c r="Y251" s="215"/>
      <c r="Z251" s="215"/>
    </row>
    <row r="252" spans="1:26" ht="15.75" customHeight="1" x14ac:dyDescent="0.2">
      <c r="A252" s="205"/>
      <c r="B252" s="336"/>
      <c r="C252" s="215"/>
      <c r="D252" s="215"/>
      <c r="E252" s="215"/>
      <c r="F252" s="215"/>
      <c r="G252" s="215"/>
      <c r="H252" s="215"/>
      <c r="I252" s="215"/>
      <c r="J252" s="215"/>
      <c r="K252" s="215"/>
      <c r="L252" s="215"/>
      <c r="M252" s="215"/>
      <c r="N252" s="215"/>
      <c r="O252" s="215"/>
      <c r="P252" s="215"/>
      <c r="Q252" s="205"/>
      <c r="R252" s="215"/>
      <c r="S252" s="215"/>
      <c r="T252" s="215"/>
      <c r="U252" s="215"/>
      <c r="V252" s="215"/>
      <c r="W252" s="215"/>
      <c r="X252" s="215"/>
      <c r="Y252" s="215"/>
      <c r="Z252" s="215"/>
    </row>
    <row r="253" spans="1:26" ht="15.75" customHeight="1" x14ac:dyDescent="0.2">
      <c r="A253" s="205"/>
      <c r="B253" s="336"/>
      <c r="C253" s="215"/>
      <c r="D253" s="215"/>
      <c r="E253" s="215"/>
      <c r="F253" s="215"/>
      <c r="G253" s="215"/>
      <c r="H253" s="215"/>
      <c r="I253" s="215"/>
      <c r="J253" s="215"/>
      <c r="K253" s="215"/>
      <c r="L253" s="215"/>
      <c r="M253" s="215"/>
      <c r="N253" s="215"/>
      <c r="O253" s="215"/>
      <c r="P253" s="215"/>
      <c r="Q253" s="205"/>
      <c r="R253" s="215"/>
      <c r="S253" s="215"/>
      <c r="T253" s="215"/>
      <c r="U253" s="215"/>
      <c r="V253" s="215"/>
      <c r="W253" s="215"/>
      <c r="X253" s="215"/>
      <c r="Y253" s="215"/>
      <c r="Z253" s="215"/>
    </row>
    <row r="254" spans="1:26" ht="15.75" customHeight="1" x14ac:dyDescent="0.2">
      <c r="A254" s="205"/>
      <c r="B254" s="336"/>
      <c r="C254" s="215"/>
      <c r="D254" s="215"/>
      <c r="E254" s="215"/>
      <c r="F254" s="215"/>
      <c r="G254" s="215"/>
      <c r="H254" s="215"/>
      <c r="I254" s="215"/>
      <c r="J254" s="215"/>
      <c r="K254" s="215"/>
      <c r="L254" s="215"/>
      <c r="M254" s="215"/>
      <c r="N254" s="215"/>
      <c r="O254" s="215"/>
      <c r="P254" s="215"/>
      <c r="Q254" s="205"/>
      <c r="R254" s="215"/>
      <c r="S254" s="215"/>
      <c r="T254" s="215"/>
      <c r="U254" s="215"/>
      <c r="V254" s="215"/>
      <c r="W254" s="215"/>
      <c r="X254" s="215"/>
      <c r="Y254" s="215"/>
      <c r="Z254" s="215"/>
    </row>
    <row r="255" spans="1:26" ht="15.75" customHeight="1" x14ac:dyDescent="0.2">
      <c r="A255" s="205"/>
      <c r="B255" s="336"/>
      <c r="C255" s="215"/>
      <c r="D255" s="215"/>
      <c r="E255" s="215"/>
      <c r="F255" s="215"/>
      <c r="G255" s="215"/>
      <c r="H255" s="215"/>
      <c r="I255" s="215"/>
      <c r="J255" s="215"/>
      <c r="K255" s="215"/>
      <c r="L255" s="215"/>
      <c r="M255" s="215"/>
      <c r="N255" s="215"/>
      <c r="O255" s="215"/>
      <c r="P255" s="215"/>
      <c r="Q255" s="205"/>
      <c r="R255" s="215"/>
      <c r="S255" s="215"/>
      <c r="T255" s="215"/>
      <c r="U255" s="215"/>
      <c r="V255" s="215"/>
      <c r="W255" s="215"/>
      <c r="X255" s="215"/>
      <c r="Y255" s="215"/>
      <c r="Z255" s="215"/>
    </row>
    <row r="256" spans="1:26" ht="15.75" customHeight="1" x14ac:dyDescent="0.2">
      <c r="A256" s="205"/>
      <c r="B256" s="336"/>
      <c r="C256" s="215"/>
      <c r="D256" s="215"/>
      <c r="E256" s="215"/>
      <c r="F256" s="215"/>
      <c r="G256" s="215"/>
      <c r="H256" s="215"/>
      <c r="I256" s="215"/>
      <c r="J256" s="215"/>
      <c r="K256" s="215"/>
      <c r="L256" s="215"/>
      <c r="M256" s="215"/>
      <c r="N256" s="215"/>
      <c r="O256" s="215"/>
      <c r="P256" s="215"/>
      <c r="Q256" s="205"/>
      <c r="R256" s="215"/>
      <c r="S256" s="215"/>
      <c r="T256" s="215"/>
      <c r="U256" s="215"/>
      <c r="V256" s="215"/>
      <c r="W256" s="215"/>
      <c r="X256" s="215"/>
      <c r="Y256" s="215"/>
      <c r="Z256" s="215"/>
    </row>
    <row r="257" spans="1:26" ht="15.75" customHeight="1" x14ac:dyDescent="0.2">
      <c r="A257" s="205"/>
      <c r="B257" s="336"/>
      <c r="C257" s="215"/>
      <c r="D257" s="215"/>
      <c r="E257" s="215"/>
      <c r="F257" s="215"/>
      <c r="G257" s="215"/>
      <c r="H257" s="215"/>
      <c r="I257" s="215"/>
      <c r="J257" s="215"/>
      <c r="K257" s="215"/>
      <c r="L257" s="215"/>
      <c r="M257" s="215"/>
      <c r="N257" s="215"/>
      <c r="O257" s="215"/>
      <c r="P257" s="215"/>
      <c r="Q257" s="205"/>
      <c r="R257" s="215"/>
      <c r="S257" s="215"/>
      <c r="T257" s="215"/>
      <c r="U257" s="215"/>
      <c r="V257" s="215"/>
      <c r="W257" s="215"/>
      <c r="X257" s="215"/>
      <c r="Y257" s="215"/>
      <c r="Z257" s="215"/>
    </row>
    <row r="258" spans="1:26" ht="15.75" customHeight="1" x14ac:dyDescent="0.2">
      <c r="A258" s="205"/>
      <c r="B258" s="336"/>
      <c r="C258" s="215"/>
      <c r="D258" s="215"/>
      <c r="E258" s="215"/>
      <c r="F258" s="215"/>
      <c r="G258" s="215"/>
      <c r="H258" s="215"/>
      <c r="I258" s="215"/>
      <c r="J258" s="215"/>
      <c r="K258" s="215"/>
      <c r="L258" s="215"/>
      <c r="M258" s="215"/>
      <c r="N258" s="215"/>
      <c r="O258" s="215"/>
      <c r="P258" s="215"/>
      <c r="Q258" s="205"/>
      <c r="R258" s="215"/>
      <c r="S258" s="215"/>
      <c r="T258" s="215"/>
      <c r="U258" s="215"/>
      <c r="V258" s="215"/>
      <c r="W258" s="215"/>
      <c r="X258" s="215"/>
      <c r="Y258" s="215"/>
      <c r="Z258" s="215"/>
    </row>
    <row r="259" spans="1:26" ht="15.75" customHeight="1" x14ac:dyDescent="0.2">
      <c r="A259" s="205"/>
      <c r="B259" s="336"/>
      <c r="C259" s="215"/>
      <c r="D259" s="215"/>
      <c r="E259" s="215"/>
      <c r="F259" s="215"/>
      <c r="G259" s="215"/>
      <c r="H259" s="215"/>
      <c r="I259" s="215"/>
      <c r="J259" s="215"/>
      <c r="K259" s="215"/>
      <c r="L259" s="215"/>
      <c r="M259" s="215"/>
      <c r="N259" s="215"/>
      <c r="O259" s="215"/>
      <c r="P259" s="215"/>
      <c r="Q259" s="205"/>
      <c r="R259" s="215"/>
      <c r="S259" s="215"/>
      <c r="T259" s="215"/>
      <c r="U259" s="215"/>
      <c r="V259" s="215"/>
      <c r="W259" s="215"/>
      <c r="X259" s="215"/>
      <c r="Y259" s="215"/>
      <c r="Z259" s="215"/>
    </row>
    <row r="260" spans="1:26" ht="15.75" customHeight="1" x14ac:dyDescent="0.2">
      <c r="A260" s="205"/>
      <c r="B260" s="336"/>
      <c r="C260" s="215"/>
      <c r="D260" s="215"/>
      <c r="E260" s="215"/>
      <c r="F260" s="215"/>
      <c r="G260" s="215"/>
      <c r="H260" s="215"/>
      <c r="I260" s="215"/>
      <c r="J260" s="215"/>
      <c r="K260" s="215"/>
      <c r="L260" s="215"/>
      <c r="M260" s="215"/>
      <c r="N260" s="215"/>
      <c r="O260" s="215"/>
      <c r="P260" s="215"/>
      <c r="Q260" s="205"/>
      <c r="R260" s="215"/>
      <c r="S260" s="215"/>
      <c r="T260" s="215"/>
      <c r="U260" s="215"/>
      <c r="V260" s="215"/>
      <c r="W260" s="215"/>
      <c r="X260" s="215"/>
      <c r="Y260" s="215"/>
      <c r="Z260" s="215"/>
    </row>
    <row r="261" spans="1:26" ht="15.75" customHeight="1" x14ac:dyDescent="0.2">
      <c r="A261" s="205"/>
      <c r="B261" s="336"/>
      <c r="C261" s="215"/>
      <c r="D261" s="215"/>
      <c r="E261" s="215"/>
      <c r="F261" s="215"/>
      <c r="G261" s="215"/>
      <c r="H261" s="215"/>
      <c r="I261" s="215"/>
      <c r="J261" s="215"/>
      <c r="K261" s="215"/>
      <c r="L261" s="215"/>
      <c r="M261" s="215"/>
      <c r="N261" s="215"/>
      <c r="O261" s="215"/>
      <c r="P261" s="215"/>
      <c r="Q261" s="205"/>
      <c r="R261" s="215"/>
      <c r="S261" s="215"/>
      <c r="T261" s="215"/>
      <c r="U261" s="215"/>
      <c r="V261" s="215"/>
      <c r="W261" s="215"/>
      <c r="X261" s="215"/>
      <c r="Y261" s="215"/>
      <c r="Z261" s="215"/>
    </row>
    <row r="262" spans="1:26" ht="15.75" customHeight="1" x14ac:dyDescent="0.2">
      <c r="A262" s="205"/>
      <c r="B262" s="336"/>
      <c r="C262" s="215"/>
      <c r="D262" s="215"/>
      <c r="E262" s="215"/>
      <c r="F262" s="215"/>
      <c r="G262" s="215"/>
      <c r="H262" s="215"/>
      <c r="I262" s="215"/>
      <c r="J262" s="215"/>
      <c r="K262" s="215"/>
      <c r="L262" s="215"/>
      <c r="M262" s="215"/>
      <c r="N262" s="215"/>
      <c r="O262" s="215"/>
      <c r="P262" s="215"/>
      <c r="Q262" s="205"/>
      <c r="R262" s="215"/>
      <c r="S262" s="215"/>
      <c r="T262" s="215"/>
      <c r="U262" s="215"/>
      <c r="V262" s="215"/>
      <c r="W262" s="215"/>
      <c r="X262" s="215"/>
      <c r="Y262" s="215"/>
      <c r="Z262" s="215"/>
    </row>
    <row r="263" spans="1:26" ht="15.75" customHeight="1" x14ac:dyDescent="0.2">
      <c r="A263" s="205"/>
      <c r="B263" s="336"/>
      <c r="C263" s="215"/>
      <c r="D263" s="215"/>
      <c r="E263" s="215"/>
      <c r="F263" s="215"/>
      <c r="G263" s="215"/>
      <c r="H263" s="215"/>
      <c r="I263" s="215"/>
      <c r="J263" s="215"/>
      <c r="K263" s="215"/>
      <c r="L263" s="215"/>
      <c r="M263" s="215"/>
      <c r="N263" s="215"/>
      <c r="O263" s="215"/>
      <c r="P263" s="215"/>
      <c r="Q263" s="205"/>
      <c r="R263" s="215"/>
      <c r="S263" s="215"/>
      <c r="T263" s="215"/>
      <c r="U263" s="215"/>
      <c r="V263" s="215"/>
      <c r="W263" s="215"/>
      <c r="X263" s="215"/>
      <c r="Y263" s="215"/>
      <c r="Z263" s="215"/>
    </row>
    <row r="264" spans="1:26" ht="15.75" customHeight="1" x14ac:dyDescent="0.2">
      <c r="A264" s="205"/>
      <c r="B264" s="336"/>
      <c r="C264" s="215"/>
      <c r="D264" s="215"/>
      <c r="E264" s="215"/>
      <c r="F264" s="215"/>
      <c r="G264" s="215"/>
      <c r="H264" s="215"/>
      <c r="I264" s="215"/>
      <c r="J264" s="215"/>
      <c r="K264" s="215"/>
      <c r="L264" s="215"/>
      <c r="M264" s="215"/>
      <c r="N264" s="215"/>
      <c r="O264" s="215"/>
      <c r="P264" s="215"/>
      <c r="Q264" s="205"/>
      <c r="R264" s="215"/>
      <c r="S264" s="215"/>
      <c r="T264" s="215"/>
      <c r="U264" s="215"/>
      <c r="V264" s="215"/>
      <c r="W264" s="215"/>
      <c r="X264" s="215"/>
      <c r="Y264" s="215"/>
      <c r="Z264" s="215"/>
    </row>
    <row r="265" spans="1:26" ht="15.75" customHeight="1" x14ac:dyDescent="0.2">
      <c r="A265" s="205"/>
      <c r="B265" s="336"/>
      <c r="C265" s="215"/>
      <c r="D265" s="215"/>
      <c r="E265" s="215"/>
      <c r="F265" s="215"/>
      <c r="G265" s="215"/>
      <c r="H265" s="215"/>
      <c r="I265" s="215"/>
      <c r="J265" s="215"/>
      <c r="K265" s="215"/>
      <c r="L265" s="215"/>
      <c r="M265" s="215"/>
      <c r="N265" s="215"/>
      <c r="O265" s="215"/>
      <c r="P265" s="215"/>
      <c r="Q265" s="205"/>
      <c r="R265" s="215"/>
      <c r="S265" s="215"/>
      <c r="T265" s="215"/>
      <c r="U265" s="215"/>
      <c r="V265" s="215"/>
      <c r="W265" s="215"/>
      <c r="X265" s="215"/>
      <c r="Y265" s="215"/>
      <c r="Z265" s="215"/>
    </row>
    <row r="266" spans="1:26" ht="15.75" customHeight="1" x14ac:dyDescent="0.2">
      <c r="A266" s="205"/>
      <c r="B266" s="336"/>
      <c r="C266" s="215"/>
      <c r="D266" s="215"/>
      <c r="E266" s="215"/>
      <c r="F266" s="215"/>
      <c r="G266" s="215"/>
      <c r="H266" s="215"/>
      <c r="I266" s="215"/>
      <c r="J266" s="215"/>
      <c r="K266" s="215"/>
      <c r="L266" s="215"/>
      <c r="M266" s="215"/>
      <c r="N266" s="215"/>
      <c r="O266" s="215"/>
      <c r="P266" s="215"/>
      <c r="Q266" s="205"/>
      <c r="R266" s="215"/>
      <c r="S266" s="215"/>
      <c r="T266" s="215"/>
      <c r="U266" s="215"/>
      <c r="V266" s="215"/>
      <c r="W266" s="215"/>
      <c r="X266" s="215"/>
      <c r="Y266" s="215"/>
      <c r="Z266" s="215"/>
    </row>
    <row r="267" spans="1:26" ht="15.75" customHeight="1" x14ac:dyDescent="0.2">
      <c r="A267" s="205"/>
      <c r="B267" s="336"/>
      <c r="C267" s="215"/>
      <c r="D267" s="215"/>
      <c r="E267" s="215"/>
      <c r="F267" s="215"/>
      <c r="G267" s="215"/>
      <c r="H267" s="215"/>
      <c r="I267" s="215"/>
      <c r="J267" s="215"/>
      <c r="K267" s="215"/>
      <c r="L267" s="215"/>
      <c r="M267" s="215"/>
      <c r="N267" s="215"/>
      <c r="O267" s="215"/>
      <c r="P267" s="215"/>
      <c r="Q267" s="205"/>
      <c r="R267" s="215"/>
      <c r="S267" s="215"/>
      <c r="T267" s="215"/>
      <c r="U267" s="215"/>
      <c r="V267" s="215"/>
      <c r="W267" s="215"/>
      <c r="X267" s="215"/>
      <c r="Y267" s="215"/>
      <c r="Z267" s="215"/>
    </row>
    <row r="268" spans="1:26" ht="15.75" customHeight="1" x14ac:dyDescent="0.2">
      <c r="A268" s="205"/>
      <c r="B268" s="336"/>
      <c r="C268" s="215"/>
      <c r="D268" s="215"/>
      <c r="E268" s="215"/>
      <c r="F268" s="215"/>
      <c r="G268" s="215"/>
      <c r="H268" s="215"/>
      <c r="I268" s="215"/>
      <c r="J268" s="215"/>
      <c r="K268" s="215"/>
      <c r="L268" s="215"/>
      <c r="M268" s="215"/>
      <c r="N268" s="215"/>
      <c r="O268" s="215"/>
      <c r="P268" s="215"/>
      <c r="Q268" s="205"/>
      <c r="R268" s="215"/>
      <c r="S268" s="215"/>
      <c r="T268" s="215"/>
      <c r="U268" s="215"/>
      <c r="V268" s="215"/>
      <c r="W268" s="215"/>
      <c r="X268" s="215"/>
      <c r="Y268" s="215"/>
      <c r="Z268" s="215"/>
    </row>
    <row r="269" spans="1:26" ht="15.75" customHeight="1" x14ac:dyDescent="0.2">
      <c r="A269" s="205"/>
      <c r="B269" s="336"/>
      <c r="C269" s="215"/>
      <c r="D269" s="215"/>
      <c r="E269" s="215"/>
      <c r="F269" s="215"/>
      <c r="G269" s="215"/>
      <c r="H269" s="215"/>
      <c r="I269" s="215"/>
      <c r="J269" s="215"/>
      <c r="K269" s="215"/>
      <c r="L269" s="215"/>
      <c r="M269" s="215"/>
      <c r="N269" s="215"/>
      <c r="O269" s="215"/>
      <c r="P269" s="215"/>
      <c r="Q269" s="205"/>
      <c r="R269" s="215"/>
      <c r="S269" s="215"/>
      <c r="T269" s="215"/>
      <c r="U269" s="215"/>
      <c r="V269" s="215"/>
      <c r="W269" s="215"/>
      <c r="X269" s="215"/>
      <c r="Y269" s="215"/>
      <c r="Z269" s="215"/>
    </row>
    <row r="270" spans="1:26" ht="15.75" customHeight="1" x14ac:dyDescent="0.2">
      <c r="A270" s="205"/>
      <c r="B270" s="336"/>
      <c r="C270" s="215"/>
      <c r="D270" s="215"/>
      <c r="E270" s="215"/>
      <c r="F270" s="215"/>
      <c r="G270" s="215"/>
      <c r="H270" s="215"/>
      <c r="I270" s="215"/>
      <c r="J270" s="215"/>
      <c r="K270" s="215"/>
      <c r="L270" s="215"/>
      <c r="M270" s="215"/>
      <c r="N270" s="215"/>
      <c r="O270" s="215"/>
      <c r="P270" s="215"/>
      <c r="Q270" s="205"/>
      <c r="R270" s="215"/>
      <c r="S270" s="215"/>
      <c r="T270" s="215"/>
      <c r="U270" s="215"/>
      <c r="V270" s="215"/>
      <c r="W270" s="215"/>
      <c r="X270" s="215"/>
      <c r="Y270" s="215"/>
      <c r="Z270" s="215"/>
    </row>
    <row r="271" spans="1:26" ht="15.75" customHeight="1" x14ac:dyDescent="0.2">
      <c r="A271" s="205"/>
      <c r="B271" s="336"/>
      <c r="C271" s="215"/>
      <c r="D271" s="215"/>
      <c r="E271" s="215"/>
      <c r="F271" s="215"/>
      <c r="G271" s="215"/>
      <c r="H271" s="215"/>
      <c r="I271" s="215"/>
      <c r="J271" s="215"/>
      <c r="K271" s="215"/>
      <c r="L271" s="215"/>
      <c r="M271" s="215"/>
      <c r="N271" s="215"/>
      <c r="O271" s="215"/>
      <c r="P271" s="215"/>
      <c r="Q271" s="205"/>
      <c r="R271" s="215"/>
      <c r="S271" s="215"/>
      <c r="T271" s="215"/>
      <c r="U271" s="215"/>
      <c r="V271" s="215"/>
      <c r="W271" s="215"/>
      <c r="X271" s="215"/>
      <c r="Y271" s="215"/>
      <c r="Z271" s="215"/>
    </row>
    <row r="272" spans="1:26" ht="15.75" customHeight="1" x14ac:dyDescent="0.2">
      <c r="A272" s="205"/>
      <c r="B272" s="336"/>
      <c r="C272" s="215"/>
      <c r="D272" s="215"/>
      <c r="E272" s="215"/>
      <c r="F272" s="215"/>
      <c r="G272" s="215"/>
      <c r="H272" s="215"/>
      <c r="I272" s="215"/>
      <c r="J272" s="215"/>
      <c r="K272" s="215"/>
      <c r="L272" s="215"/>
      <c r="M272" s="215"/>
      <c r="N272" s="215"/>
      <c r="O272" s="215"/>
      <c r="P272" s="215"/>
      <c r="Q272" s="205"/>
      <c r="R272" s="215"/>
      <c r="S272" s="215"/>
      <c r="T272" s="215"/>
      <c r="U272" s="215"/>
      <c r="V272" s="215"/>
      <c r="W272" s="215"/>
      <c r="X272" s="215"/>
      <c r="Y272" s="215"/>
      <c r="Z272" s="215"/>
    </row>
    <row r="273" spans="1:26" ht="15.75" customHeight="1" x14ac:dyDescent="0.2">
      <c r="A273" s="205"/>
      <c r="B273" s="336"/>
      <c r="C273" s="215"/>
      <c r="D273" s="215"/>
      <c r="E273" s="215"/>
      <c r="F273" s="215"/>
      <c r="G273" s="215"/>
      <c r="H273" s="215"/>
      <c r="I273" s="215"/>
      <c r="J273" s="215"/>
      <c r="K273" s="215"/>
      <c r="L273" s="215"/>
      <c r="M273" s="215"/>
      <c r="N273" s="215"/>
      <c r="O273" s="215"/>
      <c r="P273" s="215"/>
      <c r="Q273" s="205"/>
      <c r="R273" s="215"/>
      <c r="S273" s="215"/>
      <c r="T273" s="215"/>
      <c r="U273" s="215"/>
      <c r="V273" s="215"/>
      <c r="W273" s="215"/>
      <c r="X273" s="215"/>
      <c r="Y273" s="215"/>
      <c r="Z273" s="215"/>
    </row>
    <row r="274" spans="1:26" ht="15.75" customHeight="1" x14ac:dyDescent="0.2">
      <c r="A274" s="205"/>
      <c r="B274" s="336"/>
      <c r="C274" s="215"/>
      <c r="D274" s="215"/>
      <c r="E274" s="215"/>
      <c r="F274" s="215"/>
      <c r="G274" s="215"/>
      <c r="H274" s="215"/>
      <c r="I274" s="215"/>
      <c r="J274" s="215"/>
      <c r="K274" s="215"/>
      <c r="L274" s="215"/>
      <c r="M274" s="215"/>
      <c r="N274" s="215"/>
      <c r="O274" s="215"/>
      <c r="P274" s="215"/>
      <c r="Q274" s="205"/>
      <c r="R274" s="215"/>
      <c r="S274" s="215"/>
      <c r="T274" s="215"/>
      <c r="U274" s="215"/>
      <c r="V274" s="215"/>
      <c r="W274" s="215"/>
      <c r="X274" s="215"/>
      <c r="Y274" s="215"/>
      <c r="Z274" s="215"/>
    </row>
    <row r="275" spans="1:26" ht="15.75" customHeight="1" x14ac:dyDescent="0.2">
      <c r="A275" s="205"/>
      <c r="B275" s="336"/>
      <c r="C275" s="215"/>
      <c r="D275" s="215"/>
      <c r="E275" s="215"/>
      <c r="F275" s="215"/>
      <c r="G275" s="215"/>
      <c r="H275" s="215"/>
      <c r="I275" s="215"/>
      <c r="J275" s="215"/>
      <c r="K275" s="215"/>
      <c r="L275" s="215"/>
      <c r="M275" s="215"/>
      <c r="N275" s="215"/>
      <c r="O275" s="215"/>
      <c r="P275" s="215"/>
      <c r="Q275" s="205"/>
      <c r="R275" s="215"/>
      <c r="S275" s="215"/>
      <c r="T275" s="215"/>
      <c r="U275" s="215"/>
      <c r="V275" s="215"/>
      <c r="W275" s="215"/>
      <c r="X275" s="215"/>
      <c r="Y275" s="215"/>
      <c r="Z275" s="215"/>
    </row>
    <row r="276" spans="1:26" ht="15.75" customHeight="1" x14ac:dyDescent="0.2">
      <c r="A276" s="205"/>
      <c r="B276" s="336"/>
      <c r="C276" s="215"/>
      <c r="D276" s="215"/>
      <c r="E276" s="215"/>
      <c r="F276" s="215"/>
      <c r="G276" s="215"/>
      <c r="H276" s="215"/>
      <c r="I276" s="215"/>
      <c r="J276" s="215"/>
      <c r="K276" s="215"/>
      <c r="L276" s="215"/>
      <c r="M276" s="215"/>
      <c r="N276" s="215"/>
      <c r="O276" s="215"/>
      <c r="P276" s="215"/>
      <c r="Q276" s="205"/>
      <c r="R276" s="215"/>
      <c r="S276" s="215"/>
      <c r="T276" s="215"/>
      <c r="U276" s="215"/>
      <c r="V276" s="215"/>
      <c r="W276" s="215"/>
      <c r="X276" s="215"/>
      <c r="Y276" s="215"/>
      <c r="Z276" s="215"/>
    </row>
    <row r="277" spans="1:26" ht="15.75" customHeight="1" x14ac:dyDescent="0.2">
      <c r="A277" s="205"/>
      <c r="B277" s="336"/>
      <c r="C277" s="215"/>
      <c r="D277" s="215"/>
      <c r="E277" s="215"/>
      <c r="F277" s="215"/>
      <c r="G277" s="215"/>
      <c r="H277" s="215"/>
      <c r="I277" s="215"/>
      <c r="J277" s="215"/>
      <c r="K277" s="215"/>
      <c r="L277" s="215"/>
      <c r="M277" s="215"/>
      <c r="N277" s="215"/>
      <c r="O277" s="215"/>
      <c r="P277" s="215"/>
      <c r="Q277" s="205"/>
      <c r="R277" s="215"/>
      <c r="S277" s="215"/>
      <c r="T277" s="215"/>
      <c r="U277" s="215"/>
      <c r="V277" s="215"/>
      <c r="W277" s="215"/>
      <c r="X277" s="215"/>
      <c r="Y277" s="215"/>
      <c r="Z277" s="215"/>
    </row>
    <row r="278" spans="1:26" ht="15.75" customHeight="1" x14ac:dyDescent="0.2">
      <c r="A278" s="205"/>
      <c r="B278" s="336"/>
      <c r="C278" s="215"/>
      <c r="D278" s="215"/>
      <c r="E278" s="215"/>
      <c r="F278" s="215"/>
      <c r="G278" s="215"/>
      <c r="H278" s="215"/>
      <c r="I278" s="215"/>
      <c r="J278" s="215"/>
      <c r="K278" s="215"/>
      <c r="L278" s="215"/>
      <c r="M278" s="215"/>
      <c r="N278" s="215"/>
      <c r="O278" s="215"/>
      <c r="P278" s="215"/>
      <c r="Q278" s="205"/>
      <c r="R278" s="215"/>
      <c r="S278" s="215"/>
      <c r="T278" s="215"/>
      <c r="U278" s="215"/>
      <c r="V278" s="215"/>
      <c r="W278" s="215"/>
      <c r="X278" s="215"/>
      <c r="Y278" s="215"/>
      <c r="Z278" s="215"/>
    </row>
    <row r="279" spans="1:26" ht="15.75" customHeight="1" x14ac:dyDescent="0.2">
      <c r="A279" s="205"/>
      <c r="B279" s="336"/>
      <c r="C279" s="215"/>
      <c r="D279" s="215"/>
      <c r="E279" s="215"/>
      <c r="F279" s="215"/>
      <c r="G279" s="215"/>
      <c r="H279" s="215"/>
      <c r="I279" s="215"/>
      <c r="J279" s="215"/>
      <c r="K279" s="215"/>
      <c r="L279" s="215"/>
      <c r="M279" s="215"/>
      <c r="N279" s="215"/>
      <c r="O279" s="215"/>
      <c r="P279" s="215"/>
      <c r="Q279" s="205"/>
      <c r="R279" s="215"/>
      <c r="S279" s="215"/>
      <c r="T279" s="215"/>
      <c r="U279" s="215"/>
      <c r="V279" s="215"/>
      <c r="W279" s="215"/>
      <c r="X279" s="215"/>
      <c r="Y279" s="215"/>
      <c r="Z279" s="215"/>
    </row>
    <row r="280" spans="1:26" ht="15.75" customHeight="1" x14ac:dyDescent="0.2">
      <c r="A280" s="205"/>
      <c r="B280" s="336"/>
      <c r="C280" s="215"/>
      <c r="D280" s="215"/>
      <c r="E280" s="215"/>
      <c r="F280" s="215"/>
      <c r="G280" s="215"/>
      <c r="H280" s="215"/>
      <c r="I280" s="215"/>
      <c r="J280" s="215"/>
      <c r="K280" s="215"/>
      <c r="L280" s="215"/>
      <c r="M280" s="215"/>
      <c r="N280" s="215"/>
      <c r="O280" s="215"/>
      <c r="P280" s="215"/>
      <c r="Q280" s="205"/>
      <c r="R280" s="215"/>
      <c r="S280" s="215"/>
      <c r="T280" s="215"/>
      <c r="U280" s="215"/>
      <c r="V280" s="215"/>
      <c r="W280" s="215"/>
      <c r="X280" s="215"/>
      <c r="Y280" s="215"/>
      <c r="Z280" s="215"/>
    </row>
    <row r="281" spans="1:26" ht="15.75" customHeight="1" x14ac:dyDescent="0.2">
      <c r="A281" s="205"/>
      <c r="B281" s="336"/>
      <c r="C281" s="215"/>
      <c r="D281" s="215"/>
      <c r="E281" s="215"/>
      <c r="F281" s="215"/>
      <c r="G281" s="215"/>
      <c r="H281" s="215"/>
      <c r="I281" s="215"/>
      <c r="J281" s="215"/>
      <c r="K281" s="215"/>
      <c r="L281" s="215"/>
      <c r="M281" s="215"/>
      <c r="N281" s="215"/>
      <c r="O281" s="215"/>
      <c r="P281" s="215"/>
      <c r="Q281" s="205"/>
      <c r="R281" s="215"/>
      <c r="S281" s="215"/>
      <c r="T281" s="215"/>
      <c r="U281" s="215"/>
      <c r="V281" s="215"/>
      <c r="W281" s="215"/>
      <c r="X281" s="215"/>
      <c r="Y281" s="215"/>
      <c r="Z281" s="215"/>
    </row>
    <row r="282" spans="1:26" ht="15.75" customHeight="1" x14ac:dyDescent="0.2">
      <c r="A282" s="205"/>
      <c r="B282" s="336"/>
      <c r="C282" s="215"/>
      <c r="D282" s="215"/>
      <c r="E282" s="215"/>
      <c r="F282" s="215"/>
      <c r="G282" s="215"/>
      <c r="H282" s="215"/>
      <c r="I282" s="215"/>
      <c r="J282" s="215"/>
      <c r="K282" s="215"/>
      <c r="L282" s="215"/>
      <c r="M282" s="215"/>
      <c r="N282" s="215"/>
      <c r="O282" s="215"/>
      <c r="P282" s="215"/>
      <c r="Q282" s="205"/>
      <c r="R282" s="215"/>
      <c r="S282" s="215"/>
      <c r="T282" s="215"/>
      <c r="U282" s="215"/>
      <c r="V282" s="215"/>
      <c r="W282" s="215"/>
      <c r="X282" s="215"/>
      <c r="Y282" s="215"/>
      <c r="Z282" s="215"/>
    </row>
    <row r="283" spans="1:26" ht="15.75" customHeight="1" x14ac:dyDescent="0.2">
      <c r="A283" s="205"/>
      <c r="B283" s="336"/>
      <c r="C283" s="215"/>
      <c r="D283" s="215"/>
      <c r="E283" s="215"/>
      <c r="F283" s="215"/>
      <c r="G283" s="215"/>
      <c r="H283" s="215"/>
      <c r="I283" s="215"/>
      <c r="J283" s="215"/>
      <c r="K283" s="215"/>
      <c r="L283" s="215"/>
      <c r="M283" s="215"/>
      <c r="N283" s="215"/>
      <c r="O283" s="215"/>
      <c r="P283" s="215"/>
      <c r="Q283" s="205"/>
      <c r="R283" s="215"/>
      <c r="S283" s="215"/>
      <c r="T283" s="215"/>
      <c r="U283" s="215"/>
      <c r="V283" s="215"/>
      <c r="W283" s="215"/>
      <c r="X283" s="215"/>
      <c r="Y283" s="215"/>
      <c r="Z283" s="215"/>
    </row>
    <row r="284" spans="1:26" ht="15.75" customHeight="1" x14ac:dyDescent="0.2">
      <c r="A284" s="205"/>
      <c r="B284" s="336"/>
      <c r="C284" s="215"/>
      <c r="D284" s="215"/>
      <c r="E284" s="215"/>
      <c r="F284" s="215"/>
      <c r="G284" s="215"/>
      <c r="H284" s="215"/>
      <c r="I284" s="215"/>
      <c r="J284" s="215"/>
      <c r="K284" s="215"/>
      <c r="L284" s="215"/>
      <c r="M284" s="215"/>
      <c r="N284" s="215"/>
      <c r="O284" s="215"/>
      <c r="P284" s="215"/>
      <c r="Q284" s="205"/>
      <c r="R284" s="215"/>
      <c r="S284" s="215"/>
      <c r="T284" s="215"/>
      <c r="U284" s="215"/>
      <c r="V284" s="215"/>
      <c r="W284" s="215"/>
      <c r="X284" s="215"/>
      <c r="Y284" s="215"/>
      <c r="Z284" s="215"/>
    </row>
    <row r="285" spans="1:26" ht="15.75" customHeight="1" x14ac:dyDescent="0.2">
      <c r="A285" s="205"/>
      <c r="B285" s="336"/>
      <c r="C285" s="215"/>
      <c r="D285" s="215"/>
      <c r="E285" s="215"/>
      <c r="F285" s="215"/>
      <c r="G285" s="215"/>
      <c r="H285" s="215"/>
      <c r="I285" s="215"/>
      <c r="J285" s="215"/>
      <c r="K285" s="215"/>
      <c r="L285" s="215"/>
      <c r="M285" s="215"/>
      <c r="N285" s="215"/>
      <c r="O285" s="215"/>
      <c r="P285" s="215"/>
      <c r="Q285" s="205"/>
      <c r="R285" s="215"/>
      <c r="S285" s="215"/>
      <c r="T285" s="215"/>
      <c r="U285" s="215"/>
      <c r="V285" s="215"/>
      <c r="W285" s="215"/>
      <c r="X285" s="215"/>
      <c r="Y285" s="215"/>
      <c r="Z285" s="215"/>
    </row>
    <row r="286" spans="1:26" ht="15.75" customHeight="1" x14ac:dyDescent="0.2">
      <c r="A286" s="205"/>
      <c r="B286" s="336"/>
      <c r="C286" s="215"/>
      <c r="D286" s="215"/>
      <c r="E286" s="215"/>
      <c r="F286" s="215"/>
      <c r="G286" s="215"/>
      <c r="H286" s="215"/>
      <c r="I286" s="215"/>
      <c r="J286" s="215"/>
      <c r="K286" s="215"/>
      <c r="L286" s="215"/>
      <c r="M286" s="215"/>
      <c r="N286" s="215"/>
      <c r="O286" s="215"/>
      <c r="P286" s="215"/>
      <c r="Q286" s="205"/>
      <c r="R286" s="215"/>
      <c r="S286" s="215"/>
      <c r="T286" s="215"/>
      <c r="U286" s="215"/>
      <c r="V286" s="215"/>
      <c r="W286" s="215"/>
      <c r="X286" s="215"/>
      <c r="Y286" s="215"/>
      <c r="Z286" s="215"/>
    </row>
    <row r="287" spans="1:26" ht="15.75" customHeight="1" x14ac:dyDescent="0.2">
      <c r="A287" s="205"/>
      <c r="B287" s="336"/>
      <c r="C287" s="215"/>
      <c r="D287" s="215"/>
      <c r="E287" s="215"/>
      <c r="F287" s="215"/>
      <c r="G287" s="215"/>
      <c r="H287" s="215"/>
      <c r="I287" s="215"/>
      <c r="J287" s="215"/>
      <c r="K287" s="215"/>
      <c r="L287" s="215"/>
      <c r="M287" s="215"/>
      <c r="N287" s="215"/>
      <c r="O287" s="215"/>
      <c r="P287" s="215"/>
      <c r="Q287" s="205"/>
      <c r="R287" s="215"/>
      <c r="S287" s="215"/>
      <c r="T287" s="215"/>
      <c r="U287" s="215"/>
      <c r="V287" s="215"/>
      <c r="W287" s="215"/>
      <c r="X287" s="215"/>
      <c r="Y287" s="215"/>
      <c r="Z287" s="215"/>
    </row>
    <row r="288" spans="1:26" ht="15.75" customHeight="1" x14ac:dyDescent="0.2">
      <c r="A288" s="205"/>
      <c r="B288" s="336"/>
      <c r="C288" s="215"/>
      <c r="D288" s="215"/>
      <c r="E288" s="215"/>
      <c r="F288" s="215"/>
      <c r="G288" s="215"/>
      <c r="H288" s="215"/>
      <c r="I288" s="215"/>
      <c r="J288" s="215"/>
      <c r="K288" s="215"/>
      <c r="L288" s="215"/>
      <c r="M288" s="215"/>
      <c r="N288" s="215"/>
      <c r="O288" s="215"/>
      <c r="P288" s="215"/>
      <c r="Q288" s="205"/>
      <c r="R288" s="215"/>
      <c r="S288" s="215"/>
      <c r="T288" s="215"/>
      <c r="U288" s="215"/>
      <c r="V288" s="215"/>
      <c r="W288" s="215"/>
      <c r="X288" s="215"/>
      <c r="Y288" s="215"/>
      <c r="Z288" s="215"/>
    </row>
    <row r="289" spans="1:26" ht="15.75" customHeight="1" x14ac:dyDescent="0.2">
      <c r="A289" s="205"/>
      <c r="B289" s="336"/>
      <c r="C289" s="215"/>
      <c r="D289" s="215"/>
      <c r="E289" s="215"/>
      <c r="F289" s="215"/>
      <c r="G289" s="215"/>
      <c r="H289" s="215"/>
      <c r="I289" s="215"/>
      <c r="J289" s="215"/>
      <c r="K289" s="215"/>
      <c r="L289" s="215"/>
      <c r="M289" s="215"/>
      <c r="N289" s="215"/>
      <c r="O289" s="215"/>
      <c r="P289" s="215"/>
      <c r="Q289" s="205"/>
      <c r="R289" s="215"/>
      <c r="S289" s="215"/>
      <c r="T289" s="215"/>
      <c r="U289" s="215"/>
      <c r="V289" s="215"/>
      <c r="W289" s="215"/>
      <c r="X289" s="215"/>
      <c r="Y289" s="215"/>
      <c r="Z289" s="215"/>
    </row>
    <row r="290" spans="1:26" ht="15.75" customHeight="1" x14ac:dyDescent="0.2">
      <c r="A290" s="205"/>
      <c r="B290" s="336"/>
      <c r="C290" s="215"/>
      <c r="D290" s="215"/>
      <c r="E290" s="215"/>
      <c r="F290" s="215"/>
      <c r="G290" s="215"/>
      <c r="H290" s="215"/>
      <c r="I290" s="215"/>
      <c r="J290" s="215"/>
      <c r="K290" s="215"/>
      <c r="L290" s="215"/>
      <c r="M290" s="215"/>
      <c r="N290" s="215"/>
      <c r="O290" s="215"/>
      <c r="P290" s="215"/>
      <c r="Q290" s="205"/>
      <c r="R290" s="215"/>
      <c r="S290" s="215"/>
      <c r="T290" s="215"/>
      <c r="U290" s="215"/>
      <c r="V290" s="215"/>
      <c r="W290" s="215"/>
      <c r="X290" s="215"/>
      <c r="Y290" s="215"/>
      <c r="Z290" s="215"/>
    </row>
    <row r="291" spans="1:26" ht="15.75" customHeight="1" x14ac:dyDescent="0.2">
      <c r="A291" s="205"/>
      <c r="B291" s="336"/>
      <c r="C291" s="215"/>
      <c r="D291" s="215"/>
      <c r="E291" s="215"/>
      <c r="F291" s="215"/>
      <c r="G291" s="215"/>
      <c r="H291" s="215"/>
      <c r="I291" s="215"/>
      <c r="J291" s="215"/>
      <c r="K291" s="215"/>
      <c r="L291" s="215"/>
      <c r="M291" s="215"/>
      <c r="N291" s="215"/>
      <c r="O291" s="215"/>
      <c r="P291" s="215"/>
      <c r="Q291" s="205"/>
      <c r="R291" s="215"/>
      <c r="S291" s="215"/>
      <c r="T291" s="215"/>
      <c r="U291" s="215"/>
      <c r="V291" s="215"/>
      <c r="W291" s="215"/>
      <c r="X291" s="215"/>
      <c r="Y291" s="215"/>
      <c r="Z291" s="215"/>
    </row>
    <row r="292" spans="1:26" ht="15.75" customHeight="1" x14ac:dyDescent="0.2">
      <c r="A292" s="205"/>
      <c r="B292" s="336"/>
      <c r="C292" s="215"/>
      <c r="D292" s="215"/>
      <c r="E292" s="215"/>
      <c r="F292" s="215"/>
      <c r="G292" s="215"/>
      <c r="H292" s="215"/>
      <c r="I292" s="215"/>
      <c r="J292" s="215"/>
      <c r="K292" s="215"/>
      <c r="L292" s="215"/>
      <c r="M292" s="215"/>
      <c r="N292" s="215"/>
      <c r="O292" s="215"/>
      <c r="P292" s="215"/>
      <c r="Q292" s="205"/>
      <c r="R292" s="215"/>
      <c r="S292" s="215"/>
      <c r="T292" s="215"/>
      <c r="U292" s="215"/>
      <c r="V292" s="215"/>
      <c r="W292" s="215"/>
      <c r="X292" s="215"/>
      <c r="Y292" s="215"/>
      <c r="Z292" s="215"/>
    </row>
    <row r="293" spans="1:26" ht="15.75" customHeight="1" x14ac:dyDescent="0.2">
      <c r="A293" s="205"/>
      <c r="B293" s="336"/>
      <c r="C293" s="215"/>
      <c r="D293" s="215"/>
      <c r="E293" s="215"/>
      <c r="F293" s="215"/>
      <c r="G293" s="215"/>
      <c r="H293" s="215"/>
      <c r="I293" s="215"/>
      <c r="J293" s="215"/>
      <c r="K293" s="215"/>
      <c r="L293" s="215"/>
      <c r="M293" s="215"/>
      <c r="N293" s="215"/>
      <c r="O293" s="215"/>
      <c r="P293" s="215"/>
      <c r="Q293" s="205"/>
      <c r="R293" s="215"/>
      <c r="S293" s="215"/>
      <c r="T293" s="215"/>
      <c r="U293" s="215"/>
      <c r="V293" s="215"/>
      <c r="W293" s="215"/>
      <c r="X293" s="215"/>
      <c r="Y293" s="215"/>
      <c r="Z293" s="215"/>
    </row>
    <row r="294" spans="1:26" ht="15.75" customHeight="1" x14ac:dyDescent="0.2">
      <c r="A294" s="205"/>
      <c r="B294" s="336"/>
      <c r="C294" s="215"/>
      <c r="D294" s="215"/>
      <c r="E294" s="215"/>
      <c r="F294" s="215"/>
      <c r="G294" s="215"/>
      <c r="H294" s="215"/>
      <c r="I294" s="215"/>
      <c r="J294" s="215"/>
      <c r="K294" s="215"/>
      <c r="L294" s="215"/>
      <c r="M294" s="215"/>
      <c r="N294" s="215"/>
      <c r="O294" s="215"/>
      <c r="P294" s="215"/>
      <c r="Q294" s="205"/>
      <c r="R294" s="215"/>
      <c r="S294" s="215"/>
      <c r="T294" s="215"/>
      <c r="U294" s="215"/>
      <c r="V294" s="215"/>
      <c r="W294" s="215"/>
      <c r="X294" s="215"/>
      <c r="Y294" s="215"/>
      <c r="Z294" s="215"/>
    </row>
    <row r="295" spans="1:26" ht="15.75" customHeight="1" x14ac:dyDescent="0.2">
      <c r="A295" s="205"/>
      <c r="B295" s="336"/>
      <c r="C295" s="215"/>
      <c r="D295" s="215"/>
      <c r="E295" s="215"/>
      <c r="F295" s="215"/>
      <c r="G295" s="215"/>
      <c r="H295" s="215"/>
      <c r="I295" s="215"/>
      <c r="J295" s="215"/>
      <c r="K295" s="215"/>
      <c r="L295" s="215"/>
      <c r="M295" s="215"/>
      <c r="N295" s="215"/>
      <c r="O295" s="215"/>
      <c r="P295" s="215"/>
      <c r="Q295" s="205"/>
      <c r="R295" s="215"/>
      <c r="S295" s="215"/>
      <c r="T295" s="215"/>
      <c r="U295" s="215"/>
      <c r="V295" s="215"/>
      <c r="W295" s="215"/>
      <c r="X295" s="215"/>
      <c r="Y295" s="215"/>
      <c r="Z295" s="215"/>
    </row>
    <row r="296" spans="1:26" ht="15.75" customHeight="1" x14ac:dyDescent="0.2">
      <c r="A296" s="205"/>
      <c r="B296" s="336"/>
      <c r="C296" s="215"/>
      <c r="D296" s="215"/>
      <c r="E296" s="215"/>
      <c r="F296" s="215"/>
      <c r="G296" s="215"/>
      <c r="H296" s="215"/>
      <c r="I296" s="215"/>
      <c r="J296" s="215"/>
      <c r="K296" s="215"/>
      <c r="L296" s="215"/>
      <c r="M296" s="215"/>
      <c r="N296" s="215"/>
      <c r="O296" s="215"/>
      <c r="P296" s="215"/>
      <c r="Q296" s="205"/>
      <c r="R296" s="215"/>
      <c r="S296" s="215"/>
      <c r="T296" s="215"/>
      <c r="U296" s="215"/>
      <c r="V296" s="215"/>
      <c r="W296" s="215"/>
      <c r="X296" s="215"/>
      <c r="Y296" s="215"/>
      <c r="Z296" s="215"/>
    </row>
    <row r="297" spans="1:26" ht="15.75" customHeight="1" x14ac:dyDescent="0.2">
      <c r="A297" s="205"/>
      <c r="B297" s="336"/>
      <c r="C297" s="215"/>
      <c r="D297" s="215"/>
      <c r="E297" s="215"/>
      <c r="F297" s="215"/>
      <c r="G297" s="215"/>
      <c r="H297" s="215"/>
      <c r="I297" s="215"/>
      <c r="J297" s="215"/>
      <c r="K297" s="215"/>
      <c r="L297" s="215"/>
      <c r="M297" s="215"/>
      <c r="N297" s="215"/>
      <c r="O297" s="215"/>
      <c r="P297" s="215"/>
      <c r="Q297" s="205"/>
      <c r="R297" s="215"/>
      <c r="S297" s="215"/>
      <c r="T297" s="215"/>
      <c r="U297" s="215"/>
      <c r="V297" s="215"/>
      <c r="W297" s="215"/>
      <c r="X297" s="215"/>
      <c r="Y297" s="215"/>
      <c r="Z297" s="215"/>
    </row>
    <row r="298" spans="1:26" ht="15.75" customHeight="1" x14ac:dyDescent="0.2">
      <c r="A298" s="205"/>
      <c r="B298" s="336"/>
      <c r="C298" s="215"/>
      <c r="D298" s="215"/>
      <c r="E298" s="215"/>
      <c r="F298" s="215"/>
      <c r="G298" s="215"/>
      <c r="H298" s="215"/>
      <c r="I298" s="215"/>
      <c r="J298" s="215"/>
      <c r="K298" s="215"/>
      <c r="L298" s="215"/>
      <c r="M298" s="215"/>
      <c r="N298" s="215"/>
      <c r="O298" s="215"/>
      <c r="P298" s="215"/>
      <c r="Q298" s="205"/>
      <c r="R298" s="215"/>
      <c r="S298" s="215"/>
      <c r="T298" s="215"/>
      <c r="U298" s="215"/>
      <c r="V298" s="215"/>
      <c r="W298" s="215"/>
      <c r="X298" s="215"/>
      <c r="Y298" s="215"/>
      <c r="Z298" s="215"/>
    </row>
    <row r="299" spans="1:26" ht="15.75" customHeight="1" x14ac:dyDescent="0.2"/>
    <row r="300" spans="1:26" ht="15.75" customHeight="1" x14ac:dyDescent="0.2"/>
    <row r="301" spans="1:26" ht="15.75" customHeight="1" x14ac:dyDescent="0.2"/>
    <row r="302" spans="1:26" ht="15.75" customHeight="1" x14ac:dyDescent="0.2"/>
    <row r="303" spans="1:26" ht="15.75" customHeight="1" x14ac:dyDescent="0.2"/>
    <row r="304" spans="1:26"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conditionalFormatting sqref="D68">
    <cfRule type="cellIs" dxfId="9" priority="1" operator="greaterThanOrEqual">
      <formula>0.15</formula>
    </cfRule>
  </conditionalFormatting>
  <conditionalFormatting sqref="D73">
    <cfRule type="cellIs" dxfId="8" priority="2" operator="lessThan">
      <formula>0.14</formula>
    </cfRule>
  </conditionalFormatting>
  <conditionalFormatting sqref="D73">
    <cfRule type="cellIs" dxfId="7" priority="3" operator="greaterThanOrEqual">
      <formula>0.15</formula>
    </cfRule>
  </conditionalFormatting>
  <conditionalFormatting sqref="D91">
    <cfRule type="cellIs" dxfId="6" priority="4" operator="greaterThanOrEqual">
      <formula>0.15</formula>
    </cfRule>
  </conditionalFormatting>
  <conditionalFormatting sqref="D92">
    <cfRule type="cellIs" dxfId="5" priority="5" operator="greaterThanOrEqual">
      <formula>0.06</formula>
    </cfRule>
  </conditionalFormatting>
  <conditionalFormatting sqref="D96">
    <cfRule type="cellIs" dxfId="4" priority="6" operator="greaterThanOrEqual">
      <formula>0.15</formula>
    </cfRule>
  </conditionalFormatting>
  <conditionalFormatting sqref="D97">
    <cfRule type="cellIs" dxfId="3" priority="7" operator="greaterThanOrEqual">
      <formula>0.06</formula>
    </cfRule>
  </conditionalFormatting>
  <conditionalFormatting sqref="E68">
    <cfRule type="cellIs" dxfId="2" priority="8" operator="greaterThanOrEqual">
      <formula>1.8</formula>
    </cfRule>
  </conditionalFormatting>
  <conditionalFormatting sqref="E73">
    <cfRule type="cellIs" dxfId="1" priority="9" operator="lessThan">
      <formula>1.8</formula>
    </cfRule>
  </conditionalFormatting>
  <conditionalFormatting sqref="E73">
    <cfRule type="cellIs" dxfId="0" priority="10" operator="greaterThanOrEqual">
      <formula>1.8</formula>
    </cfRule>
  </conditionalFormatting>
  <pageMargins left="0.25" right="0.25"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E2EFD9"/>
  </sheetPr>
  <dimension ref="A1:Z1000"/>
  <sheetViews>
    <sheetView showGridLines="0" workbookViewId="0"/>
  </sheetViews>
  <sheetFormatPr baseColWidth="10" defaultColWidth="11.1640625" defaultRowHeight="15" customHeight="1" x14ac:dyDescent="0.2"/>
  <cols>
    <col min="1" max="1" width="11.5" customWidth="1"/>
    <col min="2" max="2" width="5.6640625" customWidth="1"/>
    <col min="3" max="3" width="19.33203125" customWidth="1"/>
    <col min="4" max="4" width="17" customWidth="1"/>
    <col min="5" max="6" width="13.6640625" customWidth="1"/>
    <col min="7" max="7" width="33.5" customWidth="1"/>
    <col min="8" max="8" width="15.5" customWidth="1"/>
    <col min="9" max="26" width="11.5" customWidth="1"/>
  </cols>
  <sheetData>
    <row r="1" spans="1:26" ht="13.5" customHeight="1" x14ac:dyDescent="0.25">
      <c r="A1" s="360" t="s">
        <v>251</v>
      </c>
      <c r="B1" s="361"/>
      <c r="C1" s="361"/>
      <c r="D1" s="362"/>
      <c r="E1" s="361"/>
      <c r="F1" s="361"/>
      <c r="G1" s="361"/>
      <c r="H1" s="363"/>
      <c r="I1" s="363"/>
      <c r="J1" s="363"/>
      <c r="K1" s="363"/>
      <c r="L1" s="363"/>
      <c r="M1" s="363"/>
      <c r="N1" s="363"/>
      <c r="O1" s="363"/>
      <c r="P1" s="363"/>
      <c r="Q1" s="363"/>
      <c r="R1" s="363"/>
      <c r="S1" s="363"/>
      <c r="T1" s="363"/>
      <c r="U1" s="363"/>
      <c r="V1" s="363"/>
      <c r="W1" s="363"/>
      <c r="X1" s="363"/>
      <c r="Y1" s="363"/>
      <c r="Z1" s="363"/>
    </row>
    <row r="2" spans="1:26" ht="13.5" hidden="1" customHeight="1" x14ac:dyDescent="0.2">
      <c r="A2" s="363"/>
      <c r="B2" s="363" t="s">
        <v>252</v>
      </c>
      <c r="C2" s="363"/>
      <c r="D2" s="363"/>
      <c r="E2" s="363"/>
      <c r="F2" s="363"/>
      <c r="G2" s="363"/>
      <c r="H2" s="363"/>
      <c r="I2" s="363"/>
      <c r="J2" s="363"/>
      <c r="K2" s="363"/>
      <c r="L2" s="363"/>
      <c r="M2" s="363"/>
      <c r="N2" s="363"/>
      <c r="O2" s="363"/>
      <c r="P2" s="363"/>
      <c r="Q2" s="363"/>
      <c r="R2" s="363"/>
      <c r="S2" s="363"/>
      <c r="T2" s="363"/>
      <c r="U2" s="363"/>
      <c r="V2" s="363"/>
      <c r="W2" s="363"/>
      <c r="X2" s="363"/>
      <c r="Y2" s="363"/>
      <c r="Z2" s="363"/>
    </row>
    <row r="3" spans="1:26" ht="13.5" hidden="1" customHeight="1" x14ac:dyDescent="0.2">
      <c r="A3" s="363"/>
      <c r="B3" s="363" t="s">
        <v>253</v>
      </c>
      <c r="C3" s="363"/>
      <c r="D3" s="363"/>
      <c r="E3" s="363"/>
      <c r="F3" s="363"/>
      <c r="G3" s="363"/>
      <c r="H3" s="363"/>
      <c r="I3" s="363"/>
      <c r="J3" s="363"/>
      <c r="K3" s="363"/>
      <c r="L3" s="363"/>
      <c r="M3" s="363"/>
      <c r="N3" s="363"/>
      <c r="O3" s="363"/>
      <c r="P3" s="363"/>
      <c r="Q3" s="363"/>
      <c r="R3" s="363"/>
      <c r="S3" s="363"/>
      <c r="T3" s="363"/>
      <c r="U3" s="363"/>
      <c r="V3" s="363"/>
      <c r="W3" s="363"/>
      <c r="X3" s="363"/>
      <c r="Y3" s="363"/>
      <c r="Z3" s="363"/>
    </row>
    <row r="4" spans="1:26" ht="13.5" hidden="1" customHeight="1" x14ac:dyDescent="0.2">
      <c r="A4" s="363"/>
      <c r="B4" s="363" t="s">
        <v>254</v>
      </c>
      <c r="C4" s="363"/>
      <c r="D4" s="363"/>
      <c r="E4" s="363"/>
      <c r="F4" s="363"/>
      <c r="G4" s="363"/>
      <c r="H4" s="363"/>
      <c r="I4" s="363"/>
      <c r="J4" s="363"/>
      <c r="K4" s="363"/>
      <c r="L4" s="363"/>
      <c r="M4" s="363"/>
      <c r="N4" s="363"/>
      <c r="O4" s="363"/>
      <c r="P4" s="363"/>
      <c r="Q4" s="363"/>
      <c r="R4" s="363"/>
      <c r="S4" s="363"/>
      <c r="T4" s="363"/>
      <c r="U4" s="363"/>
      <c r="V4" s="363"/>
      <c r="W4" s="363"/>
      <c r="X4" s="363"/>
      <c r="Y4" s="363"/>
      <c r="Z4" s="363"/>
    </row>
    <row r="5" spans="1:26" ht="13.5" customHeight="1" x14ac:dyDescent="0.25">
      <c r="A5" s="360" t="s">
        <v>255</v>
      </c>
      <c r="B5" s="361"/>
      <c r="C5" s="361"/>
      <c r="D5" s="360"/>
      <c r="E5" s="361"/>
      <c r="F5" s="361"/>
      <c r="G5" s="361"/>
      <c r="H5" s="363"/>
      <c r="I5" s="363"/>
      <c r="J5" s="363"/>
      <c r="K5" s="363"/>
      <c r="L5" s="363"/>
      <c r="M5" s="363"/>
      <c r="N5" s="363"/>
      <c r="O5" s="363"/>
      <c r="P5" s="363"/>
      <c r="Q5" s="363"/>
      <c r="R5" s="363"/>
      <c r="S5" s="363"/>
      <c r="T5" s="363"/>
      <c r="U5" s="363"/>
      <c r="V5" s="363"/>
      <c r="W5" s="363"/>
      <c r="X5" s="363"/>
      <c r="Y5" s="363"/>
      <c r="Z5" s="363"/>
    </row>
    <row r="6" spans="1:26" ht="13.5" customHeight="1" x14ac:dyDescent="0.2">
      <c r="A6" s="364" t="s">
        <v>256</v>
      </c>
      <c r="B6" s="365"/>
      <c r="C6" s="366"/>
      <c r="D6" s="366"/>
      <c r="E6" s="364" t="s">
        <v>257</v>
      </c>
      <c r="F6" s="361"/>
      <c r="G6" s="361"/>
      <c r="H6" s="363"/>
      <c r="I6" s="363"/>
      <c r="J6" s="363"/>
      <c r="K6" s="363"/>
      <c r="L6" s="363"/>
      <c r="M6" s="363"/>
      <c r="N6" s="363"/>
      <c r="O6" s="363"/>
      <c r="P6" s="363"/>
      <c r="Q6" s="363"/>
      <c r="R6" s="363"/>
      <c r="S6" s="363"/>
      <c r="T6" s="363"/>
      <c r="U6" s="363"/>
      <c r="V6" s="363"/>
      <c r="W6" s="363"/>
      <c r="X6" s="363"/>
      <c r="Y6" s="363"/>
      <c r="Z6" s="363"/>
    </row>
    <row r="7" spans="1:26" ht="13.5" customHeight="1" x14ac:dyDescent="0.2">
      <c r="A7" s="363"/>
      <c r="B7" s="367" t="s">
        <v>258</v>
      </c>
      <c r="C7" s="368">
        <f>INPUTS!F13</f>
        <v>1454400</v>
      </c>
      <c r="D7" s="363"/>
      <c r="E7" s="363"/>
      <c r="F7" s="367" t="s">
        <v>259</v>
      </c>
      <c r="G7" s="369"/>
      <c r="H7" s="363"/>
      <c r="I7" s="363"/>
      <c r="J7" s="363"/>
      <c r="K7" s="363"/>
      <c r="L7" s="363"/>
      <c r="M7" s="363"/>
      <c r="N7" s="363"/>
      <c r="O7" s="363"/>
      <c r="P7" s="363"/>
      <c r="Q7" s="363"/>
      <c r="R7" s="363"/>
      <c r="S7" s="363"/>
      <c r="T7" s="363"/>
      <c r="U7" s="363"/>
      <c r="V7" s="363"/>
      <c r="W7" s="363"/>
      <c r="X7" s="363"/>
      <c r="Y7" s="363"/>
      <c r="Z7" s="363"/>
    </row>
    <row r="8" spans="1:26" ht="13.5" customHeight="1" x14ac:dyDescent="0.2">
      <c r="A8" s="363"/>
      <c r="B8" s="367" t="s">
        <v>260</v>
      </c>
      <c r="C8" s="370">
        <f>INPUTS!F14</f>
        <v>6.7500000000000004E-2</v>
      </c>
      <c r="D8" s="363"/>
      <c r="E8" s="363"/>
      <c r="F8" s="367" t="s">
        <v>261</v>
      </c>
      <c r="G8" s="371">
        <v>1</v>
      </c>
      <c r="H8" s="363"/>
      <c r="I8" s="363"/>
      <c r="J8" s="363"/>
      <c r="K8" s="363"/>
      <c r="L8" s="363"/>
      <c r="M8" s="363"/>
      <c r="N8" s="363"/>
      <c r="O8" s="363"/>
      <c r="P8" s="363"/>
      <c r="Q8" s="363"/>
      <c r="R8" s="363"/>
      <c r="S8" s="363"/>
      <c r="T8" s="363"/>
      <c r="U8" s="363"/>
      <c r="V8" s="363"/>
      <c r="W8" s="363"/>
      <c r="X8" s="363"/>
      <c r="Y8" s="363"/>
      <c r="Z8" s="363"/>
    </row>
    <row r="9" spans="1:26" ht="13.5" customHeight="1" x14ac:dyDescent="0.2">
      <c r="A9" s="363"/>
      <c r="B9" s="367" t="s">
        <v>262</v>
      </c>
      <c r="C9" s="372">
        <v>25</v>
      </c>
      <c r="D9" s="363"/>
      <c r="E9" s="373" t="s">
        <v>263</v>
      </c>
      <c r="F9" s="363"/>
      <c r="G9" s="363"/>
      <c r="H9" s="363"/>
      <c r="I9" s="363"/>
      <c r="J9" s="363"/>
      <c r="K9" s="363"/>
      <c r="L9" s="363"/>
      <c r="M9" s="363"/>
      <c r="N9" s="363"/>
      <c r="O9" s="363"/>
      <c r="P9" s="363"/>
      <c r="Q9" s="363"/>
      <c r="R9" s="363"/>
      <c r="S9" s="363"/>
      <c r="T9" s="363"/>
      <c r="U9" s="363"/>
      <c r="V9" s="363"/>
      <c r="W9" s="363"/>
      <c r="X9" s="363"/>
      <c r="Y9" s="363"/>
      <c r="Z9" s="363"/>
    </row>
    <row r="10" spans="1:26" ht="13.5" customHeight="1" x14ac:dyDescent="0.2">
      <c r="A10" s="363"/>
      <c r="B10" s="367" t="s">
        <v>264</v>
      </c>
      <c r="C10" s="374">
        <v>12</v>
      </c>
      <c r="D10" s="375"/>
      <c r="E10" s="363"/>
      <c r="F10" s="376">
        <f>INPUTS!H12*12</f>
        <v>24</v>
      </c>
      <c r="G10" s="363"/>
      <c r="H10" s="363"/>
      <c r="I10" s="363"/>
      <c r="J10" s="363"/>
      <c r="K10" s="363"/>
      <c r="L10" s="363"/>
      <c r="M10" s="363"/>
      <c r="N10" s="363"/>
      <c r="O10" s="363"/>
      <c r="P10" s="363"/>
      <c r="Q10" s="363"/>
      <c r="R10" s="363"/>
      <c r="S10" s="363"/>
      <c r="T10" s="363"/>
      <c r="U10" s="363"/>
      <c r="V10" s="363"/>
      <c r="W10" s="363"/>
      <c r="X10" s="363"/>
      <c r="Y10" s="363"/>
      <c r="Z10" s="363"/>
    </row>
    <row r="11" spans="1:26" ht="13.5" customHeight="1" x14ac:dyDescent="0.2">
      <c r="A11" s="363"/>
      <c r="B11" s="367" t="s">
        <v>265</v>
      </c>
      <c r="C11" s="377">
        <v>46143</v>
      </c>
      <c r="D11" s="363"/>
      <c r="E11" s="363"/>
      <c r="F11" s="363"/>
      <c r="G11" s="363"/>
      <c r="H11" s="363"/>
      <c r="I11" s="363"/>
      <c r="J11" s="363"/>
      <c r="K11" s="363"/>
      <c r="L11" s="363"/>
      <c r="M11" s="363"/>
      <c r="N11" s="363"/>
      <c r="O11" s="363"/>
      <c r="P11" s="363"/>
      <c r="Q11" s="363"/>
      <c r="R11" s="363"/>
      <c r="S11" s="363"/>
      <c r="T11" s="363"/>
      <c r="U11" s="363"/>
      <c r="V11" s="363"/>
      <c r="W11" s="363"/>
      <c r="X11" s="363"/>
      <c r="Y11" s="363"/>
      <c r="Z11" s="363"/>
    </row>
    <row r="12" spans="1:26" ht="13.5" customHeight="1" x14ac:dyDescent="0.2">
      <c r="A12" s="364" t="s">
        <v>266</v>
      </c>
      <c r="B12" s="361"/>
      <c r="C12" s="361"/>
      <c r="D12" s="361"/>
      <c r="E12" s="361"/>
      <c r="F12" s="361"/>
      <c r="G12" s="361"/>
      <c r="H12" s="363"/>
      <c r="I12" s="363"/>
      <c r="J12" s="363"/>
      <c r="K12" s="363"/>
      <c r="L12" s="363"/>
      <c r="M12" s="363"/>
      <c r="N12" s="363"/>
      <c r="O12" s="363"/>
      <c r="P12" s="363"/>
      <c r="Q12" s="363"/>
      <c r="R12" s="363"/>
      <c r="S12" s="363"/>
      <c r="T12" s="363"/>
      <c r="U12" s="363"/>
      <c r="V12" s="363"/>
      <c r="W12" s="363"/>
      <c r="X12" s="363"/>
      <c r="Y12" s="363"/>
      <c r="Z12" s="363"/>
    </row>
    <row r="13" spans="1:26" ht="13.5" customHeight="1" x14ac:dyDescent="0.2">
      <c r="A13" s="363"/>
      <c r="B13" s="367" t="s">
        <v>36</v>
      </c>
      <c r="C13" s="378">
        <f>E22</f>
        <v>8181</v>
      </c>
      <c r="D13" s="379" t="s">
        <v>267</v>
      </c>
      <c r="E13" s="363"/>
      <c r="F13" s="363"/>
      <c r="G13" s="363"/>
      <c r="H13" s="363"/>
      <c r="I13" s="363"/>
      <c r="J13" s="363"/>
      <c r="K13" s="363"/>
      <c r="L13" s="363"/>
      <c r="M13" s="363"/>
      <c r="N13" s="363"/>
      <c r="O13" s="363"/>
      <c r="P13" s="363"/>
      <c r="Q13" s="363"/>
      <c r="R13" s="363"/>
      <c r="S13" s="363"/>
      <c r="T13" s="363"/>
      <c r="U13" s="363"/>
      <c r="V13" s="363"/>
      <c r="W13" s="363"/>
      <c r="X13" s="363"/>
      <c r="Y13" s="363"/>
      <c r="Z13" s="363"/>
    </row>
    <row r="14" spans="1:26" ht="13.5" customHeight="1" x14ac:dyDescent="0.2">
      <c r="A14" s="363"/>
      <c r="B14" s="367" t="s">
        <v>268</v>
      </c>
      <c r="C14" s="380">
        <f>-PMT(C8/12,C9*12,C7)</f>
        <v>10048.617222692736</v>
      </c>
      <c r="D14" s="379" t="s">
        <v>269</v>
      </c>
      <c r="E14" s="363"/>
      <c r="F14" s="363"/>
      <c r="G14" s="363"/>
      <c r="H14" s="363"/>
      <c r="I14" s="363"/>
      <c r="J14" s="363"/>
      <c r="K14" s="363"/>
      <c r="L14" s="363"/>
      <c r="M14" s="363"/>
      <c r="N14" s="363"/>
      <c r="O14" s="363"/>
      <c r="P14" s="363"/>
      <c r="Q14" s="363"/>
      <c r="R14" s="363"/>
      <c r="S14" s="363"/>
      <c r="T14" s="363"/>
      <c r="U14" s="363"/>
      <c r="V14" s="363"/>
      <c r="W14" s="363"/>
      <c r="X14" s="363"/>
      <c r="Y14" s="363"/>
      <c r="Z14" s="363"/>
    </row>
    <row r="15" spans="1:26" ht="13.5" customHeight="1" x14ac:dyDescent="0.2">
      <c r="A15" s="364" t="s">
        <v>270</v>
      </c>
      <c r="B15" s="361"/>
      <c r="C15" s="361"/>
      <c r="D15" s="361"/>
      <c r="E15" s="361"/>
      <c r="F15" s="361"/>
      <c r="G15" s="361"/>
      <c r="H15" s="363"/>
      <c r="I15" s="363"/>
      <c r="J15" s="363"/>
      <c r="K15" s="363"/>
      <c r="L15" s="363"/>
      <c r="M15" s="363"/>
      <c r="N15" s="363"/>
      <c r="O15" s="363"/>
      <c r="P15" s="363"/>
      <c r="Q15" s="363"/>
      <c r="R15" s="363"/>
      <c r="S15" s="363"/>
      <c r="T15" s="363"/>
      <c r="U15" s="363"/>
      <c r="V15" s="363"/>
      <c r="W15" s="363"/>
      <c r="X15" s="363"/>
      <c r="Y15" s="363"/>
      <c r="Z15" s="363"/>
    </row>
    <row r="16" spans="1:26" ht="13.5" customHeight="1" x14ac:dyDescent="0.2">
      <c r="A16" s="363"/>
      <c r="B16" s="367" t="s">
        <v>271</v>
      </c>
      <c r="C16" s="381">
        <f>IF(INPUTS!H12&gt;0,-PMT(C8/12,C9*12-F10,C7),C14)</f>
        <v>10390.432041422153</v>
      </c>
      <c r="D16" s="363"/>
      <c r="E16" s="363"/>
      <c r="F16" s="367"/>
      <c r="G16" s="382"/>
      <c r="H16" s="363"/>
      <c r="I16" s="363"/>
      <c r="J16" s="363"/>
      <c r="K16" s="363"/>
      <c r="L16" s="363"/>
      <c r="M16" s="363"/>
      <c r="N16" s="363"/>
      <c r="O16" s="363"/>
      <c r="P16" s="363"/>
      <c r="Q16" s="363"/>
      <c r="R16" s="363"/>
      <c r="S16" s="363"/>
      <c r="T16" s="363"/>
      <c r="U16" s="363"/>
      <c r="V16" s="363"/>
      <c r="W16" s="363"/>
      <c r="X16" s="363"/>
      <c r="Y16" s="363"/>
      <c r="Z16" s="363"/>
    </row>
    <row r="17" spans="1:26" ht="13.5" customHeight="1" x14ac:dyDescent="0.2">
      <c r="A17" s="363"/>
      <c r="B17" s="367" t="s">
        <v>272</v>
      </c>
      <c r="C17" s="383">
        <f>IF(G7=0,IF(G8=0,1,G8),1+C10*(YEAR(G7)-YEAR(C11))+INT(C10*(MONTH(G7)-MONTH(C11))/12)+IF(DAY(G7)&gt;DAY(C11),1))</f>
        <v>1</v>
      </c>
      <c r="D17" s="363"/>
      <c r="E17" s="363"/>
      <c r="F17" s="367"/>
      <c r="G17" s="382"/>
      <c r="H17" s="363"/>
      <c r="I17" s="363"/>
      <c r="J17" s="363"/>
      <c r="K17" s="363"/>
      <c r="L17" s="363"/>
      <c r="M17" s="363"/>
      <c r="N17" s="363"/>
      <c r="O17" s="363"/>
      <c r="P17" s="363"/>
      <c r="Q17" s="363"/>
      <c r="R17" s="363"/>
      <c r="S17" s="363"/>
      <c r="T17" s="363"/>
      <c r="U17" s="363"/>
      <c r="V17" s="363"/>
      <c r="W17" s="363"/>
      <c r="X17" s="363"/>
      <c r="Y17" s="363"/>
      <c r="Z17" s="363"/>
    </row>
    <row r="18" spans="1:26" ht="13.5" customHeight="1" x14ac:dyDescent="0.25">
      <c r="A18" s="360" t="s">
        <v>273</v>
      </c>
      <c r="B18" s="361"/>
      <c r="C18" s="361"/>
      <c r="D18" s="361"/>
      <c r="E18" s="361"/>
      <c r="F18" s="361"/>
      <c r="G18" s="361"/>
      <c r="H18" s="363"/>
      <c r="I18" s="363"/>
      <c r="J18" s="363"/>
      <c r="K18" s="363"/>
      <c r="L18" s="363"/>
      <c r="M18" s="363"/>
      <c r="N18" s="363"/>
      <c r="O18" s="363"/>
      <c r="P18" s="363"/>
      <c r="Q18" s="363"/>
      <c r="R18" s="363"/>
      <c r="S18" s="363"/>
      <c r="T18" s="363"/>
      <c r="U18" s="363"/>
      <c r="V18" s="363"/>
      <c r="W18" s="363"/>
      <c r="X18" s="363"/>
      <c r="Y18" s="363"/>
      <c r="Z18" s="363"/>
    </row>
    <row r="19" spans="1:26" ht="13.5" customHeight="1" x14ac:dyDescent="0.2">
      <c r="A19" s="363"/>
      <c r="B19" s="363"/>
      <c r="C19" s="363"/>
      <c r="D19" s="363"/>
      <c r="E19" s="363"/>
      <c r="F19" s="363"/>
      <c r="G19" s="363"/>
      <c r="H19" s="363"/>
      <c r="I19" s="363"/>
      <c r="J19" s="363"/>
      <c r="K19" s="363"/>
      <c r="L19" s="363"/>
      <c r="M19" s="363"/>
      <c r="N19" s="363"/>
      <c r="O19" s="363"/>
      <c r="P19" s="363"/>
      <c r="Q19" s="363"/>
      <c r="R19" s="363"/>
      <c r="S19" s="363"/>
      <c r="T19" s="363"/>
      <c r="U19" s="363"/>
      <c r="V19" s="363"/>
      <c r="W19" s="363"/>
      <c r="X19" s="363"/>
      <c r="Y19" s="363"/>
      <c r="Z19" s="363"/>
    </row>
    <row r="20" spans="1:26" ht="13.5" customHeight="1" x14ac:dyDescent="0.2">
      <c r="A20" s="384" t="s">
        <v>26</v>
      </c>
      <c r="B20" s="384" t="s">
        <v>25</v>
      </c>
      <c r="C20" s="384" t="s">
        <v>274</v>
      </c>
      <c r="D20" s="384" t="s">
        <v>275</v>
      </c>
      <c r="E20" s="384"/>
      <c r="F20" s="384"/>
      <c r="G20" s="384" t="s">
        <v>276</v>
      </c>
      <c r="H20" s="384" t="s">
        <v>277</v>
      </c>
      <c r="I20" s="363"/>
      <c r="J20" s="363"/>
      <c r="K20" s="363"/>
      <c r="L20" s="363"/>
      <c r="M20" s="363"/>
      <c r="N20" s="363"/>
      <c r="O20" s="363"/>
      <c r="P20" s="363"/>
      <c r="Q20" s="363"/>
      <c r="R20" s="363"/>
      <c r="S20" s="363"/>
      <c r="T20" s="363"/>
      <c r="U20" s="363"/>
      <c r="V20" s="363"/>
      <c r="W20" s="363"/>
      <c r="X20" s="363"/>
      <c r="Y20" s="363"/>
      <c r="Z20" s="363"/>
    </row>
    <row r="21" spans="1:26" ht="13.5" customHeight="1" x14ac:dyDescent="0.2">
      <c r="A21" s="385" t="s">
        <v>278</v>
      </c>
      <c r="B21" s="385" t="s">
        <v>278</v>
      </c>
      <c r="C21" s="385" t="s">
        <v>279</v>
      </c>
      <c r="D21" s="385" t="s">
        <v>280</v>
      </c>
      <c r="E21" s="385" t="s">
        <v>281</v>
      </c>
      <c r="F21" s="385" t="s">
        <v>282</v>
      </c>
      <c r="G21" s="385" t="s">
        <v>280</v>
      </c>
      <c r="H21" s="385" t="s">
        <v>281</v>
      </c>
      <c r="I21" s="363"/>
      <c r="J21" s="363"/>
      <c r="K21" s="363"/>
      <c r="L21" s="363"/>
      <c r="M21" s="363"/>
      <c r="N21" s="363"/>
      <c r="O21" s="363"/>
      <c r="P21" s="363"/>
      <c r="Q21" s="363"/>
      <c r="R21" s="363"/>
      <c r="S21" s="363"/>
      <c r="T21" s="363"/>
      <c r="U21" s="363"/>
      <c r="V21" s="363"/>
      <c r="W21" s="363"/>
      <c r="X21" s="363"/>
      <c r="Y21" s="363"/>
      <c r="Z21" s="363"/>
    </row>
    <row r="22" spans="1:26" ht="13.5" customHeight="1" x14ac:dyDescent="0.2">
      <c r="A22" s="386">
        <f t="shared" ref="A22:A381" si="0">ROUNDUP(B22/12,0)</f>
        <v>1</v>
      </c>
      <c r="B22" s="387">
        <v>1</v>
      </c>
      <c r="C22" s="388">
        <f>C11</f>
        <v>46143</v>
      </c>
      <c r="D22" s="389">
        <f>C7</f>
        <v>1454400</v>
      </c>
      <c r="E22" s="389">
        <f t="shared" ref="E22:E381" si="1">D22*$C$8/12</f>
        <v>8181</v>
      </c>
      <c r="F22" s="389">
        <f t="shared" ref="F22:F381" si="2">IF(B22&lt;=$F$10,0,$C$16-E22)</f>
        <v>0</v>
      </c>
      <c r="G22" s="389">
        <f t="shared" ref="G22:G381" si="3">D22-F22</f>
        <v>1454400</v>
      </c>
      <c r="H22" s="389">
        <f t="shared" ref="H22:H381" si="4">SUM($E$22:E22)</f>
        <v>8181</v>
      </c>
      <c r="I22" s="363"/>
      <c r="J22" s="390"/>
      <c r="K22" s="363"/>
      <c r="L22" s="363"/>
      <c r="M22" s="363"/>
      <c r="N22" s="363"/>
      <c r="O22" s="363"/>
      <c r="P22" s="363"/>
      <c r="Q22" s="363"/>
      <c r="R22" s="363"/>
      <c r="S22" s="363"/>
      <c r="T22" s="363"/>
      <c r="U22" s="363"/>
      <c r="V22" s="363"/>
      <c r="W22" s="363"/>
      <c r="X22" s="363"/>
      <c r="Y22" s="363"/>
      <c r="Z22" s="363"/>
    </row>
    <row r="23" spans="1:26" ht="13.5" customHeight="1" x14ac:dyDescent="0.2">
      <c r="A23" s="386">
        <f t="shared" si="0"/>
        <v>1</v>
      </c>
      <c r="B23" s="387">
        <f t="shared" ref="B23:B381" si="5">B22+1</f>
        <v>2</v>
      </c>
      <c r="C23" s="388">
        <f t="shared" ref="C23:C381" si="6">EDATE(C22,1)</f>
        <v>46174</v>
      </c>
      <c r="D23" s="389">
        <f t="shared" ref="D23:D381" si="7">G22</f>
        <v>1454400</v>
      </c>
      <c r="E23" s="389">
        <f t="shared" si="1"/>
        <v>8181</v>
      </c>
      <c r="F23" s="389">
        <f t="shared" si="2"/>
        <v>0</v>
      </c>
      <c r="G23" s="389">
        <f t="shared" si="3"/>
        <v>1454400</v>
      </c>
      <c r="H23" s="389">
        <f t="shared" si="4"/>
        <v>16362</v>
      </c>
      <c r="I23" s="363"/>
      <c r="J23" s="363"/>
      <c r="K23" s="363"/>
      <c r="L23" s="363"/>
      <c r="M23" s="363"/>
      <c r="N23" s="363"/>
      <c r="O23" s="363"/>
      <c r="P23" s="363"/>
      <c r="Q23" s="363"/>
      <c r="R23" s="363"/>
      <c r="S23" s="363"/>
      <c r="T23" s="363"/>
      <c r="U23" s="363"/>
      <c r="V23" s="363"/>
      <c r="W23" s="363"/>
      <c r="X23" s="363"/>
      <c r="Y23" s="363"/>
      <c r="Z23" s="363"/>
    </row>
    <row r="24" spans="1:26" ht="13.5" customHeight="1" x14ac:dyDescent="0.2">
      <c r="A24" s="386">
        <f t="shared" si="0"/>
        <v>1</v>
      </c>
      <c r="B24" s="387">
        <f t="shared" si="5"/>
        <v>3</v>
      </c>
      <c r="C24" s="388">
        <f t="shared" si="6"/>
        <v>46204</v>
      </c>
      <c r="D24" s="389">
        <f t="shared" si="7"/>
        <v>1454400</v>
      </c>
      <c r="E24" s="389">
        <f t="shared" si="1"/>
        <v>8181</v>
      </c>
      <c r="F24" s="389">
        <f t="shared" si="2"/>
        <v>0</v>
      </c>
      <c r="G24" s="389">
        <f t="shared" si="3"/>
        <v>1454400</v>
      </c>
      <c r="H24" s="389">
        <f t="shared" si="4"/>
        <v>24543</v>
      </c>
      <c r="I24" s="363"/>
      <c r="J24" s="363"/>
      <c r="K24" s="363"/>
      <c r="L24" s="363"/>
      <c r="M24" s="363"/>
      <c r="N24" s="363"/>
      <c r="O24" s="363"/>
      <c r="P24" s="363"/>
      <c r="Q24" s="363"/>
      <c r="R24" s="363"/>
      <c r="S24" s="363"/>
      <c r="T24" s="363"/>
      <c r="U24" s="363"/>
      <c r="V24" s="363"/>
      <c r="W24" s="363"/>
      <c r="X24" s="363"/>
      <c r="Y24" s="363"/>
      <c r="Z24" s="363"/>
    </row>
    <row r="25" spans="1:26" ht="13.5" customHeight="1" x14ac:dyDescent="0.2">
      <c r="A25" s="386">
        <f t="shared" si="0"/>
        <v>1</v>
      </c>
      <c r="B25" s="387">
        <f t="shared" si="5"/>
        <v>4</v>
      </c>
      <c r="C25" s="388">
        <f t="shared" si="6"/>
        <v>46235</v>
      </c>
      <c r="D25" s="389">
        <f t="shared" si="7"/>
        <v>1454400</v>
      </c>
      <c r="E25" s="389">
        <f t="shared" si="1"/>
        <v>8181</v>
      </c>
      <c r="F25" s="389">
        <f t="shared" si="2"/>
        <v>0</v>
      </c>
      <c r="G25" s="389">
        <f t="shared" si="3"/>
        <v>1454400</v>
      </c>
      <c r="H25" s="389">
        <f t="shared" si="4"/>
        <v>32724</v>
      </c>
      <c r="I25" s="363"/>
      <c r="J25" s="363"/>
      <c r="K25" s="363"/>
      <c r="L25" s="363"/>
      <c r="M25" s="363"/>
      <c r="N25" s="363"/>
      <c r="O25" s="363"/>
      <c r="P25" s="363"/>
      <c r="Q25" s="363"/>
      <c r="R25" s="363"/>
      <c r="S25" s="363"/>
      <c r="T25" s="363"/>
      <c r="U25" s="363"/>
      <c r="V25" s="363"/>
      <c r="W25" s="363"/>
      <c r="X25" s="363"/>
      <c r="Y25" s="363"/>
      <c r="Z25" s="363"/>
    </row>
    <row r="26" spans="1:26" ht="13.5" customHeight="1" x14ac:dyDescent="0.2">
      <c r="A26" s="386">
        <f t="shared" si="0"/>
        <v>1</v>
      </c>
      <c r="B26" s="387">
        <f t="shared" si="5"/>
        <v>5</v>
      </c>
      <c r="C26" s="388">
        <f t="shared" si="6"/>
        <v>46266</v>
      </c>
      <c r="D26" s="389">
        <f t="shared" si="7"/>
        <v>1454400</v>
      </c>
      <c r="E26" s="389">
        <f t="shared" si="1"/>
        <v>8181</v>
      </c>
      <c r="F26" s="389">
        <f t="shared" si="2"/>
        <v>0</v>
      </c>
      <c r="G26" s="389">
        <f t="shared" si="3"/>
        <v>1454400</v>
      </c>
      <c r="H26" s="389">
        <f t="shared" si="4"/>
        <v>40905</v>
      </c>
      <c r="I26" s="363"/>
      <c r="J26" s="363"/>
      <c r="K26" s="363"/>
      <c r="L26" s="363"/>
      <c r="M26" s="363"/>
      <c r="N26" s="363"/>
      <c r="O26" s="363"/>
      <c r="P26" s="363"/>
      <c r="Q26" s="363"/>
      <c r="R26" s="363"/>
      <c r="S26" s="363"/>
      <c r="T26" s="363"/>
      <c r="U26" s="363"/>
      <c r="V26" s="363"/>
      <c r="W26" s="363"/>
      <c r="X26" s="363"/>
      <c r="Y26" s="363"/>
      <c r="Z26" s="363"/>
    </row>
    <row r="27" spans="1:26" ht="13.5" customHeight="1" x14ac:dyDescent="0.2">
      <c r="A27" s="386">
        <f t="shared" si="0"/>
        <v>1</v>
      </c>
      <c r="B27" s="387">
        <f t="shared" si="5"/>
        <v>6</v>
      </c>
      <c r="C27" s="388">
        <f t="shared" si="6"/>
        <v>46296</v>
      </c>
      <c r="D27" s="389">
        <f t="shared" si="7"/>
        <v>1454400</v>
      </c>
      <c r="E27" s="389">
        <f t="shared" si="1"/>
        <v>8181</v>
      </c>
      <c r="F27" s="389">
        <f t="shared" si="2"/>
        <v>0</v>
      </c>
      <c r="G27" s="389">
        <f t="shared" si="3"/>
        <v>1454400</v>
      </c>
      <c r="H27" s="389">
        <f t="shared" si="4"/>
        <v>49086</v>
      </c>
      <c r="I27" s="363"/>
      <c r="J27" s="363"/>
      <c r="K27" s="363"/>
      <c r="L27" s="363"/>
      <c r="M27" s="363"/>
      <c r="N27" s="363"/>
      <c r="O27" s="363"/>
      <c r="P27" s="363"/>
      <c r="Q27" s="363"/>
      <c r="R27" s="363"/>
      <c r="S27" s="363"/>
      <c r="T27" s="363"/>
      <c r="U27" s="363"/>
      <c r="V27" s="363"/>
      <c r="W27" s="363"/>
      <c r="X27" s="363"/>
      <c r="Y27" s="363"/>
      <c r="Z27" s="363"/>
    </row>
    <row r="28" spans="1:26" ht="13.5" customHeight="1" x14ac:dyDescent="0.2">
      <c r="A28" s="386">
        <f t="shared" si="0"/>
        <v>1</v>
      </c>
      <c r="B28" s="387">
        <f t="shared" si="5"/>
        <v>7</v>
      </c>
      <c r="C28" s="388">
        <f t="shared" si="6"/>
        <v>46327</v>
      </c>
      <c r="D28" s="389">
        <f t="shared" si="7"/>
        <v>1454400</v>
      </c>
      <c r="E28" s="389">
        <f t="shared" si="1"/>
        <v>8181</v>
      </c>
      <c r="F28" s="389">
        <f t="shared" si="2"/>
        <v>0</v>
      </c>
      <c r="G28" s="389">
        <f t="shared" si="3"/>
        <v>1454400</v>
      </c>
      <c r="H28" s="389">
        <f t="shared" si="4"/>
        <v>57267</v>
      </c>
      <c r="I28" s="363"/>
      <c r="J28" s="363"/>
      <c r="K28" s="363"/>
      <c r="L28" s="363"/>
      <c r="M28" s="363"/>
      <c r="N28" s="363"/>
      <c r="O28" s="363"/>
      <c r="P28" s="363"/>
      <c r="Q28" s="363"/>
      <c r="R28" s="363"/>
      <c r="S28" s="363"/>
      <c r="T28" s="363"/>
      <c r="U28" s="363"/>
      <c r="V28" s="363"/>
      <c r="W28" s="363"/>
      <c r="X28" s="363"/>
      <c r="Y28" s="363"/>
      <c r="Z28" s="363"/>
    </row>
    <row r="29" spans="1:26" ht="13.5" customHeight="1" x14ac:dyDescent="0.2">
      <c r="A29" s="386">
        <f t="shared" si="0"/>
        <v>1</v>
      </c>
      <c r="B29" s="387">
        <f t="shared" si="5"/>
        <v>8</v>
      </c>
      <c r="C29" s="388">
        <f t="shared" si="6"/>
        <v>46357</v>
      </c>
      <c r="D29" s="389">
        <f t="shared" si="7"/>
        <v>1454400</v>
      </c>
      <c r="E29" s="389">
        <f t="shared" si="1"/>
        <v>8181</v>
      </c>
      <c r="F29" s="389">
        <f t="shared" si="2"/>
        <v>0</v>
      </c>
      <c r="G29" s="389">
        <f t="shared" si="3"/>
        <v>1454400</v>
      </c>
      <c r="H29" s="389">
        <f t="shared" si="4"/>
        <v>65448</v>
      </c>
      <c r="I29" s="363"/>
      <c r="J29" s="363"/>
      <c r="K29" s="363"/>
      <c r="L29" s="363"/>
      <c r="M29" s="363"/>
      <c r="N29" s="363"/>
      <c r="O29" s="363"/>
      <c r="P29" s="363"/>
      <c r="Q29" s="363"/>
      <c r="R29" s="363"/>
      <c r="S29" s="363"/>
      <c r="T29" s="363"/>
      <c r="U29" s="363"/>
      <c r="V29" s="363"/>
      <c r="W29" s="363"/>
      <c r="X29" s="363"/>
      <c r="Y29" s="363"/>
      <c r="Z29" s="363"/>
    </row>
    <row r="30" spans="1:26" ht="13.5" customHeight="1" x14ac:dyDescent="0.2">
      <c r="A30" s="386">
        <f t="shared" si="0"/>
        <v>1</v>
      </c>
      <c r="B30" s="387">
        <f t="shared" si="5"/>
        <v>9</v>
      </c>
      <c r="C30" s="388">
        <f t="shared" si="6"/>
        <v>46388</v>
      </c>
      <c r="D30" s="389">
        <f t="shared" si="7"/>
        <v>1454400</v>
      </c>
      <c r="E30" s="389">
        <f t="shared" si="1"/>
        <v>8181</v>
      </c>
      <c r="F30" s="389">
        <f t="shared" si="2"/>
        <v>0</v>
      </c>
      <c r="G30" s="389">
        <f t="shared" si="3"/>
        <v>1454400</v>
      </c>
      <c r="H30" s="389">
        <f t="shared" si="4"/>
        <v>73629</v>
      </c>
      <c r="I30" s="363"/>
      <c r="J30" s="363"/>
      <c r="K30" s="363"/>
      <c r="L30" s="363"/>
      <c r="M30" s="363"/>
      <c r="N30" s="363"/>
      <c r="O30" s="363"/>
      <c r="P30" s="363"/>
      <c r="Q30" s="363"/>
      <c r="R30" s="363"/>
      <c r="S30" s="363"/>
      <c r="T30" s="363"/>
      <c r="U30" s="363"/>
      <c r="V30" s="363"/>
      <c r="W30" s="363"/>
      <c r="X30" s="363"/>
      <c r="Y30" s="363"/>
      <c r="Z30" s="363"/>
    </row>
    <row r="31" spans="1:26" ht="13.5" customHeight="1" x14ac:dyDescent="0.2">
      <c r="A31" s="386">
        <f t="shared" si="0"/>
        <v>1</v>
      </c>
      <c r="B31" s="387">
        <f t="shared" si="5"/>
        <v>10</v>
      </c>
      <c r="C31" s="388">
        <f t="shared" si="6"/>
        <v>46419</v>
      </c>
      <c r="D31" s="389">
        <f t="shared" si="7"/>
        <v>1454400</v>
      </c>
      <c r="E31" s="389">
        <f t="shared" si="1"/>
        <v>8181</v>
      </c>
      <c r="F31" s="389">
        <f t="shared" si="2"/>
        <v>0</v>
      </c>
      <c r="G31" s="389">
        <f t="shared" si="3"/>
        <v>1454400</v>
      </c>
      <c r="H31" s="389">
        <f t="shared" si="4"/>
        <v>81810</v>
      </c>
      <c r="I31" s="363"/>
      <c r="J31" s="363"/>
      <c r="K31" s="363"/>
      <c r="L31" s="363"/>
      <c r="M31" s="363"/>
      <c r="N31" s="363"/>
      <c r="O31" s="363"/>
      <c r="P31" s="363"/>
      <c r="Q31" s="363"/>
      <c r="R31" s="363"/>
      <c r="S31" s="363"/>
      <c r="T31" s="363"/>
      <c r="U31" s="363"/>
      <c r="V31" s="363"/>
      <c r="W31" s="363"/>
      <c r="X31" s="363"/>
      <c r="Y31" s="363"/>
      <c r="Z31" s="363"/>
    </row>
    <row r="32" spans="1:26" ht="13.5" customHeight="1" x14ac:dyDescent="0.2">
      <c r="A32" s="386">
        <f t="shared" si="0"/>
        <v>1</v>
      </c>
      <c r="B32" s="387">
        <f t="shared" si="5"/>
        <v>11</v>
      </c>
      <c r="C32" s="388">
        <f t="shared" si="6"/>
        <v>46447</v>
      </c>
      <c r="D32" s="389">
        <f t="shared" si="7"/>
        <v>1454400</v>
      </c>
      <c r="E32" s="389">
        <f t="shared" si="1"/>
        <v>8181</v>
      </c>
      <c r="F32" s="389">
        <f t="shared" si="2"/>
        <v>0</v>
      </c>
      <c r="G32" s="389">
        <f t="shared" si="3"/>
        <v>1454400</v>
      </c>
      <c r="H32" s="389">
        <f t="shared" si="4"/>
        <v>89991</v>
      </c>
      <c r="I32" s="363"/>
      <c r="J32" s="363"/>
      <c r="K32" s="363"/>
      <c r="L32" s="363"/>
      <c r="M32" s="363"/>
      <c r="N32" s="363"/>
      <c r="O32" s="363"/>
      <c r="P32" s="363"/>
      <c r="Q32" s="363"/>
      <c r="R32" s="363"/>
      <c r="S32" s="363"/>
      <c r="T32" s="363"/>
      <c r="U32" s="363"/>
      <c r="V32" s="363"/>
      <c r="W32" s="363"/>
      <c r="X32" s="363"/>
      <c r="Y32" s="363"/>
      <c r="Z32" s="363"/>
    </row>
    <row r="33" spans="1:26" ht="13.5" customHeight="1" x14ac:dyDescent="0.2">
      <c r="A33" s="386">
        <f t="shared" si="0"/>
        <v>1</v>
      </c>
      <c r="B33" s="387">
        <f t="shared" si="5"/>
        <v>12</v>
      </c>
      <c r="C33" s="388">
        <f t="shared" si="6"/>
        <v>46478</v>
      </c>
      <c r="D33" s="389">
        <f t="shared" si="7"/>
        <v>1454400</v>
      </c>
      <c r="E33" s="389">
        <f t="shared" si="1"/>
        <v>8181</v>
      </c>
      <c r="F33" s="389">
        <f t="shared" si="2"/>
        <v>0</v>
      </c>
      <c r="G33" s="389">
        <f t="shared" si="3"/>
        <v>1454400</v>
      </c>
      <c r="H33" s="389">
        <f t="shared" si="4"/>
        <v>98172</v>
      </c>
      <c r="I33" s="363"/>
      <c r="J33" s="363"/>
      <c r="K33" s="363"/>
      <c r="L33" s="363"/>
      <c r="M33" s="363"/>
      <c r="N33" s="363"/>
      <c r="O33" s="363"/>
      <c r="P33" s="363"/>
      <c r="Q33" s="363"/>
      <c r="R33" s="363"/>
      <c r="S33" s="363"/>
      <c r="T33" s="363"/>
      <c r="U33" s="363"/>
      <c r="V33" s="363"/>
      <c r="W33" s="363"/>
      <c r="X33" s="363"/>
      <c r="Y33" s="363"/>
      <c r="Z33" s="363"/>
    </row>
    <row r="34" spans="1:26" ht="13.5" customHeight="1" x14ac:dyDescent="0.2">
      <c r="A34" s="386">
        <f t="shared" si="0"/>
        <v>2</v>
      </c>
      <c r="B34" s="387">
        <f t="shared" si="5"/>
        <v>13</v>
      </c>
      <c r="C34" s="388">
        <f t="shared" si="6"/>
        <v>46508</v>
      </c>
      <c r="D34" s="389">
        <f t="shared" si="7"/>
        <v>1454400</v>
      </c>
      <c r="E34" s="389">
        <f t="shared" si="1"/>
        <v>8181</v>
      </c>
      <c r="F34" s="389">
        <f t="shared" si="2"/>
        <v>0</v>
      </c>
      <c r="G34" s="389">
        <f t="shared" si="3"/>
        <v>1454400</v>
      </c>
      <c r="H34" s="389">
        <f t="shared" si="4"/>
        <v>106353</v>
      </c>
      <c r="I34" s="363"/>
      <c r="J34" s="363"/>
      <c r="K34" s="363"/>
      <c r="L34" s="363"/>
      <c r="M34" s="363"/>
      <c r="N34" s="363"/>
      <c r="O34" s="363"/>
      <c r="P34" s="363"/>
      <c r="Q34" s="363"/>
      <c r="R34" s="363"/>
      <c r="S34" s="363"/>
      <c r="T34" s="363"/>
      <c r="U34" s="363"/>
      <c r="V34" s="363"/>
      <c r="W34" s="363"/>
      <c r="X34" s="363"/>
      <c r="Y34" s="363"/>
      <c r="Z34" s="363"/>
    </row>
    <row r="35" spans="1:26" ht="13.5" customHeight="1" x14ac:dyDescent="0.2">
      <c r="A35" s="386">
        <f t="shared" si="0"/>
        <v>2</v>
      </c>
      <c r="B35" s="387">
        <f t="shared" si="5"/>
        <v>14</v>
      </c>
      <c r="C35" s="388">
        <f t="shared" si="6"/>
        <v>46539</v>
      </c>
      <c r="D35" s="389">
        <f t="shared" si="7"/>
        <v>1454400</v>
      </c>
      <c r="E35" s="389">
        <f t="shared" si="1"/>
        <v>8181</v>
      </c>
      <c r="F35" s="389">
        <f t="shared" si="2"/>
        <v>0</v>
      </c>
      <c r="G35" s="389">
        <f t="shared" si="3"/>
        <v>1454400</v>
      </c>
      <c r="H35" s="389">
        <f t="shared" si="4"/>
        <v>114534</v>
      </c>
      <c r="I35" s="363"/>
      <c r="J35" s="363"/>
      <c r="K35" s="363"/>
      <c r="L35" s="363"/>
      <c r="M35" s="363"/>
      <c r="N35" s="363"/>
      <c r="O35" s="363"/>
      <c r="P35" s="363"/>
      <c r="Q35" s="363"/>
      <c r="R35" s="363"/>
      <c r="S35" s="363"/>
      <c r="T35" s="363"/>
      <c r="U35" s="363"/>
      <c r="V35" s="363"/>
      <c r="W35" s="363"/>
      <c r="X35" s="363"/>
      <c r="Y35" s="363"/>
      <c r="Z35" s="363"/>
    </row>
    <row r="36" spans="1:26" ht="13.5" customHeight="1" x14ac:dyDescent="0.2">
      <c r="A36" s="386">
        <f t="shared" si="0"/>
        <v>2</v>
      </c>
      <c r="B36" s="387">
        <f t="shared" si="5"/>
        <v>15</v>
      </c>
      <c r="C36" s="388">
        <f t="shared" si="6"/>
        <v>46569</v>
      </c>
      <c r="D36" s="389">
        <f t="shared" si="7"/>
        <v>1454400</v>
      </c>
      <c r="E36" s="389">
        <f t="shared" si="1"/>
        <v>8181</v>
      </c>
      <c r="F36" s="389">
        <f t="shared" si="2"/>
        <v>0</v>
      </c>
      <c r="G36" s="389">
        <f t="shared" si="3"/>
        <v>1454400</v>
      </c>
      <c r="H36" s="389">
        <f t="shared" si="4"/>
        <v>122715</v>
      </c>
      <c r="I36" s="363"/>
      <c r="J36" s="363"/>
      <c r="K36" s="363"/>
      <c r="L36" s="363"/>
      <c r="M36" s="363"/>
      <c r="N36" s="363"/>
      <c r="O36" s="363"/>
      <c r="P36" s="363"/>
      <c r="Q36" s="363"/>
      <c r="R36" s="363"/>
      <c r="S36" s="363"/>
      <c r="T36" s="363"/>
      <c r="U36" s="363"/>
      <c r="V36" s="363"/>
      <c r="W36" s="363"/>
      <c r="X36" s="363"/>
      <c r="Y36" s="363"/>
      <c r="Z36" s="363"/>
    </row>
    <row r="37" spans="1:26" ht="13.5" customHeight="1" x14ac:dyDescent="0.2">
      <c r="A37" s="386">
        <f t="shared" si="0"/>
        <v>2</v>
      </c>
      <c r="B37" s="387">
        <f t="shared" si="5"/>
        <v>16</v>
      </c>
      <c r="C37" s="388">
        <f t="shared" si="6"/>
        <v>46600</v>
      </c>
      <c r="D37" s="389">
        <f t="shared" si="7"/>
        <v>1454400</v>
      </c>
      <c r="E37" s="389">
        <f t="shared" si="1"/>
        <v>8181</v>
      </c>
      <c r="F37" s="389">
        <f t="shared" si="2"/>
        <v>0</v>
      </c>
      <c r="G37" s="389">
        <f t="shared" si="3"/>
        <v>1454400</v>
      </c>
      <c r="H37" s="389">
        <f t="shared" si="4"/>
        <v>130896</v>
      </c>
      <c r="I37" s="363"/>
      <c r="J37" s="363"/>
      <c r="K37" s="363"/>
      <c r="L37" s="363"/>
      <c r="M37" s="363"/>
      <c r="N37" s="363"/>
      <c r="O37" s="363"/>
      <c r="P37" s="363"/>
      <c r="Q37" s="363"/>
      <c r="R37" s="363"/>
      <c r="S37" s="363"/>
      <c r="T37" s="363"/>
      <c r="U37" s="363"/>
      <c r="V37" s="363"/>
      <c r="W37" s="363"/>
      <c r="X37" s="363"/>
      <c r="Y37" s="363"/>
      <c r="Z37" s="363"/>
    </row>
    <row r="38" spans="1:26" ht="13.5" customHeight="1" x14ac:dyDescent="0.2">
      <c r="A38" s="386">
        <f t="shared" si="0"/>
        <v>2</v>
      </c>
      <c r="B38" s="387">
        <f t="shared" si="5"/>
        <v>17</v>
      </c>
      <c r="C38" s="388">
        <f t="shared" si="6"/>
        <v>46631</v>
      </c>
      <c r="D38" s="389">
        <f t="shared" si="7"/>
        <v>1454400</v>
      </c>
      <c r="E38" s="389">
        <f t="shared" si="1"/>
        <v>8181</v>
      </c>
      <c r="F38" s="389">
        <f t="shared" si="2"/>
        <v>0</v>
      </c>
      <c r="G38" s="389">
        <f t="shared" si="3"/>
        <v>1454400</v>
      </c>
      <c r="H38" s="389">
        <f t="shared" si="4"/>
        <v>139077</v>
      </c>
      <c r="I38" s="363"/>
      <c r="J38" s="363"/>
      <c r="K38" s="363"/>
      <c r="L38" s="363"/>
      <c r="M38" s="363"/>
      <c r="N38" s="363"/>
      <c r="O38" s="363"/>
      <c r="P38" s="363"/>
      <c r="Q38" s="363"/>
      <c r="R38" s="363"/>
      <c r="S38" s="363"/>
      <c r="T38" s="363"/>
      <c r="U38" s="363"/>
      <c r="V38" s="363"/>
      <c r="W38" s="363"/>
      <c r="X38" s="363"/>
      <c r="Y38" s="363"/>
      <c r="Z38" s="363"/>
    </row>
    <row r="39" spans="1:26" ht="13.5" customHeight="1" x14ac:dyDescent="0.2">
      <c r="A39" s="386">
        <f t="shared" si="0"/>
        <v>2</v>
      </c>
      <c r="B39" s="387">
        <f t="shared" si="5"/>
        <v>18</v>
      </c>
      <c r="C39" s="388">
        <f t="shared" si="6"/>
        <v>46661</v>
      </c>
      <c r="D39" s="389">
        <f t="shared" si="7"/>
        <v>1454400</v>
      </c>
      <c r="E39" s="389">
        <f t="shared" si="1"/>
        <v>8181</v>
      </c>
      <c r="F39" s="389">
        <f t="shared" si="2"/>
        <v>0</v>
      </c>
      <c r="G39" s="389">
        <f t="shared" si="3"/>
        <v>1454400</v>
      </c>
      <c r="H39" s="389">
        <f t="shared" si="4"/>
        <v>147258</v>
      </c>
      <c r="I39" s="363"/>
      <c r="J39" s="363"/>
      <c r="K39" s="363"/>
      <c r="L39" s="363"/>
      <c r="M39" s="363"/>
      <c r="N39" s="363"/>
      <c r="O39" s="363"/>
      <c r="P39" s="363"/>
      <c r="Q39" s="363"/>
      <c r="R39" s="363"/>
      <c r="S39" s="363"/>
      <c r="T39" s="363"/>
      <c r="U39" s="363"/>
      <c r="V39" s="363"/>
      <c r="W39" s="363"/>
      <c r="X39" s="363"/>
      <c r="Y39" s="363"/>
      <c r="Z39" s="363"/>
    </row>
    <row r="40" spans="1:26" ht="13.5" customHeight="1" x14ac:dyDescent="0.2">
      <c r="A40" s="386">
        <f t="shared" si="0"/>
        <v>2</v>
      </c>
      <c r="B40" s="387">
        <f t="shared" si="5"/>
        <v>19</v>
      </c>
      <c r="C40" s="388">
        <f t="shared" si="6"/>
        <v>46692</v>
      </c>
      <c r="D40" s="389">
        <f t="shared" si="7"/>
        <v>1454400</v>
      </c>
      <c r="E40" s="389">
        <f t="shared" si="1"/>
        <v>8181</v>
      </c>
      <c r="F40" s="389">
        <f t="shared" si="2"/>
        <v>0</v>
      </c>
      <c r="G40" s="389">
        <f t="shared" si="3"/>
        <v>1454400</v>
      </c>
      <c r="H40" s="389">
        <f t="shared" si="4"/>
        <v>155439</v>
      </c>
      <c r="I40" s="363"/>
      <c r="J40" s="363"/>
      <c r="K40" s="363"/>
      <c r="L40" s="363"/>
      <c r="M40" s="363"/>
      <c r="N40" s="363"/>
      <c r="O40" s="363"/>
      <c r="P40" s="363"/>
      <c r="Q40" s="363"/>
      <c r="R40" s="363"/>
      <c r="S40" s="363"/>
      <c r="T40" s="363"/>
      <c r="U40" s="363"/>
      <c r="V40" s="363"/>
      <c r="W40" s="363"/>
      <c r="X40" s="363"/>
      <c r="Y40" s="363"/>
      <c r="Z40" s="363"/>
    </row>
    <row r="41" spans="1:26" ht="13.5" customHeight="1" x14ac:dyDescent="0.2">
      <c r="A41" s="386">
        <f t="shared" si="0"/>
        <v>2</v>
      </c>
      <c r="B41" s="387">
        <f t="shared" si="5"/>
        <v>20</v>
      </c>
      <c r="C41" s="388">
        <f t="shared" si="6"/>
        <v>46722</v>
      </c>
      <c r="D41" s="389">
        <f t="shared" si="7"/>
        <v>1454400</v>
      </c>
      <c r="E41" s="389">
        <f t="shared" si="1"/>
        <v>8181</v>
      </c>
      <c r="F41" s="389">
        <f t="shared" si="2"/>
        <v>0</v>
      </c>
      <c r="G41" s="389">
        <f t="shared" si="3"/>
        <v>1454400</v>
      </c>
      <c r="H41" s="389">
        <f t="shared" si="4"/>
        <v>163620</v>
      </c>
      <c r="I41" s="363"/>
      <c r="J41" s="363"/>
      <c r="K41" s="363"/>
      <c r="L41" s="363"/>
      <c r="M41" s="363"/>
      <c r="N41" s="363"/>
      <c r="O41" s="363"/>
      <c r="P41" s="363"/>
      <c r="Q41" s="363"/>
      <c r="R41" s="363"/>
      <c r="S41" s="363"/>
      <c r="T41" s="363"/>
      <c r="U41" s="363"/>
      <c r="V41" s="363"/>
      <c r="W41" s="363"/>
      <c r="X41" s="363"/>
      <c r="Y41" s="363"/>
      <c r="Z41" s="363"/>
    </row>
    <row r="42" spans="1:26" ht="13.5" customHeight="1" x14ac:dyDescent="0.2">
      <c r="A42" s="386">
        <f t="shared" si="0"/>
        <v>2</v>
      </c>
      <c r="B42" s="387">
        <f t="shared" si="5"/>
        <v>21</v>
      </c>
      <c r="C42" s="388">
        <f t="shared" si="6"/>
        <v>46753</v>
      </c>
      <c r="D42" s="389">
        <f t="shared" si="7"/>
        <v>1454400</v>
      </c>
      <c r="E42" s="389">
        <f t="shared" si="1"/>
        <v>8181</v>
      </c>
      <c r="F42" s="389">
        <f t="shared" si="2"/>
        <v>0</v>
      </c>
      <c r="G42" s="389">
        <f t="shared" si="3"/>
        <v>1454400</v>
      </c>
      <c r="H42" s="389">
        <f t="shared" si="4"/>
        <v>171801</v>
      </c>
      <c r="I42" s="363"/>
      <c r="J42" s="363"/>
      <c r="K42" s="363"/>
      <c r="L42" s="363"/>
      <c r="M42" s="363"/>
      <c r="N42" s="363"/>
      <c r="O42" s="363"/>
      <c r="P42" s="363"/>
      <c r="Q42" s="363"/>
      <c r="R42" s="363"/>
      <c r="S42" s="363"/>
      <c r="T42" s="363"/>
      <c r="U42" s="363"/>
      <c r="V42" s="363"/>
      <c r="W42" s="363"/>
      <c r="X42" s="363"/>
      <c r="Y42" s="363"/>
      <c r="Z42" s="363"/>
    </row>
    <row r="43" spans="1:26" ht="13.5" customHeight="1" x14ac:dyDescent="0.2">
      <c r="A43" s="386">
        <f t="shared" si="0"/>
        <v>2</v>
      </c>
      <c r="B43" s="387">
        <f t="shared" si="5"/>
        <v>22</v>
      </c>
      <c r="C43" s="388">
        <f t="shared" si="6"/>
        <v>46784</v>
      </c>
      <c r="D43" s="389">
        <f t="shared" si="7"/>
        <v>1454400</v>
      </c>
      <c r="E43" s="389">
        <f t="shared" si="1"/>
        <v>8181</v>
      </c>
      <c r="F43" s="389">
        <f t="shared" si="2"/>
        <v>0</v>
      </c>
      <c r="G43" s="389">
        <f t="shared" si="3"/>
        <v>1454400</v>
      </c>
      <c r="H43" s="389">
        <f t="shared" si="4"/>
        <v>179982</v>
      </c>
      <c r="I43" s="363"/>
      <c r="J43" s="363"/>
      <c r="K43" s="363"/>
      <c r="L43" s="363"/>
      <c r="M43" s="363"/>
      <c r="N43" s="363"/>
      <c r="O43" s="363"/>
      <c r="P43" s="363"/>
      <c r="Q43" s="363"/>
      <c r="R43" s="363"/>
      <c r="S43" s="363"/>
      <c r="T43" s="363"/>
      <c r="U43" s="363"/>
      <c r="V43" s="363"/>
      <c r="W43" s="363"/>
      <c r="X43" s="363"/>
      <c r="Y43" s="363"/>
      <c r="Z43" s="363"/>
    </row>
    <row r="44" spans="1:26" ht="13.5" customHeight="1" x14ac:dyDescent="0.2">
      <c r="A44" s="386">
        <f t="shared" si="0"/>
        <v>2</v>
      </c>
      <c r="B44" s="387">
        <f t="shared" si="5"/>
        <v>23</v>
      </c>
      <c r="C44" s="388">
        <f t="shared" si="6"/>
        <v>46813</v>
      </c>
      <c r="D44" s="389">
        <f t="shared" si="7"/>
        <v>1454400</v>
      </c>
      <c r="E44" s="389">
        <f t="shared" si="1"/>
        <v>8181</v>
      </c>
      <c r="F44" s="389">
        <f t="shared" si="2"/>
        <v>0</v>
      </c>
      <c r="G44" s="389">
        <f t="shared" si="3"/>
        <v>1454400</v>
      </c>
      <c r="H44" s="389">
        <f t="shared" si="4"/>
        <v>188163</v>
      </c>
      <c r="I44" s="363"/>
      <c r="J44" s="363"/>
      <c r="K44" s="363"/>
      <c r="L44" s="363"/>
      <c r="M44" s="363"/>
      <c r="N44" s="363"/>
      <c r="O44" s="363"/>
      <c r="P44" s="363"/>
      <c r="Q44" s="363"/>
      <c r="R44" s="363"/>
      <c r="S44" s="363"/>
      <c r="T44" s="363"/>
      <c r="U44" s="363"/>
      <c r="V44" s="363"/>
      <c r="W44" s="363"/>
      <c r="X44" s="363"/>
      <c r="Y44" s="363"/>
      <c r="Z44" s="363"/>
    </row>
    <row r="45" spans="1:26" ht="13.5" customHeight="1" x14ac:dyDescent="0.2">
      <c r="A45" s="386">
        <f t="shared" si="0"/>
        <v>2</v>
      </c>
      <c r="B45" s="387">
        <f t="shared" si="5"/>
        <v>24</v>
      </c>
      <c r="C45" s="388">
        <f t="shared" si="6"/>
        <v>46844</v>
      </c>
      <c r="D45" s="389">
        <f t="shared" si="7"/>
        <v>1454400</v>
      </c>
      <c r="E45" s="389">
        <f t="shared" si="1"/>
        <v>8181</v>
      </c>
      <c r="F45" s="389">
        <f t="shared" si="2"/>
        <v>0</v>
      </c>
      <c r="G45" s="389">
        <f t="shared" si="3"/>
        <v>1454400</v>
      </c>
      <c r="H45" s="389">
        <f t="shared" si="4"/>
        <v>196344</v>
      </c>
      <c r="I45" s="363"/>
      <c r="J45" s="363"/>
      <c r="K45" s="363"/>
      <c r="L45" s="363"/>
      <c r="M45" s="363"/>
      <c r="N45" s="363"/>
      <c r="O45" s="363"/>
      <c r="P45" s="363"/>
      <c r="Q45" s="363"/>
      <c r="R45" s="363"/>
      <c r="S45" s="363"/>
      <c r="T45" s="363"/>
      <c r="U45" s="363"/>
      <c r="V45" s="363"/>
      <c r="W45" s="363"/>
      <c r="X45" s="363"/>
      <c r="Y45" s="363"/>
      <c r="Z45" s="363"/>
    </row>
    <row r="46" spans="1:26" ht="13.5" customHeight="1" x14ac:dyDescent="0.2">
      <c r="A46" s="386">
        <f t="shared" si="0"/>
        <v>3</v>
      </c>
      <c r="B46" s="387">
        <f t="shared" si="5"/>
        <v>25</v>
      </c>
      <c r="C46" s="388">
        <f t="shared" si="6"/>
        <v>46874</v>
      </c>
      <c r="D46" s="389">
        <f t="shared" si="7"/>
        <v>1454400</v>
      </c>
      <c r="E46" s="389">
        <f t="shared" si="1"/>
        <v>8181</v>
      </c>
      <c r="F46" s="389">
        <f t="shared" si="2"/>
        <v>2209.4320414221529</v>
      </c>
      <c r="G46" s="389">
        <f t="shared" si="3"/>
        <v>1452190.5679585778</v>
      </c>
      <c r="H46" s="389">
        <f t="shared" si="4"/>
        <v>204525</v>
      </c>
      <c r="I46" s="363"/>
      <c r="J46" s="363"/>
      <c r="K46" s="363"/>
      <c r="L46" s="363"/>
      <c r="M46" s="363"/>
      <c r="N46" s="363"/>
      <c r="O46" s="363"/>
      <c r="P46" s="363"/>
      <c r="Q46" s="363"/>
      <c r="R46" s="363"/>
      <c r="S46" s="363"/>
      <c r="T46" s="363"/>
      <c r="U46" s="363"/>
      <c r="V46" s="363"/>
      <c r="W46" s="363"/>
      <c r="X46" s="363"/>
      <c r="Y46" s="363"/>
      <c r="Z46" s="363"/>
    </row>
    <row r="47" spans="1:26" ht="13.5" customHeight="1" x14ac:dyDescent="0.2">
      <c r="A47" s="386">
        <f t="shared" si="0"/>
        <v>3</v>
      </c>
      <c r="B47" s="387">
        <f t="shared" si="5"/>
        <v>26</v>
      </c>
      <c r="C47" s="388">
        <f t="shared" si="6"/>
        <v>46905</v>
      </c>
      <c r="D47" s="389">
        <f t="shared" si="7"/>
        <v>1452190.5679585778</v>
      </c>
      <c r="E47" s="389">
        <f t="shared" si="1"/>
        <v>8168.5719447670008</v>
      </c>
      <c r="F47" s="389">
        <f t="shared" si="2"/>
        <v>2221.8600966551521</v>
      </c>
      <c r="G47" s="389">
        <f t="shared" si="3"/>
        <v>1449968.7078619227</v>
      </c>
      <c r="H47" s="389">
        <f t="shared" si="4"/>
        <v>212693.571944767</v>
      </c>
      <c r="I47" s="363"/>
      <c r="J47" s="363"/>
      <c r="K47" s="363"/>
      <c r="L47" s="363"/>
      <c r="M47" s="363"/>
      <c r="N47" s="363"/>
      <c r="O47" s="363"/>
      <c r="P47" s="363"/>
      <c r="Q47" s="363"/>
      <c r="R47" s="363"/>
      <c r="S47" s="363"/>
      <c r="T47" s="363"/>
      <c r="U47" s="363"/>
      <c r="V47" s="363"/>
      <c r="W47" s="363"/>
      <c r="X47" s="363"/>
      <c r="Y47" s="363"/>
      <c r="Z47" s="363"/>
    </row>
    <row r="48" spans="1:26" ht="13.5" customHeight="1" x14ac:dyDescent="0.2">
      <c r="A48" s="386">
        <f t="shared" si="0"/>
        <v>3</v>
      </c>
      <c r="B48" s="387">
        <f t="shared" si="5"/>
        <v>27</v>
      </c>
      <c r="C48" s="388">
        <f t="shared" si="6"/>
        <v>46935</v>
      </c>
      <c r="D48" s="389">
        <f t="shared" si="7"/>
        <v>1449968.7078619227</v>
      </c>
      <c r="E48" s="389">
        <f t="shared" si="1"/>
        <v>8156.0739817233152</v>
      </c>
      <c r="F48" s="389">
        <f t="shared" si="2"/>
        <v>2234.3580596988377</v>
      </c>
      <c r="G48" s="389">
        <f t="shared" si="3"/>
        <v>1447734.3498022237</v>
      </c>
      <c r="H48" s="389">
        <f t="shared" si="4"/>
        <v>220849.64592649031</v>
      </c>
      <c r="I48" s="363"/>
      <c r="J48" s="363"/>
      <c r="K48" s="363"/>
      <c r="L48" s="363"/>
      <c r="M48" s="363"/>
      <c r="N48" s="363"/>
      <c r="O48" s="363"/>
      <c r="P48" s="363"/>
      <c r="Q48" s="363"/>
      <c r="R48" s="363"/>
      <c r="S48" s="363"/>
      <c r="T48" s="363"/>
      <c r="U48" s="363"/>
      <c r="V48" s="363"/>
      <c r="W48" s="363"/>
      <c r="X48" s="363"/>
      <c r="Y48" s="363"/>
      <c r="Z48" s="363"/>
    </row>
    <row r="49" spans="1:26" ht="13.5" customHeight="1" x14ac:dyDescent="0.2">
      <c r="A49" s="386">
        <f t="shared" si="0"/>
        <v>3</v>
      </c>
      <c r="B49" s="387">
        <f t="shared" si="5"/>
        <v>28</v>
      </c>
      <c r="C49" s="388">
        <f t="shared" si="6"/>
        <v>46966</v>
      </c>
      <c r="D49" s="389">
        <f t="shared" si="7"/>
        <v>1447734.3498022237</v>
      </c>
      <c r="E49" s="389">
        <f t="shared" si="1"/>
        <v>8143.5057176375085</v>
      </c>
      <c r="F49" s="389">
        <f t="shared" si="2"/>
        <v>2246.9263237846444</v>
      </c>
      <c r="G49" s="389">
        <f t="shared" si="3"/>
        <v>1445487.423478439</v>
      </c>
      <c r="H49" s="389">
        <f t="shared" si="4"/>
        <v>228993.15164412782</v>
      </c>
      <c r="I49" s="363"/>
      <c r="J49" s="363"/>
      <c r="K49" s="363"/>
      <c r="L49" s="363"/>
      <c r="M49" s="363"/>
      <c r="N49" s="363"/>
      <c r="O49" s="363"/>
      <c r="P49" s="363"/>
      <c r="Q49" s="363"/>
      <c r="R49" s="363"/>
      <c r="S49" s="363"/>
      <c r="T49" s="363"/>
      <c r="U49" s="363"/>
      <c r="V49" s="363"/>
      <c r="W49" s="363"/>
      <c r="X49" s="363"/>
      <c r="Y49" s="363"/>
      <c r="Z49" s="363"/>
    </row>
    <row r="50" spans="1:26" ht="13.5" customHeight="1" x14ac:dyDescent="0.2">
      <c r="A50" s="386">
        <f t="shared" si="0"/>
        <v>3</v>
      </c>
      <c r="B50" s="387">
        <f t="shared" si="5"/>
        <v>29</v>
      </c>
      <c r="C50" s="388">
        <f t="shared" si="6"/>
        <v>46997</v>
      </c>
      <c r="D50" s="389">
        <f t="shared" si="7"/>
        <v>1445487.423478439</v>
      </c>
      <c r="E50" s="389">
        <f t="shared" si="1"/>
        <v>8130.8667570662192</v>
      </c>
      <c r="F50" s="389">
        <f t="shared" si="2"/>
        <v>2259.5652843559337</v>
      </c>
      <c r="G50" s="389">
        <f t="shared" si="3"/>
        <v>1443227.858194083</v>
      </c>
      <c r="H50" s="389">
        <f t="shared" si="4"/>
        <v>237124.01840119404</v>
      </c>
      <c r="I50" s="363"/>
      <c r="J50" s="363"/>
      <c r="K50" s="363"/>
      <c r="L50" s="363"/>
      <c r="M50" s="363"/>
      <c r="N50" s="363"/>
      <c r="O50" s="363"/>
      <c r="P50" s="363"/>
      <c r="Q50" s="363"/>
      <c r="R50" s="363"/>
      <c r="S50" s="363"/>
      <c r="T50" s="363"/>
      <c r="U50" s="363"/>
      <c r="V50" s="363"/>
      <c r="W50" s="363"/>
      <c r="X50" s="363"/>
      <c r="Y50" s="363"/>
      <c r="Z50" s="363"/>
    </row>
    <row r="51" spans="1:26" ht="13.5" customHeight="1" x14ac:dyDescent="0.2">
      <c r="A51" s="386">
        <f t="shared" si="0"/>
        <v>3</v>
      </c>
      <c r="B51" s="387">
        <f t="shared" si="5"/>
        <v>30</v>
      </c>
      <c r="C51" s="388">
        <f t="shared" si="6"/>
        <v>47027</v>
      </c>
      <c r="D51" s="389">
        <f t="shared" si="7"/>
        <v>1443227.858194083</v>
      </c>
      <c r="E51" s="389">
        <f t="shared" si="1"/>
        <v>8118.1567023417165</v>
      </c>
      <c r="F51" s="389">
        <f t="shared" si="2"/>
        <v>2272.2753390804364</v>
      </c>
      <c r="G51" s="389">
        <f t="shared" si="3"/>
        <v>1440955.5828550025</v>
      </c>
      <c r="H51" s="389">
        <f t="shared" si="4"/>
        <v>245242.17510353576</v>
      </c>
      <c r="I51" s="363"/>
      <c r="J51" s="363"/>
      <c r="K51" s="363"/>
      <c r="L51" s="363"/>
      <c r="M51" s="363"/>
      <c r="N51" s="363"/>
      <c r="O51" s="363"/>
      <c r="P51" s="363"/>
      <c r="Q51" s="363"/>
      <c r="R51" s="363"/>
      <c r="S51" s="363"/>
      <c r="T51" s="363"/>
      <c r="U51" s="363"/>
      <c r="V51" s="363"/>
      <c r="W51" s="363"/>
      <c r="X51" s="363"/>
      <c r="Y51" s="363"/>
      <c r="Z51" s="363"/>
    </row>
    <row r="52" spans="1:26" ht="13.5" customHeight="1" x14ac:dyDescent="0.2">
      <c r="A52" s="386">
        <f t="shared" si="0"/>
        <v>3</v>
      </c>
      <c r="B52" s="387">
        <f t="shared" si="5"/>
        <v>31</v>
      </c>
      <c r="C52" s="388">
        <f t="shared" si="6"/>
        <v>47058</v>
      </c>
      <c r="D52" s="389">
        <f t="shared" si="7"/>
        <v>1440955.5828550025</v>
      </c>
      <c r="E52" s="389">
        <f t="shared" si="1"/>
        <v>8105.3751535593901</v>
      </c>
      <c r="F52" s="389">
        <f t="shared" si="2"/>
        <v>2285.0568878627628</v>
      </c>
      <c r="G52" s="389">
        <f t="shared" si="3"/>
        <v>1438670.5259671398</v>
      </c>
      <c r="H52" s="389">
        <f t="shared" si="4"/>
        <v>253347.55025709514</v>
      </c>
      <c r="I52" s="363"/>
      <c r="J52" s="363"/>
      <c r="K52" s="363"/>
      <c r="L52" s="363"/>
      <c r="M52" s="363"/>
      <c r="N52" s="363"/>
      <c r="O52" s="363"/>
      <c r="P52" s="363"/>
      <c r="Q52" s="363"/>
      <c r="R52" s="363"/>
      <c r="S52" s="363"/>
      <c r="T52" s="363"/>
      <c r="U52" s="363"/>
      <c r="V52" s="363"/>
      <c r="W52" s="363"/>
      <c r="X52" s="363"/>
      <c r="Y52" s="363"/>
      <c r="Z52" s="363"/>
    </row>
    <row r="53" spans="1:26" ht="13.5" customHeight="1" x14ac:dyDescent="0.2">
      <c r="A53" s="386">
        <f t="shared" si="0"/>
        <v>3</v>
      </c>
      <c r="B53" s="387">
        <f t="shared" si="5"/>
        <v>32</v>
      </c>
      <c r="C53" s="388">
        <f t="shared" si="6"/>
        <v>47088</v>
      </c>
      <c r="D53" s="389">
        <f t="shared" si="7"/>
        <v>1438670.5259671398</v>
      </c>
      <c r="E53" s="389">
        <f t="shared" si="1"/>
        <v>8092.5217085651611</v>
      </c>
      <c r="F53" s="389">
        <f t="shared" si="2"/>
        <v>2297.9103328569918</v>
      </c>
      <c r="G53" s="389">
        <f t="shared" si="3"/>
        <v>1436372.6156342828</v>
      </c>
      <c r="H53" s="389">
        <f t="shared" si="4"/>
        <v>261440.07196566029</v>
      </c>
      <c r="I53" s="363"/>
      <c r="J53" s="363"/>
      <c r="K53" s="363"/>
      <c r="L53" s="363"/>
      <c r="M53" s="363"/>
      <c r="N53" s="363"/>
      <c r="O53" s="363"/>
      <c r="P53" s="363"/>
      <c r="Q53" s="363"/>
      <c r="R53" s="363"/>
      <c r="S53" s="363"/>
      <c r="T53" s="363"/>
      <c r="U53" s="363"/>
      <c r="V53" s="363"/>
      <c r="W53" s="363"/>
      <c r="X53" s="363"/>
      <c r="Y53" s="363"/>
      <c r="Z53" s="363"/>
    </row>
    <row r="54" spans="1:26" ht="13.5" customHeight="1" x14ac:dyDescent="0.2">
      <c r="A54" s="386">
        <f t="shared" si="0"/>
        <v>3</v>
      </c>
      <c r="B54" s="387">
        <f t="shared" si="5"/>
        <v>33</v>
      </c>
      <c r="C54" s="388">
        <f t="shared" si="6"/>
        <v>47119</v>
      </c>
      <c r="D54" s="389">
        <f t="shared" si="7"/>
        <v>1436372.6156342828</v>
      </c>
      <c r="E54" s="389">
        <f t="shared" si="1"/>
        <v>8079.5959629428407</v>
      </c>
      <c r="F54" s="389">
        <f t="shared" si="2"/>
        <v>2310.8360784793122</v>
      </c>
      <c r="G54" s="389">
        <f t="shared" si="3"/>
        <v>1434061.7795558034</v>
      </c>
      <c r="H54" s="389">
        <f t="shared" si="4"/>
        <v>269519.66792860313</v>
      </c>
      <c r="I54" s="363"/>
      <c r="J54" s="363"/>
      <c r="K54" s="363"/>
      <c r="L54" s="363"/>
      <c r="M54" s="363"/>
      <c r="N54" s="363"/>
      <c r="O54" s="363"/>
      <c r="P54" s="363"/>
      <c r="Q54" s="363"/>
      <c r="R54" s="363"/>
      <c r="S54" s="363"/>
      <c r="T54" s="363"/>
      <c r="U54" s="363"/>
      <c r="V54" s="363"/>
      <c r="W54" s="363"/>
      <c r="X54" s="363"/>
      <c r="Y54" s="363"/>
      <c r="Z54" s="363"/>
    </row>
    <row r="55" spans="1:26" ht="13.5" customHeight="1" x14ac:dyDescent="0.2">
      <c r="A55" s="386">
        <f t="shared" si="0"/>
        <v>3</v>
      </c>
      <c r="B55" s="387">
        <f t="shared" si="5"/>
        <v>34</v>
      </c>
      <c r="C55" s="388">
        <f t="shared" si="6"/>
        <v>47150</v>
      </c>
      <c r="D55" s="389">
        <f t="shared" si="7"/>
        <v>1434061.7795558034</v>
      </c>
      <c r="E55" s="389">
        <f t="shared" si="1"/>
        <v>8066.5975100013939</v>
      </c>
      <c r="F55" s="389">
        <f t="shared" si="2"/>
        <v>2323.834531420759</v>
      </c>
      <c r="G55" s="389">
        <f t="shared" si="3"/>
        <v>1431737.9450243826</v>
      </c>
      <c r="H55" s="389">
        <f t="shared" si="4"/>
        <v>277586.26543860452</v>
      </c>
      <c r="I55" s="363"/>
      <c r="J55" s="363"/>
      <c r="K55" s="363"/>
      <c r="L55" s="363"/>
      <c r="M55" s="363"/>
      <c r="N55" s="363"/>
      <c r="O55" s="363"/>
      <c r="P55" s="363"/>
      <c r="Q55" s="363"/>
      <c r="R55" s="363"/>
      <c r="S55" s="363"/>
      <c r="T55" s="363"/>
      <c r="U55" s="363"/>
      <c r="V55" s="363"/>
      <c r="W55" s="363"/>
      <c r="X55" s="363"/>
      <c r="Y55" s="363"/>
      <c r="Z55" s="363"/>
    </row>
    <row r="56" spans="1:26" ht="13.5" customHeight="1" x14ac:dyDescent="0.2">
      <c r="A56" s="386">
        <f t="shared" si="0"/>
        <v>3</v>
      </c>
      <c r="B56" s="387">
        <f t="shared" si="5"/>
        <v>35</v>
      </c>
      <c r="C56" s="388">
        <f t="shared" si="6"/>
        <v>47178</v>
      </c>
      <c r="D56" s="389">
        <f t="shared" si="7"/>
        <v>1431737.9450243826</v>
      </c>
      <c r="E56" s="389">
        <f t="shared" si="1"/>
        <v>8053.5259407621525</v>
      </c>
      <c r="F56" s="389">
        <f t="shared" si="2"/>
        <v>2336.9061006600004</v>
      </c>
      <c r="G56" s="389">
        <f t="shared" si="3"/>
        <v>1429401.0389237225</v>
      </c>
      <c r="H56" s="389">
        <f t="shared" si="4"/>
        <v>285639.79137936665</v>
      </c>
      <c r="I56" s="363"/>
      <c r="J56" s="363"/>
      <c r="K56" s="363"/>
      <c r="L56" s="363"/>
      <c r="M56" s="363"/>
      <c r="N56" s="363"/>
      <c r="O56" s="363"/>
      <c r="P56" s="363"/>
      <c r="Q56" s="363"/>
      <c r="R56" s="363"/>
      <c r="S56" s="363"/>
      <c r="T56" s="363"/>
      <c r="U56" s="363"/>
      <c r="V56" s="363"/>
      <c r="W56" s="363"/>
      <c r="X56" s="363"/>
      <c r="Y56" s="363"/>
      <c r="Z56" s="363"/>
    </row>
    <row r="57" spans="1:26" ht="13.5" customHeight="1" x14ac:dyDescent="0.2">
      <c r="A57" s="386">
        <f t="shared" si="0"/>
        <v>3</v>
      </c>
      <c r="B57" s="387">
        <f t="shared" si="5"/>
        <v>36</v>
      </c>
      <c r="C57" s="388">
        <f t="shared" si="6"/>
        <v>47209</v>
      </c>
      <c r="D57" s="389">
        <f t="shared" si="7"/>
        <v>1429401.0389237225</v>
      </c>
      <c r="E57" s="389">
        <f t="shared" si="1"/>
        <v>8040.380843945939</v>
      </c>
      <c r="F57" s="389">
        <f t="shared" si="2"/>
        <v>2350.0511974762139</v>
      </c>
      <c r="G57" s="389">
        <f t="shared" si="3"/>
        <v>1427050.9877262462</v>
      </c>
      <c r="H57" s="389">
        <f t="shared" si="4"/>
        <v>293680.17222331261</v>
      </c>
      <c r="I57" s="363"/>
      <c r="J57" s="363"/>
      <c r="K57" s="363"/>
      <c r="L57" s="363"/>
      <c r="M57" s="363"/>
      <c r="N57" s="363"/>
      <c r="O57" s="363"/>
      <c r="P57" s="363"/>
      <c r="Q57" s="363"/>
      <c r="R57" s="363"/>
      <c r="S57" s="363"/>
      <c r="T57" s="363"/>
      <c r="U57" s="363"/>
      <c r="V57" s="363"/>
      <c r="W57" s="363"/>
      <c r="X57" s="363"/>
      <c r="Y57" s="363"/>
      <c r="Z57" s="363"/>
    </row>
    <row r="58" spans="1:26" ht="13.5" customHeight="1" x14ac:dyDescent="0.2">
      <c r="A58" s="386">
        <f t="shared" si="0"/>
        <v>4</v>
      </c>
      <c r="B58" s="387">
        <f t="shared" si="5"/>
        <v>37</v>
      </c>
      <c r="C58" s="388">
        <f t="shared" si="6"/>
        <v>47239</v>
      </c>
      <c r="D58" s="389">
        <f t="shared" si="7"/>
        <v>1427050.9877262462</v>
      </c>
      <c r="E58" s="389">
        <f t="shared" si="1"/>
        <v>8027.1618059601351</v>
      </c>
      <c r="F58" s="389">
        <f t="shared" si="2"/>
        <v>2363.2702354620178</v>
      </c>
      <c r="G58" s="389">
        <f t="shared" si="3"/>
        <v>1424687.7174907841</v>
      </c>
      <c r="H58" s="389">
        <f t="shared" si="4"/>
        <v>301707.33402927272</v>
      </c>
      <c r="I58" s="363"/>
      <c r="J58" s="363"/>
      <c r="K58" s="363"/>
      <c r="L58" s="363"/>
      <c r="M58" s="363"/>
      <c r="N58" s="363"/>
      <c r="O58" s="363"/>
      <c r="P58" s="363"/>
      <c r="Q58" s="363"/>
      <c r="R58" s="363"/>
      <c r="S58" s="363"/>
      <c r="T58" s="363"/>
      <c r="U58" s="363"/>
      <c r="V58" s="363"/>
      <c r="W58" s="363"/>
      <c r="X58" s="363"/>
      <c r="Y58" s="363"/>
      <c r="Z58" s="363"/>
    </row>
    <row r="59" spans="1:26" ht="13.5" customHeight="1" x14ac:dyDescent="0.2">
      <c r="A59" s="386">
        <f t="shared" si="0"/>
        <v>4</v>
      </c>
      <c r="B59" s="387">
        <f t="shared" si="5"/>
        <v>38</v>
      </c>
      <c r="C59" s="388">
        <f t="shared" si="6"/>
        <v>47270</v>
      </c>
      <c r="D59" s="389">
        <f t="shared" si="7"/>
        <v>1424687.7174907841</v>
      </c>
      <c r="E59" s="389">
        <f t="shared" si="1"/>
        <v>8013.8684108856614</v>
      </c>
      <c r="F59" s="389">
        <f t="shared" si="2"/>
        <v>2376.5636305364915</v>
      </c>
      <c r="G59" s="389">
        <f t="shared" si="3"/>
        <v>1422311.1538602477</v>
      </c>
      <c r="H59" s="389">
        <f t="shared" si="4"/>
        <v>309721.20244015841</v>
      </c>
      <c r="I59" s="363"/>
      <c r="J59" s="363"/>
      <c r="K59" s="363"/>
      <c r="L59" s="363"/>
      <c r="M59" s="363"/>
      <c r="N59" s="363"/>
      <c r="O59" s="363"/>
      <c r="P59" s="363"/>
      <c r="Q59" s="363"/>
      <c r="R59" s="363"/>
      <c r="S59" s="363"/>
      <c r="T59" s="363"/>
      <c r="U59" s="363"/>
      <c r="V59" s="363"/>
      <c r="W59" s="363"/>
      <c r="X59" s="363"/>
      <c r="Y59" s="363"/>
      <c r="Z59" s="363"/>
    </row>
    <row r="60" spans="1:26" ht="13.5" customHeight="1" x14ac:dyDescent="0.2">
      <c r="A60" s="386">
        <f t="shared" si="0"/>
        <v>4</v>
      </c>
      <c r="B60" s="387">
        <f t="shared" si="5"/>
        <v>39</v>
      </c>
      <c r="C60" s="388">
        <f t="shared" si="6"/>
        <v>47300</v>
      </c>
      <c r="D60" s="389">
        <f t="shared" si="7"/>
        <v>1422311.1538602477</v>
      </c>
      <c r="E60" s="389">
        <f t="shared" si="1"/>
        <v>8000.5002404638935</v>
      </c>
      <c r="F60" s="389">
        <f t="shared" si="2"/>
        <v>2389.9318009582594</v>
      </c>
      <c r="G60" s="389">
        <f t="shared" si="3"/>
        <v>1419921.2220592895</v>
      </c>
      <c r="H60" s="389">
        <f t="shared" si="4"/>
        <v>317721.70268062229</v>
      </c>
      <c r="I60" s="363"/>
      <c r="J60" s="363"/>
      <c r="K60" s="363"/>
      <c r="L60" s="363"/>
      <c r="M60" s="363"/>
      <c r="N60" s="363"/>
      <c r="O60" s="363"/>
      <c r="P60" s="363"/>
      <c r="Q60" s="363"/>
      <c r="R60" s="363"/>
      <c r="S60" s="363"/>
      <c r="T60" s="363"/>
      <c r="U60" s="363"/>
      <c r="V60" s="363"/>
      <c r="W60" s="363"/>
      <c r="X60" s="363"/>
      <c r="Y60" s="363"/>
      <c r="Z60" s="363"/>
    </row>
    <row r="61" spans="1:26" ht="13.5" customHeight="1" x14ac:dyDescent="0.2">
      <c r="A61" s="386">
        <f t="shared" si="0"/>
        <v>4</v>
      </c>
      <c r="B61" s="387">
        <f t="shared" si="5"/>
        <v>40</v>
      </c>
      <c r="C61" s="388">
        <f t="shared" si="6"/>
        <v>47331</v>
      </c>
      <c r="D61" s="389">
        <f t="shared" si="7"/>
        <v>1419921.2220592895</v>
      </c>
      <c r="E61" s="389">
        <f t="shared" si="1"/>
        <v>7987.0568740835042</v>
      </c>
      <c r="F61" s="389">
        <f t="shared" si="2"/>
        <v>2403.3751673386487</v>
      </c>
      <c r="G61" s="389">
        <f t="shared" si="3"/>
        <v>1417517.8468919508</v>
      </c>
      <c r="H61" s="389">
        <f t="shared" si="4"/>
        <v>325708.75955470582</v>
      </c>
      <c r="I61" s="363"/>
      <c r="J61" s="363"/>
      <c r="K61" s="363"/>
      <c r="L61" s="363"/>
      <c r="M61" s="363"/>
      <c r="N61" s="363"/>
      <c r="O61" s="363"/>
      <c r="P61" s="363"/>
      <c r="Q61" s="363"/>
      <c r="R61" s="363"/>
      <c r="S61" s="363"/>
      <c r="T61" s="363"/>
      <c r="U61" s="363"/>
      <c r="V61" s="363"/>
      <c r="W61" s="363"/>
      <c r="X61" s="363"/>
      <c r="Y61" s="363"/>
      <c r="Z61" s="363"/>
    </row>
    <row r="62" spans="1:26" ht="13.5" customHeight="1" x14ac:dyDescent="0.2">
      <c r="A62" s="386">
        <f t="shared" si="0"/>
        <v>4</v>
      </c>
      <c r="B62" s="387">
        <f t="shared" si="5"/>
        <v>41</v>
      </c>
      <c r="C62" s="388">
        <f t="shared" si="6"/>
        <v>47362</v>
      </c>
      <c r="D62" s="389">
        <f t="shared" si="7"/>
        <v>1417517.8468919508</v>
      </c>
      <c r="E62" s="389">
        <f t="shared" si="1"/>
        <v>7973.5378887672241</v>
      </c>
      <c r="F62" s="389">
        <f t="shared" si="2"/>
        <v>2416.8941526549288</v>
      </c>
      <c r="G62" s="389">
        <f t="shared" si="3"/>
        <v>1415100.9527392958</v>
      </c>
      <c r="H62" s="389">
        <f t="shared" si="4"/>
        <v>333682.29744347301</v>
      </c>
      <c r="I62" s="363"/>
      <c r="J62" s="363"/>
      <c r="K62" s="363"/>
      <c r="L62" s="363"/>
      <c r="M62" s="363"/>
      <c r="N62" s="363"/>
      <c r="O62" s="363"/>
      <c r="P62" s="363"/>
      <c r="Q62" s="363"/>
      <c r="R62" s="363"/>
      <c r="S62" s="363"/>
      <c r="T62" s="363"/>
      <c r="U62" s="363"/>
      <c r="V62" s="363"/>
      <c r="W62" s="363"/>
      <c r="X62" s="363"/>
      <c r="Y62" s="363"/>
      <c r="Z62" s="363"/>
    </row>
    <row r="63" spans="1:26" ht="13.5" customHeight="1" x14ac:dyDescent="0.2">
      <c r="A63" s="386">
        <f t="shared" si="0"/>
        <v>4</v>
      </c>
      <c r="B63" s="387">
        <f t="shared" si="5"/>
        <v>42</v>
      </c>
      <c r="C63" s="388">
        <f t="shared" si="6"/>
        <v>47392</v>
      </c>
      <c r="D63" s="389">
        <f t="shared" si="7"/>
        <v>1415100.9527392958</v>
      </c>
      <c r="E63" s="389">
        <f t="shared" si="1"/>
        <v>7959.9428591585392</v>
      </c>
      <c r="F63" s="389">
        <f t="shared" si="2"/>
        <v>2430.4891822636137</v>
      </c>
      <c r="G63" s="389">
        <f t="shared" si="3"/>
        <v>1412670.4635570322</v>
      </c>
      <c r="H63" s="389">
        <f t="shared" si="4"/>
        <v>341642.24030263157</v>
      </c>
      <c r="I63" s="363"/>
      <c r="J63" s="363"/>
      <c r="K63" s="363"/>
      <c r="L63" s="363"/>
      <c r="M63" s="363"/>
      <c r="N63" s="363"/>
      <c r="O63" s="363"/>
      <c r="P63" s="363"/>
      <c r="Q63" s="363"/>
      <c r="R63" s="363"/>
      <c r="S63" s="363"/>
      <c r="T63" s="363"/>
      <c r="U63" s="363"/>
      <c r="V63" s="363"/>
      <c r="W63" s="363"/>
      <c r="X63" s="363"/>
      <c r="Y63" s="363"/>
      <c r="Z63" s="363"/>
    </row>
    <row r="64" spans="1:26" ht="13.5" customHeight="1" x14ac:dyDescent="0.2">
      <c r="A64" s="386">
        <f t="shared" si="0"/>
        <v>4</v>
      </c>
      <c r="B64" s="387">
        <f t="shared" si="5"/>
        <v>43</v>
      </c>
      <c r="C64" s="388">
        <f t="shared" si="6"/>
        <v>47423</v>
      </c>
      <c r="D64" s="389">
        <f t="shared" si="7"/>
        <v>1412670.4635570322</v>
      </c>
      <c r="E64" s="389">
        <f t="shared" si="1"/>
        <v>7946.2713575083062</v>
      </c>
      <c r="F64" s="389">
        <f t="shared" si="2"/>
        <v>2444.1606839138467</v>
      </c>
      <c r="G64" s="389">
        <f t="shared" si="3"/>
        <v>1410226.3028731183</v>
      </c>
      <c r="H64" s="389">
        <f t="shared" si="4"/>
        <v>349588.51166013989</v>
      </c>
      <c r="I64" s="363"/>
      <c r="J64" s="363"/>
      <c r="K64" s="363"/>
      <c r="L64" s="363"/>
      <c r="M64" s="363"/>
      <c r="N64" s="363"/>
      <c r="O64" s="363"/>
      <c r="P64" s="363"/>
      <c r="Q64" s="363"/>
      <c r="R64" s="363"/>
      <c r="S64" s="363"/>
      <c r="T64" s="363"/>
      <c r="U64" s="363"/>
      <c r="V64" s="363"/>
      <c r="W64" s="363"/>
      <c r="X64" s="363"/>
      <c r="Y64" s="363"/>
      <c r="Z64" s="363"/>
    </row>
    <row r="65" spans="1:26" ht="13.5" customHeight="1" x14ac:dyDescent="0.2">
      <c r="A65" s="386">
        <f t="shared" si="0"/>
        <v>4</v>
      </c>
      <c r="B65" s="387">
        <f t="shared" si="5"/>
        <v>44</v>
      </c>
      <c r="C65" s="388">
        <f t="shared" si="6"/>
        <v>47453</v>
      </c>
      <c r="D65" s="389">
        <f t="shared" si="7"/>
        <v>1410226.3028731183</v>
      </c>
      <c r="E65" s="389">
        <f t="shared" si="1"/>
        <v>7932.5229536612906</v>
      </c>
      <c r="F65" s="389">
        <f t="shared" si="2"/>
        <v>2457.9090877608623</v>
      </c>
      <c r="G65" s="389">
        <f t="shared" si="3"/>
        <v>1407768.3937853575</v>
      </c>
      <c r="H65" s="389">
        <f t="shared" si="4"/>
        <v>357521.03461380117</v>
      </c>
      <c r="I65" s="363"/>
      <c r="J65" s="363"/>
      <c r="K65" s="363"/>
      <c r="L65" s="363"/>
      <c r="M65" s="363"/>
      <c r="N65" s="363"/>
      <c r="O65" s="363"/>
      <c r="P65" s="363"/>
      <c r="Q65" s="363"/>
      <c r="R65" s="363"/>
      <c r="S65" s="363"/>
      <c r="T65" s="363"/>
      <c r="U65" s="363"/>
      <c r="V65" s="363"/>
      <c r="W65" s="363"/>
      <c r="X65" s="363"/>
      <c r="Y65" s="363"/>
      <c r="Z65" s="363"/>
    </row>
    <row r="66" spans="1:26" ht="13.5" customHeight="1" x14ac:dyDescent="0.2">
      <c r="A66" s="386">
        <f t="shared" si="0"/>
        <v>4</v>
      </c>
      <c r="B66" s="387">
        <f t="shared" si="5"/>
        <v>45</v>
      </c>
      <c r="C66" s="388">
        <f t="shared" si="6"/>
        <v>47484</v>
      </c>
      <c r="D66" s="389">
        <f t="shared" si="7"/>
        <v>1407768.3937853575</v>
      </c>
      <c r="E66" s="389">
        <f t="shared" si="1"/>
        <v>7918.6972150426363</v>
      </c>
      <c r="F66" s="389">
        <f t="shared" si="2"/>
        <v>2471.7348263795166</v>
      </c>
      <c r="G66" s="389">
        <f t="shared" si="3"/>
        <v>1405296.658958978</v>
      </c>
      <c r="H66" s="389">
        <f t="shared" si="4"/>
        <v>365439.73182884383</v>
      </c>
      <c r="I66" s="363"/>
      <c r="J66" s="363"/>
      <c r="K66" s="363"/>
      <c r="L66" s="363"/>
      <c r="M66" s="363"/>
      <c r="N66" s="363"/>
      <c r="O66" s="363"/>
      <c r="P66" s="363"/>
      <c r="Q66" s="363"/>
      <c r="R66" s="363"/>
      <c r="S66" s="363"/>
      <c r="T66" s="363"/>
      <c r="U66" s="363"/>
      <c r="V66" s="363"/>
      <c r="W66" s="363"/>
      <c r="X66" s="363"/>
      <c r="Y66" s="363"/>
      <c r="Z66" s="363"/>
    </row>
    <row r="67" spans="1:26" ht="13.5" customHeight="1" x14ac:dyDescent="0.2">
      <c r="A67" s="386">
        <f t="shared" si="0"/>
        <v>4</v>
      </c>
      <c r="B67" s="387">
        <f t="shared" si="5"/>
        <v>46</v>
      </c>
      <c r="C67" s="388">
        <f t="shared" si="6"/>
        <v>47515</v>
      </c>
      <c r="D67" s="389">
        <f t="shared" si="7"/>
        <v>1405296.658958978</v>
      </c>
      <c r="E67" s="389">
        <f t="shared" si="1"/>
        <v>7904.7937066442528</v>
      </c>
      <c r="F67" s="389">
        <f t="shared" si="2"/>
        <v>2485.6383347779001</v>
      </c>
      <c r="G67" s="389">
        <f t="shared" si="3"/>
        <v>1402811.0206242001</v>
      </c>
      <c r="H67" s="389">
        <f t="shared" si="4"/>
        <v>373344.52553548809</v>
      </c>
      <c r="I67" s="363"/>
      <c r="J67" s="363"/>
      <c r="K67" s="363"/>
      <c r="L67" s="363"/>
      <c r="M67" s="363"/>
      <c r="N67" s="363"/>
      <c r="O67" s="363"/>
      <c r="P67" s="363"/>
      <c r="Q67" s="363"/>
      <c r="R67" s="363"/>
      <c r="S67" s="363"/>
      <c r="T67" s="363"/>
      <c r="U67" s="363"/>
      <c r="V67" s="363"/>
      <c r="W67" s="363"/>
      <c r="X67" s="363"/>
      <c r="Y67" s="363"/>
      <c r="Z67" s="363"/>
    </row>
    <row r="68" spans="1:26" ht="13.5" customHeight="1" x14ac:dyDescent="0.2">
      <c r="A68" s="386">
        <f t="shared" si="0"/>
        <v>4</v>
      </c>
      <c r="B68" s="387">
        <f t="shared" si="5"/>
        <v>47</v>
      </c>
      <c r="C68" s="388">
        <f t="shared" si="6"/>
        <v>47543</v>
      </c>
      <c r="D68" s="389">
        <f t="shared" si="7"/>
        <v>1402811.0206242001</v>
      </c>
      <c r="E68" s="389">
        <f t="shared" si="1"/>
        <v>7890.8119910111263</v>
      </c>
      <c r="F68" s="389">
        <f t="shared" si="2"/>
        <v>2499.6200504110266</v>
      </c>
      <c r="G68" s="389">
        <f t="shared" si="3"/>
        <v>1400311.4005737891</v>
      </c>
      <c r="H68" s="389">
        <f t="shared" si="4"/>
        <v>381235.33752649924</v>
      </c>
      <c r="I68" s="363"/>
      <c r="J68" s="363"/>
      <c r="K68" s="363"/>
      <c r="L68" s="363"/>
      <c r="M68" s="363"/>
      <c r="N68" s="363"/>
      <c r="O68" s="363"/>
      <c r="P68" s="363"/>
      <c r="Q68" s="363"/>
      <c r="R68" s="363"/>
      <c r="S68" s="363"/>
      <c r="T68" s="363"/>
      <c r="U68" s="363"/>
      <c r="V68" s="363"/>
      <c r="W68" s="363"/>
      <c r="X68" s="363"/>
      <c r="Y68" s="363"/>
      <c r="Z68" s="363"/>
    </row>
    <row r="69" spans="1:26" ht="13.5" customHeight="1" x14ac:dyDescent="0.2">
      <c r="A69" s="386">
        <f t="shared" si="0"/>
        <v>4</v>
      </c>
      <c r="B69" s="387">
        <f t="shared" si="5"/>
        <v>48</v>
      </c>
      <c r="C69" s="388">
        <f t="shared" si="6"/>
        <v>47574</v>
      </c>
      <c r="D69" s="389">
        <f t="shared" si="7"/>
        <v>1400311.4005737891</v>
      </c>
      <c r="E69" s="389">
        <f t="shared" si="1"/>
        <v>7876.7516282275647</v>
      </c>
      <c r="F69" s="389">
        <f t="shared" si="2"/>
        <v>2513.6804131945883</v>
      </c>
      <c r="G69" s="389">
        <f t="shared" si="3"/>
        <v>1397797.7201605944</v>
      </c>
      <c r="H69" s="389">
        <f t="shared" si="4"/>
        <v>389112.08915472683</v>
      </c>
      <c r="I69" s="363"/>
      <c r="J69" s="363"/>
      <c r="K69" s="363"/>
      <c r="L69" s="363"/>
      <c r="M69" s="363"/>
      <c r="N69" s="363"/>
      <c r="O69" s="363"/>
      <c r="P69" s="363"/>
      <c r="Q69" s="363"/>
      <c r="R69" s="363"/>
      <c r="S69" s="363"/>
      <c r="T69" s="363"/>
      <c r="U69" s="363"/>
      <c r="V69" s="363"/>
      <c r="W69" s="363"/>
      <c r="X69" s="363"/>
      <c r="Y69" s="363"/>
      <c r="Z69" s="363"/>
    </row>
    <row r="70" spans="1:26" ht="13.5" customHeight="1" x14ac:dyDescent="0.2">
      <c r="A70" s="386">
        <f t="shared" si="0"/>
        <v>5</v>
      </c>
      <c r="B70" s="387">
        <f t="shared" si="5"/>
        <v>49</v>
      </c>
      <c r="C70" s="388">
        <f t="shared" si="6"/>
        <v>47604</v>
      </c>
      <c r="D70" s="389">
        <f t="shared" si="7"/>
        <v>1397797.7201605944</v>
      </c>
      <c r="E70" s="389">
        <f t="shared" si="1"/>
        <v>7862.612175903344</v>
      </c>
      <c r="F70" s="389">
        <f t="shared" si="2"/>
        <v>2527.8198655188089</v>
      </c>
      <c r="G70" s="389">
        <f t="shared" si="3"/>
        <v>1395269.9002950757</v>
      </c>
      <c r="H70" s="389">
        <f t="shared" si="4"/>
        <v>396974.70133063017</v>
      </c>
      <c r="I70" s="363"/>
      <c r="J70" s="363"/>
      <c r="K70" s="363"/>
      <c r="L70" s="363"/>
      <c r="M70" s="363"/>
      <c r="N70" s="363"/>
      <c r="O70" s="363"/>
      <c r="P70" s="363"/>
      <c r="Q70" s="363"/>
      <c r="R70" s="363"/>
      <c r="S70" s="363"/>
      <c r="T70" s="363"/>
      <c r="U70" s="363"/>
      <c r="V70" s="363"/>
      <c r="W70" s="363"/>
      <c r="X70" s="363"/>
      <c r="Y70" s="363"/>
      <c r="Z70" s="363"/>
    </row>
    <row r="71" spans="1:26" ht="13.5" customHeight="1" x14ac:dyDescent="0.2">
      <c r="A71" s="386">
        <f t="shared" si="0"/>
        <v>5</v>
      </c>
      <c r="B71" s="387">
        <f t="shared" si="5"/>
        <v>50</v>
      </c>
      <c r="C71" s="388">
        <f t="shared" si="6"/>
        <v>47635</v>
      </c>
      <c r="D71" s="389">
        <f t="shared" si="7"/>
        <v>1395269.9002950757</v>
      </c>
      <c r="E71" s="389">
        <f t="shared" si="1"/>
        <v>7848.3931891598013</v>
      </c>
      <c r="F71" s="389">
        <f t="shared" si="2"/>
        <v>2542.0388522623516</v>
      </c>
      <c r="G71" s="389">
        <f t="shared" si="3"/>
        <v>1392727.8614428134</v>
      </c>
      <c r="H71" s="389">
        <f t="shared" si="4"/>
        <v>404823.09451978997</v>
      </c>
      <c r="I71" s="363"/>
      <c r="J71" s="363"/>
      <c r="K71" s="363"/>
      <c r="L71" s="363"/>
      <c r="M71" s="363"/>
      <c r="N71" s="363"/>
      <c r="O71" s="363"/>
      <c r="P71" s="363"/>
      <c r="Q71" s="363"/>
      <c r="R71" s="363"/>
      <c r="S71" s="363"/>
      <c r="T71" s="363"/>
      <c r="U71" s="363"/>
      <c r="V71" s="363"/>
      <c r="W71" s="363"/>
      <c r="X71" s="363"/>
      <c r="Y71" s="363"/>
      <c r="Z71" s="363"/>
    </row>
    <row r="72" spans="1:26" ht="13.5" customHeight="1" x14ac:dyDescent="0.2">
      <c r="A72" s="386">
        <f t="shared" si="0"/>
        <v>5</v>
      </c>
      <c r="B72" s="387">
        <f t="shared" si="5"/>
        <v>51</v>
      </c>
      <c r="C72" s="388">
        <f t="shared" si="6"/>
        <v>47665</v>
      </c>
      <c r="D72" s="389">
        <f t="shared" si="7"/>
        <v>1392727.8614428134</v>
      </c>
      <c r="E72" s="389">
        <f t="shared" si="1"/>
        <v>7834.0942206158261</v>
      </c>
      <c r="F72" s="389">
        <f t="shared" si="2"/>
        <v>2556.3378208063268</v>
      </c>
      <c r="G72" s="389">
        <f t="shared" si="3"/>
        <v>1390171.5236220071</v>
      </c>
      <c r="H72" s="389">
        <f t="shared" si="4"/>
        <v>412657.18874040578</v>
      </c>
      <c r="I72" s="363"/>
      <c r="J72" s="363"/>
      <c r="K72" s="363"/>
      <c r="L72" s="363"/>
      <c r="M72" s="363"/>
      <c r="N72" s="363"/>
      <c r="O72" s="363"/>
      <c r="P72" s="363"/>
      <c r="Q72" s="363"/>
      <c r="R72" s="363"/>
      <c r="S72" s="363"/>
      <c r="T72" s="363"/>
      <c r="U72" s="363"/>
      <c r="V72" s="363"/>
      <c r="W72" s="363"/>
      <c r="X72" s="363"/>
      <c r="Y72" s="363"/>
      <c r="Z72" s="363"/>
    </row>
    <row r="73" spans="1:26" ht="13.5" customHeight="1" x14ac:dyDescent="0.2">
      <c r="A73" s="386">
        <f t="shared" si="0"/>
        <v>5</v>
      </c>
      <c r="B73" s="387">
        <f t="shared" si="5"/>
        <v>52</v>
      </c>
      <c r="C73" s="388">
        <f t="shared" si="6"/>
        <v>47696</v>
      </c>
      <c r="D73" s="389">
        <f t="shared" si="7"/>
        <v>1390171.5236220071</v>
      </c>
      <c r="E73" s="389">
        <f t="shared" si="1"/>
        <v>7819.7148203737897</v>
      </c>
      <c r="F73" s="389">
        <f t="shared" si="2"/>
        <v>2570.7172210483632</v>
      </c>
      <c r="G73" s="389">
        <f t="shared" si="3"/>
        <v>1387600.8064009587</v>
      </c>
      <c r="H73" s="389">
        <f t="shared" si="4"/>
        <v>420476.90356077958</v>
      </c>
      <c r="I73" s="363"/>
      <c r="J73" s="363"/>
      <c r="K73" s="363"/>
      <c r="L73" s="363"/>
      <c r="M73" s="363"/>
      <c r="N73" s="363"/>
      <c r="O73" s="363"/>
      <c r="P73" s="363"/>
      <c r="Q73" s="363"/>
      <c r="R73" s="363"/>
      <c r="S73" s="363"/>
      <c r="T73" s="363"/>
      <c r="U73" s="363"/>
      <c r="V73" s="363"/>
      <c r="W73" s="363"/>
      <c r="X73" s="363"/>
      <c r="Y73" s="363"/>
      <c r="Z73" s="363"/>
    </row>
    <row r="74" spans="1:26" ht="13.5" customHeight="1" x14ac:dyDescent="0.2">
      <c r="A74" s="386">
        <f t="shared" si="0"/>
        <v>5</v>
      </c>
      <c r="B74" s="387">
        <f t="shared" si="5"/>
        <v>53</v>
      </c>
      <c r="C74" s="388">
        <f t="shared" si="6"/>
        <v>47727</v>
      </c>
      <c r="D74" s="389">
        <f t="shared" si="7"/>
        <v>1387600.8064009587</v>
      </c>
      <c r="E74" s="389">
        <f t="shared" si="1"/>
        <v>7805.2545360053928</v>
      </c>
      <c r="F74" s="389">
        <f t="shared" si="2"/>
        <v>2585.1775054167601</v>
      </c>
      <c r="G74" s="389">
        <f t="shared" si="3"/>
        <v>1385015.6288955419</v>
      </c>
      <c r="H74" s="389">
        <f t="shared" si="4"/>
        <v>428282.15809678496</v>
      </c>
      <c r="I74" s="363"/>
      <c r="J74" s="363"/>
      <c r="K74" s="363"/>
      <c r="L74" s="363"/>
      <c r="M74" s="363"/>
      <c r="N74" s="363"/>
      <c r="O74" s="363"/>
      <c r="P74" s="363"/>
      <c r="Q74" s="363"/>
      <c r="R74" s="363"/>
      <c r="S74" s="363"/>
      <c r="T74" s="363"/>
      <c r="U74" s="363"/>
      <c r="V74" s="363"/>
      <c r="W74" s="363"/>
      <c r="X74" s="363"/>
      <c r="Y74" s="363"/>
      <c r="Z74" s="363"/>
    </row>
    <row r="75" spans="1:26" ht="13.5" customHeight="1" x14ac:dyDescent="0.2">
      <c r="A75" s="386">
        <f t="shared" si="0"/>
        <v>5</v>
      </c>
      <c r="B75" s="387">
        <f t="shared" si="5"/>
        <v>54</v>
      </c>
      <c r="C75" s="388">
        <f t="shared" si="6"/>
        <v>47757</v>
      </c>
      <c r="D75" s="389">
        <f t="shared" si="7"/>
        <v>1385015.6288955419</v>
      </c>
      <c r="E75" s="389">
        <f t="shared" si="1"/>
        <v>7790.7129125374231</v>
      </c>
      <c r="F75" s="389">
        <f t="shared" si="2"/>
        <v>2599.7191288847298</v>
      </c>
      <c r="G75" s="389">
        <f t="shared" si="3"/>
        <v>1382415.909766657</v>
      </c>
      <c r="H75" s="389">
        <f t="shared" si="4"/>
        <v>436072.87100932241</v>
      </c>
      <c r="I75" s="363"/>
      <c r="J75" s="363"/>
      <c r="K75" s="363"/>
      <c r="L75" s="363"/>
      <c r="M75" s="363"/>
      <c r="N75" s="363"/>
      <c r="O75" s="363"/>
      <c r="P75" s="363"/>
      <c r="Q75" s="363"/>
      <c r="R75" s="363"/>
      <c r="S75" s="363"/>
      <c r="T75" s="363"/>
      <c r="U75" s="363"/>
      <c r="V75" s="363"/>
      <c r="W75" s="363"/>
      <c r="X75" s="363"/>
      <c r="Y75" s="363"/>
      <c r="Z75" s="363"/>
    </row>
    <row r="76" spans="1:26" ht="13.5" customHeight="1" x14ac:dyDescent="0.2">
      <c r="A76" s="386">
        <f t="shared" si="0"/>
        <v>5</v>
      </c>
      <c r="B76" s="387">
        <f t="shared" si="5"/>
        <v>55</v>
      </c>
      <c r="C76" s="388">
        <f t="shared" si="6"/>
        <v>47788</v>
      </c>
      <c r="D76" s="389">
        <f t="shared" si="7"/>
        <v>1382415.909766657</v>
      </c>
      <c r="E76" s="389">
        <f t="shared" si="1"/>
        <v>7776.089492437447</v>
      </c>
      <c r="F76" s="389">
        <f t="shared" si="2"/>
        <v>2614.3425489847059</v>
      </c>
      <c r="G76" s="389">
        <f t="shared" si="3"/>
        <v>1379801.5672176722</v>
      </c>
      <c r="H76" s="389">
        <f t="shared" si="4"/>
        <v>443848.96050175984</v>
      </c>
      <c r="I76" s="363"/>
      <c r="J76" s="363"/>
      <c r="K76" s="363"/>
      <c r="L76" s="363"/>
      <c r="M76" s="363"/>
      <c r="N76" s="363"/>
      <c r="O76" s="363"/>
      <c r="P76" s="363"/>
      <c r="Q76" s="363"/>
      <c r="R76" s="363"/>
      <c r="S76" s="363"/>
      <c r="T76" s="363"/>
      <c r="U76" s="363"/>
      <c r="V76" s="363"/>
      <c r="W76" s="363"/>
      <c r="X76" s="363"/>
      <c r="Y76" s="363"/>
      <c r="Z76" s="363"/>
    </row>
    <row r="77" spans="1:26" ht="13.5" customHeight="1" x14ac:dyDescent="0.2">
      <c r="A77" s="386">
        <f t="shared" si="0"/>
        <v>5</v>
      </c>
      <c r="B77" s="387">
        <f t="shared" si="5"/>
        <v>56</v>
      </c>
      <c r="C77" s="388">
        <f t="shared" si="6"/>
        <v>47818</v>
      </c>
      <c r="D77" s="389">
        <f t="shared" si="7"/>
        <v>1379801.5672176722</v>
      </c>
      <c r="E77" s="389">
        <f t="shared" si="1"/>
        <v>7761.3838155994063</v>
      </c>
      <c r="F77" s="389">
        <f t="shared" si="2"/>
        <v>2629.0482258227466</v>
      </c>
      <c r="G77" s="389">
        <f t="shared" si="3"/>
        <v>1377172.5189918494</v>
      </c>
      <c r="H77" s="389">
        <f t="shared" si="4"/>
        <v>451610.34431735927</v>
      </c>
      <c r="I77" s="363"/>
      <c r="J77" s="363"/>
      <c r="K77" s="363"/>
      <c r="L77" s="363"/>
      <c r="M77" s="363"/>
      <c r="N77" s="363"/>
      <c r="O77" s="363"/>
      <c r="P77" s="363"/>
      <c r="Q77" s="363"/>
      <c r="R77" s="363"/>
      <c r="S77" s="363"/>
      <c r="T77" s="363"/>
      <c r="U77" s="363"/>
      <c r="V77" s="363"/>
      <c r="W77" s="363"/>
      <c r="X77" s="363"/>
      <c r="Y77" s="363"/>
      <c r="Z77" s="363"/>
    </row>
    <row r="78" spans="1:26" ht="13.5" customHeight="1" x14ac:dyDescent="0.2">
      <c r="A78" s="386">
        <f t="shared" si="0"/>
        <v>5</v>
      </c>
      <c r="B78" s="387">
        <f t="shared" si="5"/>
        <v>57</v>
      </c>
      <c r="C78" s="388">
        <f t="shared" si="6"/>
        <v>47849</v>
      </c>
      <c r="D78" s="389">
        <f t="shared" si="7"/>
        <v>1377172.5189918494</v>
      </c>
      <c r="E78" s="389">
        <f t="shared" si="1"/>
        <v>7746.5954193291536</v>
      </c>
      <c r="F78" s="389">
        <f t="shared" si="2"/>
        <v>2643.8366220929993</v>
      </c>
      <c r="G78" s="389">
        <f t="shared" si="3"/>
        <v>1374528.6823697563</v>
      </c>
      <c r="H78" s="389">
        <f t="shared" si="4"/>
        <v>459356.93973668839</v>
      </c>
      <c r="I78" s="363"/>
      <c r="J78" s="363"/>
      <c r="K78" s="363"/>
      <c r="L78" s="363"/>
      <c r="M78" s="363"/>
      <c r="N78" s="363"/>
      <c r="O78" s="363"/>
      <c r="P78" s="363"/>
      <c r="Q78" s="363"/>
      <c r="R78" s="363"/>
      <c r="S78" s="363"/>
      <c r="T78" s="363"/>
      <c r="U78" s="363"/>
      <c r="V78" s="363"/>
      <c r="W78" s="363"/>
      <c r="X78" s="363"/>
      <c r="Y78" s="363"/>
      <c r="Z78" s="363"/>
    </row>
    <row r="79" spans="1:26" ht="13.5" customHeight="1" x14ac:dyDescent="0.2">
      <c r="A79" s="386">
        <f t="shared" si="0"/>
        <v>5</v>
      </c>
      <c r="B79" s="387">
        <f t="shared" si="5"/>
        <v>58</v>
      </c>
      <c r="C79" s="388">
        <f t="shared" si="6"/>
        <v>47880</v>
      </c>
      <c r="D79" s="389">
        <f t="shared" si="7"/>
        <v>1374528.6823697563</v>
      </c>
      <c r="E79" s="389">
        <f t="shared" si="1"/>
        <v>7731.7238383298791</v>
      </c>
      <c r="F79" s="389">
        <f t="shared" si="2"/>
        <v>2658.7082030922738</v>
      </c>
      <c r="G79" s="389">
        <f t="shared" si="3"/>
        <v>1371869.9741666641</v>
      </c>
      <c r="H79" s="389">
        <f t="shared" si="4"/>
        <v>467088.66357501829</v>
      </c>
      <c r="I79" s="363"/>
      <c r="J79" s="363"/>
      <c r="K79" s="363"/>
      <c r="L79" s="363"/>
      <c r="M79" s="363"/>
      <c r="N79" s="363"/>
      <c r="O79" s="363"/>
      <c r="P79" s="363"/>
      <c r="Q79" s="363"/>
      <c r="R79" s="363"/>
      <c r="S79" s="363"/>
      <c r="T79" s="363"/>
      <c r="U79" s="363"/>
      <c r="V79" s="363"/>
      <c r="W79" s="363"/>
      <c r="X79" s="363"/>
      <c r="Y79" s="363"/>
      <c r="Z79" s="363"/>
    </row>
    <row r="80" spans="1:26" ht="13.5" customHeight="1" x14ac:dyDescent="0.2">
      <c r="A80" s="386">
        <f t="shared" si="0"/>
        <v>5</v>
      </c>
      <c r="B80" s="387">
        <f t="shared" si="5"/>
        <v>59</v>
      </c>
      <c r="C80" s="388">
        <f t="shared" si="6"/>
        <v>47908</v>
      </c>
      <c r="D80" s="389">
        <f t="shared" si="7"/>
        <v>1371869.9741666641</v>
      </c>
      <c r="E80" s="389">
        <f t="shared" si="1"/>
        <v>7716.7686046874851</v>
      </c>
      <c r="F80" s="389">
        <f t="shared" si="2"/>
        <v>2673.6634367346678</v>
      </c>
      <c r="G80" s="389">
        <f t="shared" si="3"/>
        <v>1369196.3107299295</v>
      </c>
      <c r="H80" s="389">
        <f t="shared" si="4"/>
        <v>474805.43217970576</v>
      </c>
      <c r="I80" s="363"/>
      <c r="J80" s="363"/>
      <c r="K80" s="363"/>
      <c r="L80" s="363"/>
      <c r="M80" s="363"/>
      <c r="N80" s="363"/>
      <c r="O80" s="363"/>
      <c r="P80" s="363"/>
      <c r="Q80" s="363"/>
      <c r="R80" s="363"/>
      <c r="S80" s="363"/>
      <c r="T80" s="363"/>
      <c r="U80" s="363"/>
      <c r="V80" s="363"/>
      <c r="W80" s="363"/>
      <c r="X80" s="363"/>
      <c r="Y80" s="363"/>
      <c r="Z80" s="363"/>
    </row>
    <row r="81" spans="1:26" ht="13.5" customHeight="1" x14ac:dyDescent="0.2">
      <c r="A81" s="386">
        <f t="shared" si="0"/>
        <v>5</v>
      </c>
      <c r="B81" s="387">
        <f t="shared" si="5"/>
        <v>60</v>
      </c>
      <c r="C81" s="388">
        <f t="shared" si="6"/>
        <v>47939</v>
      </c>
      <c r="D81" s="389">
        <f t="shared" si="7"/>
        <v>1369196.3107299295</v>
      </c>
      <c r="E81" s="389">
        <f t="shared" si="1"/>
        <v>7701.7292478558529</v>
      </c>
      <c r="F81" s="389">
        <f t="shared" si="2"/>
        <v>2688.7027935663</v>
      </c>
      <c r="G81" s="389">
        <f t="shared" si="3"/>
        <v>1366507.6079363632</v>
      </c>
      <c r="H81" s="389">
        <f t="shared" si="4"/>
        <v>482507.1614275616</v>
      </c>
      <c r="I81" s="363"/>
      <c r="J81" s="363"/>
      <c r="K81" s="363"/>
      <c r="L81" s="363"/>
      <c r="M81" s="363"/>
      <c r="N81" s="363"/>
      <c r="O81" s="363"/>
      <c r="P81" s="363"/>
      <c r="Q81" s="363"/>
      <c r="R81" s="363"/>
      <c r="S81" s="363"/>
      <c r="T81" s="363"/>
      <c r="U81" s="363"/>
      <c r="V81" s="363"/>
      <c r="W81" s="363"/>
      <c r="X81" s="363"/>
      <c r="Y81" s="363"/>
      <c r="Z81" s="363"/>
    </row>
    <row r="82" spans="1:26" ht="13.5" customHeight="1" x14ac:dyDescent="0.2">
      <c r="A82" s="386">
        <f t="shared" si="0"/>
        <v>6</v>
      </c>
      <c r="B82" s="387">
        <f t="shared" si="5"/>
        <v>61</v>
      </c>
      <c r="C82" s="388">
        <f t="shared" si="6"/>
        <v>47969</v>
      </c>
      <c r="D82" s="389">
        <f t="shared" si="7"/>
        <v>1366507.6079363632</v>
      </c>
      <c r="E82" s="389">
        <f t="shared" si="1"/>
        <v>7686.6052946420432</v>
      </c>
      <c r="F82" s="389">
        <f t="shared" si="2"/>
        <v>2703.8267467801097</v>
      </c>
      <c r="G82" s="389">
        <f t="shared" si="3"/>
        <v>1363803.781189583</v>
      </c>
      <c r="H82" s="389">
        <f t="shared" si="4"/>
        <v>490193.76672220364</v>
      </c>
      <c r="I82" s="363"/>
      <c r="J82" s="363"/>
      <c r="K82" s="363"/>
      <c r="L82" s="363"/>
      <c r="M82" s="363"/>
      <c r="N82" s="363"/>
      <c r="O82" s="363"/>
      <c r="P82" s="363"/>
      <c r="Q82" s="363"/>
      <c r="R82" s="363"/>
      <c r="S82" s="363"/>
      <c r="T82" s="363"/>
      <c r="U82" s="363"/>
      <c r="V82" s="363"/>
      <c r="W82" s="363"/>
      <c r="X82" s="363"/>
      <c r="Y82" s="363"/>
      <c r="Z82" s="363"/>
    </row>
    <row r="83" spans="1:26" ht="13.5" customHeight="1" x14ac:dyDescent="0.2">
      <c r="A83" s="386">
        <f t="shared" si="0"/>
        <v>6</v>
      </c>
      <c r="B83" s="387">
        <f t="shared" si="5"/>
        <v>62</v>
      </c>
      <c r="C83" s="388">
        <f t="shared" si="6"/>
        <v>48000</v>
      </c>
      <c r="D83" s="389">
        <f t="shared" si="7"/>
        <v>1363803.781189583</v>
      </c>
      <c r="E83" s="389">
        <f t="shared" si="1"/>
        <v>7671.3962691914048</v>
      </c>
      <c r="F83" s="389">
        <f t="shared" si="2"/>
        <v>2719.0357722307481</v>
      </c>
      <c r="G83" s="389">
        <f t="shared" si="3"/>
        <v>1361084.7454173523</v>
      </c>
      <c r="H83" s="389">
        <f t="shared" si="4"/>
        <v>497865.16299139505</v>
      </c>
      <c r="I83" s="363"/>
      <c r="J83" s="363"/>
      <c r="K83" s="363"/>
      <c r="L83" s="363"/>
      <c r="M83" s="363"/>
      <c r="N83" s="363"/>
      <c r="O83" s="363"/>
      <c r="P83" s="363"/>
      <c r="Q83" s="363"/>
      <c r="R83" s="363"/>
      <c r="S83" s="363"/>
      <c r="T83" s="363"/>
      <c r="U83" s="363"/>
      <c r="V83" s="363"/>
      <c r="W83" s="363"/>
      <c r="X83" s="363"/>
      <c r="Y83" s="363"/>
      <c r="Z83" s="363"/>
    </row>
    <row r="84" spans="1:26" ht="13.5" customHeight="1" x14ac:dyDescent="0.2">
      <c r="A84" s="386">
        <f t="shared" si="0"/>
        <v>6</v>
      </c>
      <c r="B84" s="387">
        <f t="shared" si="5"/>
        <v>63</v>
      </c>
      <c r="C84" s="388">
        <f t="shared" si="6"/>
        <v>48030</v>
      </c>
      <c r="D84" s="389">
        <f t="shared" si="7"/>
        <v>1361084.7454173523</v>
      </c>
      <c r="E84" s="389">
        <f t="shared" si="1"/>
        <v>7656.1016929726075</v>
      </c>
      <c r="F84" s="389">
        <f t="shared" si="2"/>
        <v>2734.3303484495455</v>
      </c>
      <c r="G84" s="389">
        <f t="shared" si="3"/>
        <v>1358350.4150689028</v>
      </c>
      <c r="H84" s="389">
        <f t="shared" si="4"/>
        <v>505521.26468436763</v>
      </c>
      <c r="I84" s="363"/>
      <c r="J84" s="363"/>
      <c r="K84" s="363"/>
      <c r="L84" s="363"/>
      <c r="M84" s="363"/>
      <c r="N84" s="363"/>
      <c r="O84" s="363"/>
      <c r="P84" s="363"/>
      <c r="Q84" s="363"/>
      <c r="R84" s="363"/>
      <c r="S84" s="363"/>
      <c r="T84" s="363"/>
      <c r="U84" s="363"/>
      <c r="V84" s="363"/>
      <c r="W84" s="363"/>
      <c r="X84" s="363"/>
      <c r="Y84" s="363"/>
      <c r="Z84" s="363"/>
    </row>
    <row r="85" spans="1:26" ht="13.5" customHeight="1" x14ac:dyDescent="0.2">
      <c r="A85" s="386">
        <f t="shared" si="0"/>
        <v>6</v>
      </c>
      <c r="B85" s="387">
        <f t="shared" si="5"/>
        <v>64</v>
      </c>
      <c r="C85" s="388">
        <f t="shared" si="6"/>
        <v>48061</v>
      </c>
      <c r="D85" s="389">
        <f t="shared" si="7"/>
        <v>1358350.4150689028</v>
      </c>
      <c r="E85" s="389">
        <f t="shared" si="1"/>
        <v>7640.7210847625784</v>
      </c>
      <c r="F85" s="389">
        <f t="shared" si="2"/>
        <v>2749.7109566595745</v>
      </c>
      <c r="G85" s="389">
        <f t="shared" si="3"/>
        <v>1355600.7041122431</v>
      </c>
      <c r="H85" s="389">
        <f t="shared" si="4"/>
        <v>513161.98576913023</v>
      </c>
      <c r="I85" s="363"/>
      <c r="J85" s="363"/>
      <c r="K85" s="363"/>
      <c r="L85" s="363"/>
      <c r="M85" s="363"/>
      <c r="N85" s="363"/>
      <c r="O85" s="363"/>
      <c r="P85" s="363"/>
      <c r="Q85" s="363"/>
      <c r="R85" s="363"/>
      <c r="S85" s="363"/>
      <c r="T85" s="363"/>
      <c r="U85" s="363"/>
      <c r="V85" s="363"/>
      <c r="W85" s="363"/>
      <c r="X85" s="363"/>
      <c r="Y85" s="363"/>
      <c r="Z85" s="363"/>
    </row>
    <row r="86" spans="1:26" ht="13.5" customHeight="1" x14ac:dyDescent="0.2">
      <c r="A86" s="386">
        <f t="shared" si="0"/>
        <v>6</v>
      </c>
      <c r="B86" s="387">
        <f t="shared" si="5"/>
        <v>65</v>
      </c>
      <c r="C86" s="388">
        <f t="shared" si="6"/>
        <v>48092</v>
      </c>
      <c r="D86" s="389">
        <f t="shared" si="7"/>
        <v>1355600.7041122431</v>
      </c>
      <c r="E86" s="389">
        <f t="shared" si="1"/>
        <v>7625.2539606313685</v>
      </c>
      <c r="F86" s="389">
        <f t="shared" si="2"/>
        <v>2765.1780807907844</v>
      </c>
      <c r="G86" s="389">
        <f t="shared" si="3"/>
        <v>1352835.5260314525</v>
      </c>
      <c r="H86" s="389">
        <f t="shared" si="4"/>
        <v>520787.23972976161</v>
      </c>
      <c r="I86" s="363"/>
      <c r="J86" s="363"/>
      <c r="K86" s="363"/>
      <c r="L86" s="363"/>
      <c r="M86" s="363"/>
      <c r="N86" s="363"/>
      <c r="O86" s="363"/>
      <c r="P86" s="363"/>
      <c r="Q86" s="363"/>
      <c r="R86" s="363"/>
      <c r="S86" s="363"/>
      <c r="T86" s="363"/>
      <c r="U86" s="363"/>
      <c r="V86" s="363"/>
      <c r="W86" s="363"/>
      <c r="X86" s="363"/>
      <c r="Y86" s="363"/>
      <c r="Z86" s="363"/>
    </row>
    <row r="87" spans="1:26" ht="13.5" customHeight="1" x14ac:dyDescent="0.2">
      <c r="A87" s="386">
        <f t="shared" si="0"/>
        <v>6</v>
      </c>
      <c r="B87" s="387">
        <f t="shared" si="5"/>
        <v>66</v>
      </c>
      <c r="C87" s="388">
        <f t="shared" si="6"/>
        <v>48122</v>
      </c>
      <c r="D87" s="389">
        <f t="shared" si="7"/>
        <v>1352835.5260314525</v>
      </c>
      <c r="E87" s="389">
        <f t="shared" si="1"/>
        <v>7609.6998339269203</v>
      </c>
      <c r="F87" s="389">
        <f t="shared" si="2"/>
        <v>2780.7322074952326</v>
      </c>
      <c r="G87" s="389">
        <f t="shared" si="3"/>
        <v>1350054.7938239572</v>
      </c>
      <c r="H87" s="389">
        <f t="shared" si="4"/>
        <v>528396.93956368859</v>
      </c>
      <c r="I87" s="363"/>
      <c r="J87" s="363"/>
      <c r="K87" s="363"/>
      <c r="L87" s="363"/>
      <c r="M87" s="363"/>
      <c r="N87" s="363"/>
      <c r="O87" s="363"/>
      <c r="P87" s="363"/>
      <c r="Q87" s="363"/>
      <c r="R87" s="363"/>
      <c r="S87" s="363"/>
      <c r="T87" s="363"/>
      <c r="U87" s="363"/>
      <c r="V87" s="363"/>
      <c r="W87" s="363"/>
      <c r="X87" s="363"/>
      <c r="Y87" s="363"/>
      <c r="Z87" s="363"/>
    </row>
    <row r="88" spans="1:26" ht="13.5" customHeight="1" x14ac:dyDescent="0.2">
      <c r="A88" s="386">
        <f t="shared" si="0"/>
        <v>6</v>
      </c>
      <c r="B88" s="387">
        <f t="shared" si="5"/>
        <v>67</v>
      </c>
      <c r="C88" s="388">
        <f t="shared" si="6"/>
        <v>48153</v>
      </c>
      <c r="D88" s="389">
        <f t="shared" si="7"/>
        <v>1350054.7938239572</v>
      </c>
      <c r="E88" s="389">
        <f t="shared" si="1"/>
        <v>7594.0582152597599</v>
      </c>
      <c r="F88" s="389">
        <f t="shared" si="2"/>
        <v>2796.373826162393</v>
      </c>
      <c r="G88" s="389">
        <f t="shared" si="3"/>
        <v>1347258.4199977948</v>
      </c>
      <c r="H88" s="389">
        <f t="shared" si="4"/>
        <v>535990.9977789484</v>
      </c>
      <c r="I88" s="363"/>
      <c r="J88" s="363"/>
      <c r="K88" s="363"/>
      <c r="L88" s="363"/>
      <c r="M88" s="363"/>
      <c r="N88" s="363"/>
      <c r="O88" s="363"/>
      <c r="P88" s="363"/>
      <c r="Q88" s="363"/>
      <c r="R88" s="363"/>
      <c r="S88" s="363"/>
      <c r="T88" s="363"/>
      <c r="U88" s="363"/>
      <c r="V88" s="363"/>
      <c r="W88" s="363"/>
      <c r="X88" s="363"/>
      <c r="Y88" s="363"/>
      <c r="Z88" s="363"/>
    </row>
    <row r="89" spans="1:26" ht="13.5" customHeight="1" x14ac:dyDescent="0.2">
      <c r="A89" s="386">
        <f t="shared" si="0"/>
        <v>6</v>
      </c>
      <c r="B89" s="387">
        <f t="shared" si="5"/>
        <v>68</v>
      </c>
      <c r="C89" s="388">
        <f t="shared" si="6"/>
        <v>48183</v>
      </c>
      <c r="D89" s="389">
        <f t="shared" si="7"/>
        <v>1347258.4199977948</v>
      </c>
      <c r="E89" s="389">
        <f t="shared" si="1"/>
        <v>7578.3286124875958</v>
      </c>
      <c r="F89" s="389">
        <f t="shared" si="2"/>
        <v>2812.1034289345571</v>
      </c>
      <c r="G89" s="389">
        <f t="shared" si="3"/>
        <v>1344446.3165688603</v>
      </c>
      <c r="H89" s="389">
        <f t="shared" si="4"/>
        <v>543569.32639143604</v>
      </c>
      <c r="I89" s="363"/>
      <c r="J89" s="363"/>
      <c r="K89" s="363"/>
      <c r="L89" s="363"/>
      <c r="M89" s="363"/>
      <c r="N89" s="363"/>
      <c r="O89" s="363"/>
      <c r="P89" s="363"/>
      <c r="Q89" s="363"/>
      <c r="R89" s="363"/>
      <c r="S89" s="363"/>
      <c r="T89" s="363"/>
      <c r="U89" s="363"/>
      <c r="V89" s="363"/>
      <c r="W89" s="363"/>
      <c r="X89" s="363"/>
      <c r="Y89" s="363"/>
      <c r="Z89" s="363"/>
    </row>
    <row r="90" spans="1:26" ht="13.5" customHeight="1" x14ac:dyDescent="0.2">
      <c r="A90" s="386">
        <f t="shared" si="0"/>
        <v>6</v>
      </c>
      <c r="B90" s="387">
        <f t="shared" si="5"/>
        <v>69</v>
      </c>
      <c r="C90" s="388">
        <f t="shared" si="6"/>
        <v>48214</v>
      </c>
      <c r="D90" s="389">
        <f t="shared" si="7"/>
        <v>1344446.3165688603</v>
      </c>
      <c r="E90" s="389">
        <f t="shared" si="1"/>
        <v>7562.5105306998403</v>
      </c>
      <c r="F90" s="389">
        <f t="shared" si="2"/>
        <v>2827.9215107223126</v>
      </c>
      <c r="G90" s="389">
        <f t="shared" si="3"/>
        <v>1341618.3950581381</v>
      </c>
      <c r="H90" s="389">
        <f t="shared" si="4"/>
        <v>551131.8369221359</v>
      </c>
      <c r="I90" s="363"/>
      <c r="J90" s="363"/>
      <c r="K90" s="363"/>
      <c r="L90" s="363"/>
      <c r="M90" s="363"/>
      <c r="N90" s="363"/>
      <c r="O90" s="363"/>
      <c r="P90" s="363"/>
      <c r="Q90" s="363"/>
      <c r="R90" s="363"/>
      <c r="S90" s="363"/>
      <c r="T90" s="363"/>
      <c r="U90" s="363"/>
      <c r="V90" s="363"/>
      <c r="W90" s="363"/>
      <c r="X90" s="363"/>
      <c r="Y90" s="363"/>
      <c r="Z90" s="363"/>
    </row>
    <row r="91" spans="1:26" ht="13.5" customHeight="1" x14ac:dyDescent="0.2">
      <c r="A91" s="386">
        <f t="shared" si="0"/>
        <v>6</v>
      </c>
      <c r="B91" s="387">
        <f t="shared" si="5"/>
        <v>70</v>
      </c>
      <c r="C91" s="388">
        <f t="shared" si="6"/>
        <v>48245</v>
      </c>
      <c r="D91" s="389">
        <f t="shared" si="7"/>
        <v>1341618.3950581381</v>
      </c>
      <c r="E91" s="389">
        <f t="shared" si="1"/>
        <v>7546.6034722020268</v>
      </c>
      <c r="F91" s="389">
        <f t="shared" si="2"/>
        <v>2843.8285692201262</v>
      </c>
      <c r="G91" s="389">
        <f t="shared" si="3"/>
        <v>1338774.5664889179</v>
      </c>
      <c r="H91" s="389">
        <f t="shared" si="4"/>
        <v>558678.44039433799</v>
      </c>
      <c r="I91" s="363"/>
      <c r="J91" s="363"/>
      <c r="K91" s="363"/>
      <c r="L91" s="363"/>
      <c r="M91" s="363"/>
      <c r="N91" s="363"/>
      <c r="O91" s="363"/>
      <c r="P91" s="363"/>
      <c r="Q91" s="363"/>
      <c r="R91" s="363"/>
      <c r="S91" s="363"/>
      <c r="T91" s="363"/>
      <c r="U91" s="363"/>
      <c r="V91" s="363"/>
      <c r="W91" s="363"/>
      <c r="X91" s="363"/>
      <c r="Y91" s="363"/>
      <c r="Z91" s="363"/>
    </row>
    <row r="92" spans="1:26" ht="13.5" customHeight="1" x14ac:dyDescent="0.2">
      <c r="A92" s="386">
        <f t="shared" si="0"/>
        <v>6</v>
      </c>
      <c r="B92" s="387">
        <f t="shared" si="5"/>
        <v>71</v>
      </c>
      <c r="C92" s="388">
        <f t="shared" si="6"/>
        <v>48274</v>
      </c>
      <c r="D92" s="389">
        <f t="shared" si="7"/>
        <v>1338774.5664889179</v>
      </c>
      <c r="E92" s="389">
        <f t="shared" si="1"/>
        <v>7530.606936500164</v>
      </c>
      <c r="F92" s="389">
        <f t="shared" si="2"/>
        <v>2859.8251049219889</v>
      </c>
      <c r="G92" s="389">
        <f t="shared" si="3"/>
        <v>1335914.7413839959</v>
      </c>
      <c r="H92" s="389">
        <f t="shared" si="4"/>
        <v>566209.04733083816</v>
      </c>
      <c r="I92" s="363"/>
      <c r="J92" s="363"/>
      <c r="K92" s="363"/>
      <c r="L92" s="363"/>
      <c r="M92" s="363"/>
      <c r="N92" s="363"/>
      <c r="O92" s="363"/>
      <c r="P92" s="363"/>
      <c r="Q92" s="363"/>
      <c r="R92" s="363"/>
      <c r="S92" s="363"/>
      <c r="T92" s="363"/>
      <c r="U92" s="363"/>
      <c r="V92" s="363"/>
      <c r="W92" s="363"/>
      <c r="X92" s="363"/>
      <c r="Y92" s="363"/>
      <c r="Z92" s="363"/>
    </row>
    <row r="93" spans="1:26" ht="13.5" customHeight="1" x14ac:dyDescent="0.2">
      <c r="A93" s="386">
        <f t="shared" si="0"/>
        <v>6</v>
      </c>
      <c r="B93" s="387">
        <f t="shared" si="5"/>
        <v>72</v>
      </c>
      <c r="C93" s="388">
        <f t="shared" si="6"/>
        <v>48305</v>
      </c>
      <c r="D93" s="389">
        <f t="shared" si="7"/>
        <v>1335914.7413839959</v>
      </c>
      <c r="E93" s="389">
        <f t="shared" si="1"/>
        <v>7514.5204202849773</v>
      </c>
      <c r="F93" s="389">
        <f t="shared" si="2"/>
        <v>2875.9116211371756</v>
      </c>
      <c r="G93" s="389">
        <f t="shared" si="3"/>
        <v>1333038.8297628586</v>
      </c>
      <c r="H93" s="389">
        <f t="shared" si="4"/>
        <v>573723.5677511231</v>
      </c>
      <c r="I93" s="363"/>
      <c r="J93" s="363"/>
      <c r="K93" s="363"/>
      <c r="L93" s="363"/>
      <c r="M93" s="363"/>
      <c r="N93" s="363"/>
      <c r="O93" s="363"/>
      <c r="P93" s="363"/>
      <c r="Q93" s="363"/>
      <c r="R93" s="363"/>
      <c r="S93" s="363"/>
      <c r="T93" s="363"/>
      <c r="U93" s="363"/>
      <c r="V93" s="363"/>
      <c r="W93" s="363"/>
      <c r="X93" s="363"/>
      <c r="Y93" s="363"/>
      <c r="Z93" s="363"/>
    </row>
    <row r="94" spans="1:26" ht="13.5" customHeight="1" x14ac:dyDescent="0.2">
      <c r="A94" s="386">
        <f t="shared" si="0"/>
        <v>7</v>
      </c>
      <c r="B94" s="387">
        <f t="shared" si="5"/>
        <v>73</v>
      </c>
      <c r="C94" s="388">
        <f t="shared" si="6"/>
        <v>48335</v>
      </c>
      <c r="D94" s="389">
        <f t="shared" si="7"/>
        <v>1333038.8297628586</v>
      </c>
      <c r="E94" s="389">
        <f t="shared" si="1"/>
        <v>7498.3434174160802</v>
      </c>
      <c r="F94" s="389">
        <f t="shared" si="2"/>
        <v>2892.0886240060727</v>
      </c>
      <c r="G94" s="389">
        <f t="shared" si="3"/>
        <v>1330146.7411388524</v>
      </c>
      <c r="H94" s="389">
        <f t="shared" si="4"/>
        <v>581221.9111685392</v>
      </c>
      <c r="I94" s="363"/>
      <c r="J94" s="363"/>
      <c r="K94" s="363"/>
      <c r="L94" s="363"/>
      <c r="M94" s="363"/>
      <c r="N94" s="363"/>
      <c r="O94" s="363"/>
      <c r="P94" s="363"/>
      <c r="Q94" s="363"/>
      <c r="R94" s="363"/>
      <c r="S94" s="363"/>
      <c r="T94" s="363"/>
      <c r="U94" s="363"/>
      <c r="V94" s="363"/>
      <c r="W94" s="363"/>
      <c r="X94" s="363"/>
      <c r="Y94" s="363"/>
      <c r="Z94" s="363"/>
    </row>
    <row r="95" spans="1:26" ht="13.5" customHeight="1" x14ac:dyDescent="0.2">
      <c r="A95" s="386">
        <f t="shared" si="0"/>
        <v>7</v>
      </c>
      <c r="B95" s="387">
        <f t="shared" si="5"/>
        <v>74</v>
      </c>
      <c r="C95" s="388">
        <f t="shared" si="6"/>
        <v>48366</v>
      </c>
      <c r="D95" s="389">
        <f t="shared" si="7"/>
        <v>1330146.7411388524</v>
      </c>
      <c r="E95" s="389">
        <f t="shared" si="1"/>
        <v>7482.0754189060453</v>
      </c>
      <c r="F95" s="389">
        <f t="shared" si="2"/>
        <v>2908.3566225161076</v>
      </c>
      <c r="G95" s="389">
        <f t="shared" si="3"/>
        <v>1327238.3845163363</v>
      </c>
      <c r="H95" s="389">
        <f t="shared" si="4"/>
        <v>588703.98658744525</v>
      </c>
      <c r="I95" s="363"/>
      <c r="J95" s="363"/>
      <c r="K95" s="363"/>
      <c r="L95" s="363"/>
      <c r="M95" s="363"/>
      <c r="N95" s="363"/>
      <c r="O95" s="363"/>
      <c r="P95" s="363"/>
      <c r="Q95" s="363"/>
      <c r="R95" s="363"/>
      <c r="S95" s="363"/>
      <c r="T95" s="363"/>
      <c r="U95" s="363"/>
      <c r="V95" s="363"/>
      <c r="W95" s="363"/>
      <c r="X95" s="363"/>
      <c r="Y95" s="363"/>
      <c r="Z95" s="363"/>
    </row>
    <row r="96" spans="1:26" ht="13.5" customHeight="1" x14ac:dyDescent="0.2">
      <c r="A96" s="386">
        <f t="shared" si="0"/>
        <v>7</v>
      </c>
      <c r="B96" s="387">
        <f t="shared" si="5"/>
        <v>75</v>
      </c>
      <c r="C96" s="388">
        <f t="shared" si="6"/>
        <v>48396</v>
      </c>
      <c r="D96" s="389">
        <f t="shared" si="7"/>
        <v>1327238.3845163363</v>
      </c>
      <c r="E96" s="389">
        <f t="shared" si="1"/>
        <v>7465.7159129043912</v>
      </c>
      <c r="F96" s="389">
        <f t="shared" si="2"/>
        <v>2924.7161285177617</v>
      </c>
      <c r="G96" s="389">
        <f t="shared" si="3"/>
        <v>1324313.6683878184</v>
      </c>
      <c r="H96" s="389">
        <f t="shared" si="4"/>
        <v>596169.70250034961</v>
      </c>
      <c r="I96" s="363"/>
      <c r="J96" s="363"/>
      <c r="K96" s="363"/>
      <c r="L96" s="363"/>
      <c r="M96" s="363"/>
      <c r="N96" s="363"/>
      <c r="O96" s="363"/>
      <c r="P96" s="363"/>
      <c r="Q96" s="363"/>
      <c r="R96" s="363"/>
      <c r="S96" s="363"/>
      <c r="T96" s="363"/>
      <c r="U96" s="363"/>
      <c r="V96" s="363"/>
      <c r="W96" s="363"/>
      <c r="X96" s="363"/>
      <c r="Y96" s="363"/>
      <c r="Z96" s="363"/>
    </row>
    <row r="97" spans="1:26" ht="13.5" customHeight="1" x14ac:dyDescent="0.2">
      <c r="A97" s="386">
        <f t="shared" si="0"/>
        <v>7</v>
      </c>
      <c r="B97" s="387">
        <f t="shared" si="5"/>
        <v>76</v>
      </c>
      <c r="C97" s="388">
        <f t="shared" si="6"/>
        <v>48427</v>
      </c>
      <c r="D97" s="389">
        <f t="shared" si="7"/>
        <v>1324313.6683878184</v>
      </c>
      <c r="E97" s="389">
        <f t="shared" si="1"/>
        <v>7449.264384681479</v>
      </c>
      <c r="F97" s="389">
        <f t="shared" si="2"/>
        <v>2941.1676567406739</v>
      </c>
      <c r="G97" s="389">
        <f t="shared" si="3"/>
        <v>1321372.5007310777</v>
      </c>
      <c r="H97" s="389">
        <f t="shared" si="4"/>
        <v>603618.96688503108</v>
      </c>
      <c r="I97" s="363"/>
      <c r="J97" s="363"/>
      <c r="K97" s="363"/>
      <c r="L97" s="363"/>
      <c r="M97" s="363"/>
      <c r="N97" s="363"/>
      <c r="O97" s="363"/>
      <c r="P97" s="363"/>
      <c r="Q97" s="363"/>
      <c r="R97" s="363"/>
      <c r="S97" s="363"/>
      <c r="T97" s="363"/>
      <c r="U97" s="363"/>
      <c r="V97" s="363"/>
      <c r="W97" s="363"/>
      <c r="X97" s="363"/>
      <c r="Y97" s="363"/>
      <c r="Z97" s="363"/>
    </row>
    <row r="98" spans="1:26" ht="13.5" customHeight="1" x14ac:dyDescent="0.2">
      <c r="A98" s="386">
        <f t="shared" si="0"/>
        <v>7</v>
      </c>
      <c r="B98" s="387">
        <f t="shared" si="5"/>
        <v>77</v>
      </c>
      <c r="C98" s="388">
        <f t="shared" si="6"/>
        <v>48458</v>
      </c>
      <c r="D98" s="389">
        <f t="shared" si="7"/>
        <v>1321372.5007310777</v>
      </c>
      <c r="E98" s="389">
        <f t="shared" si="1"/>
        <v>7432.7203166123136</v>
      </c>
      <c r="F98" s="389">
        <f t="shared" si="2"/>
        <v>2957.7117248098393</v>
      </c>
      <c r="G98" s="389">
        <f t="shared" si="3"/>
        <v>1318414.7890062679</v>
      </c>
      <c r="H98" s="389">
        <f t="shared" si="4"/>
        <v>611051.68720164336</v>
      </c>
      <c r="I98" s="363"/>
      <c r="J98" s="363"/>
      <c r="K98" s="363"/>
      <c r="L98" s="363"/>
      <c r="M98" s="363"/>
      <c r="N98" s="363"/>
      <c r="O98" s="363"/>
      <c r="P98" s="363"/>
      <c r="Q98" s="363"/>
      <c r="R98" s="363"/>
      <c r="S98" s="363"/>
      <c r="T98" s="363"/>
      <c r="U98" s="363"/>
      <c r="V98" s="363"/>
      <c r="W98" s="363"/>
      <c r="X98" s="363"/>
      <c r="Y98" s="363"/>
      <c r="Z98" s="363"/>
    </row>
    <row r="99" spans="1:26" ht="13.5" customHeight="1" x14ac:dyDescent="0.2">
      <c r="A99" s="386">
        <f t="shared" si="0"/>
        <v>7</v>
      </c>
      <c r="B99" s="387">
        <f t="shared" si="5"/>
        <v>78</v>
      </c>
      <c r="C99" s="388">
        <f t="shared" si="6"/>
        <v>48488</v>
      </c>
      <c r="D99" s="389">
        <f t="shared" si="7"/>
        <v>1318414.7890062679</v>
      </c>
      <c r="E99" s="389">
        <f t="shared" si="1"/>
        <v>7416.0831881602571</v>
      </c>
      <c r="F99" s="389">
        <f t="shared" si="2"/>
        <v>2974.3488532618958</v>
      </c>
      <c r="G99" s="389">
        <f t="shared" si="3"/>
        <v>1315440.440153006</v>
      </c>
      <c r="H99" s="389">
        <f t="shared" si="4"/>
        <v>618467.77038980357</v>
      </c>
      <c r="I99" s="363"/>
      <c r="J99" s="363"/>
      <c r="K99" s="363"/>
      <c r="L99" s="363"/>
      <c r="M99" s="363"/>
      <c r="N99" s="363"/>
      <c r="O99" s="363"/>
      <c r="P99" s="363"/>
      <c r="Q99" s="363"/>
      <c r="R99" s="363"/>
      <c r="S99" s="363"/>
      <c r="T99" s="363"/>
      <c r="U99" s="363"/>
      <c r="V99" s="363"/>
      <c r="W99" s="363"/>
      <c r="X99" s="363"/>
      <c r="Y99" s="363"/>
      <c r="Z99" s="363"/>
    </row>
    <row r="100" spans="1:26" ht="13.5" customHeight="1" x14ac:dyDescent="0.2">
      <c r="A100" s="386">
        <f t="shared" si="0"/>
        <v>7</v>
      </c>
      <c r="B100" s="387">
        <f t="shared" si="5"/>
        <v>79</v>
      </c>
      <c r="C100" s="388">
        <f t="shared" si="6"/>
        <v>48519</v>
      </c>
      <c r="D100" s="389">
        <f t="shared" si="7"/>
        <v>1315440.440153006</v>
      </c>
      <c r="E100" s="389">
        <f t="shared" si="1"/>
        <v>7399.3524758606591</v>
      </c>
      <c r="F100" s="389">
        <f t="shared" si="2"/>
        <v>2991.0795655614938</v>
      </c>
      <c r="G100" s="389">
        <f t="shared" si="3"/>
        <v>1312449.3605874444</v>
      </c>
      <c r="H100" s="389">
        <f t="shared" si="4"/>
        <v>625867.12286566419</v>
      </c>
      <c r="I100" s="363"/>
      <c r="J100" s="363"/>
      <c r="K100" s="363"/>
      <c r="L100" s="363"/>
      <c r="M100" s="363"/>
      <c r="N100" s="363"/>
      <c r="O100" s="363"/>
      <c r="P100" s="363"/>
      <c r="Q100" s="363"/>
      <c r="R100" s="363"/>
      <c r="S100" s="363"/>
      <c r="T100" s="363"/>
      <c r="U100" s="363"/>
      <c r="V100" s="363"/>
      <c r="W100" s="363"/>
      <c r="X100" s="363"/>
      <c r="Y100" s="363"/>
      <c r="Z100" s="363"/>
    </row>
    <row r="101" spans="1:26" ht="13.5" customHeight="1" x14ac:dyDescent="0.2">
      <c r="A101" s="386">
        <f t="shared" si="0"/>
        <v>7</v>
      </c>
      <c r="B101" s="387">
        <f t="shared" si="5"/>
        <v>80</v>
      </c>
      <c r="C101" s="388">
        <f t="shared" si="6"/>
        <v>48549</v>
      </c>
      <c r="D101" s="389">
        <f t="shared" si="7"/>
        <v>1312449.3605874444</v>
      </c>
      <c r="E101" s="389">
        <f t="shared" si="1"/>
        <v>7382.5276533043752</v>
      </c>
      <c r="F101" s="389">
        <f t="shared" si="2"/>
        <v>3007.9043881177777</v>
      </c>
      <c r="G101" s="389">
        <f t="shared" si="3"/>
        <v>1309441.4561993266</v>
      </c>
      <c r="H101" s="389">
        <f t="shared" si="4"/>
        <v>633249.65051896858</v>
      </c>
      <c r="I101" s="363"/>
      <c r="J101" s="363"/>
      <c r="K101" s="363"/>
      <c r="L101" s="363"/>
      <c r="M101" s="363"/>
      <c r="N101" s="363"/>
      <c r="O101" s="363"/>
      <c r="P101" s="363"/>
      <c r="Q101" s="363"/>
      <c r="R101" s="363"/>
      <c r="S101" s="363"/>
      <c r="T101" s="363"/>
      <c r="U101" s="363"/>
      <c r="V101" s="363"/>
      <c r="W101" s="363"/>
      <c r="X101" s="363"/>
      <c r="Y101" s="363"/>
      <c r="Z101" s="363"/>
    </row>
    <row r="102" spans="1:26" ht="13.5" customHeight="1" x14ac:dyDescent="0.2">
      <c r="A102" s="386">
        <f t="shared" si="0"/>
        <v>7</v>
      </c>
      <c r="B102" s="387">
        <f t="shared" si="5"/>
        <v>81</v>
      </c>
      <c r="C102" s="388">
        <f t="shared" si="6"/>
        <v>48580</v>
      </c>
      <c r="D102" s="389">
        <f t="shared" si="7"/>
        <v>1309441.4561993266</v>
      </c>
      <c r="E102" s="389">
        <f t="shared" si="1"/>
        <v>7365.6081911212123</v>
      </c>
      <c r="F102" s="389">
        <f t="shared" si="2"/>
        <v>3024.8238503009406</v>
      </c>
      <c r="G102" s="389">
        <f t="shared" si="3"/>
        <v>1306416.6323490257</v>
      </c>
      <c r="H102" s="389">
        <f t="shared" si="4"/>
        <v>640615.25871008984</v>
      </c>
      <c r="I102" s="363"/>
      <c r="J102" s="363"/>
      <c r="K102" s="363"/>
      <c r="L102" s="363"/>
      <c r="M102" s="363"/>
      <c r="N102" s="363"/>
      <c r="O102" s="363"/>
      <c r="P102" s="363"/>
      <c r="Q102" s="363"/>
      <c r="R102" s="363"/>
      <c r="S102" s="363"/>
      <c r="T102" s="363"/>
      <c r="U102" s="363"/>
      <c r="V102" s="363"/>
      <c r="W102" s="363"/>
      <c r="X102" s="363"/>
      <c r="Y102" s="363"/>
      <c r="Z102" s="363"/>
    </row>
    <row r="103" spans="1:26" ht="13.5" customHeight="1" x14ac:dyDescent="0.2">
      <c r="A103" s="386">
        <f t="shared" si="0"/>
        <v>7</v>
      </c>
      <c r="B103" s="387">
        <f t="shared" si="5"/>
        <v>82</v>
      </c>
      <c r="C103" s="388">
        <f t="shared" si="6"/>
        <v>48611</v>
      </c>
      <c r="D103" s="389">
        <f t="shared" si="7"/>
        <v>1306416.6323490257</v>
      </c>
      <c r="E103" s="389">
        <f t="shared" si="1"/>
        <v>7348.5935569632702</v>
      </c>
      <c r="F103" s="389">
        <f t="shared" si="2"/>
        <v>3041.8384844588827</v>
      </c>
      <c r="G103" s="389">
        <f t="shared" si="3"/>
        <v>1303374.7938645668</v>
      </c>
      <c r="H103" s="389">
        <f t="shared" si="4"/>
        <v>647963.85226705309</v>
      </c>
      <c r="I103" s="363"/>
      <c r="J103" s="363"/>
      <c r="K103" s="363"/>
      <c r="L103" s="363"/>
      <c r="M103" s="363"/>
      <c r="N103" s="363"/>
      <c r="O103" s="363"/>
      <c r="P103" s="363"/>
      <c r="Q103" s="363"/>
      <c r="R103" s="363"/>
      <c r="S103" s="363"/>
      <c r="T103" s="363"/>
      <c r="U103" s="363"/>
      <c r="V103" s="363"/>
      <c r="W103" s="363"/>
      <c r="X103" s="363"/>
      <c r="Y103" s="363"/>
      <c r="Z103" s="363"/>
    </row>
    <row r="104" spans="1:26" ht="13.5" customHeight="1" x14ac:dyDescent="0.2">
      <c r="A104" s="386">
        <f t="shared" si="0"/>
        <v>7</v>
      </c>
      <c r="B104" s="387">
        <f t="shared" si="5"/>
        <v>83</v>
      </c>
      <c r="C104" s="388">
        <f t="shared" si="6"/>
        <v>48639</v>
      </c>
      <c r="D104" s="389">
        <f t="shared" si="7"/>
        <v>1303374.7938645668</v>
      </c>
      <c r="E104" s="389">
        <f t="shared" si="1"/>
        <v>7331.4832154881888</v>
      </c>
      <c r="F104" s="389">
        <f t="shared" si="2"/>
        <v>3058.9488259339641</v>
      </c>
      <c r="G104" s="389">
        <f t="shared" si="3"/>
        <v>1300315.8450386329</v>
      </c>
      <c r="H104" s="389">
        <f t="shared" si="4"/>
        <v>655295.33548254124</v>
      </c>
      <c r="I104" s="363"/>
      <c r="J104" s="363"/>
      <c r="K104" s="363"/>
      <c r="L104" s="363"/>
      <c r="M104" s="363"/>
      <c r="N104" s="363"/>
      <c r="O104" s="363"/>
      <c r="P104" s="363"/>
      <c r="Q104" s="363"/>
      <c r="R104" s="363"/>
      <c r="S104" s="363"/>
      <c r="T104" s="363"/>
      <c r="U104" s="363"/>
      <c r="V104" s="363"/>
      <c r="W104" s="363"/>
      <c r="X104" s="363"/>
      <c r="Y104" s="363"/>
      <c r="Z104" s="363"/>
    </row>
    <row r="105" spans="1:26" ht="13.5" customHeight="1" x14ac:dyDescent="0.2">
      <c r="A105" s="386">
        <f t="shared" si="0"/>
        <v>7</v>
      </c>
      <c r="B105" s="387">
        <f t="shared" si="5"/>
        <v>84</v>
      </c>
      <c r="C105" s="388">
        <f t="shared" si="6"/>
        <v>48670</v>
      </c>
      <c r="D105" s="389">
        <f t="shared" si="7"/>
        <v>1300315.8450386329</v>
      </c>
      <c r="E105" s="389">
        <f t="shared" si="1"/>
        <v>7314.2766283423107</v>
      </c>
      <c r="F105" s="389">
        <f t="shared" si="2"/>
        <v>3076.1554130798422</v>
      </c>
      <c r="G105" s="389">
        <f t="shared" si="3"/>
        <v>1297239.6896255531</v>
      </c>
      <c r="H105" s="389">
        <f t="shared" si="4"/>
        <v>662609.61211088358</v>
      </c>
      <c r="I105" s="363"/>
      <c r="J105" s="363"/>
      <c r="K105" s="363"/>
      <c r="L105" s="363"/>
      <c r="M105" s="363"/>
      <c r="N105" s="363"/>
      <c r="O105" s="363"/>
      <c r="P105" s="363"/>
      <c r="Q105" s="363"/>
      <c r="R105" s="363"/>
      <c r="S105" s="363"/>
      <c r="T105" s="363"/>
      <c r="U105" s="363"/>
      <c r="V105" s="363"/>
      <c r="W105" s="363"/>
      <c r="X105" s="363"/>
      <c r="Y105" s="363"/>
      <c r="Z105" s="363"/>
    </row>
    <row r="106" spans="1:26" ht="13.5" customHeight="1" x14ac:dyDescent="0.2">
      <c r="A106" s="386">
        <f t="shared" si="0"/>
        <v>8</v>
      </c>
      <c r="B106" s="387">
        <f t="shared" si="5"/>
        <v>85</v>
      </c>
      <c r="C106" s="388">
        <f t="shared" si="6"/>
        <v>48700</v>
      </c>
      <c r="D106" s="389">
        <f t="shared" si="7"/>
        <v>1297239.6896255531</v>
      </c>
      <c r="E106" s="389">
        <f t="shared" si="1"/>
        <v>7296.973254143737</v>
      </c>
      <c r="F106" s="389">
        <f t="shared" si="2"/>
        <v>3093.4587872784159</v>
      </c>
      <c r="G106" s="389">
        <f t="shared" si="3"/>
        <v>1294146.2308382746</v>
      </c>
      <c r="H106" s="389">
        <f t="shared" si="4"/>
        <v>669906.58536502731</v>
      </c>
      <c r="I106" s="363"/>
      <c r="J106" s="363"/>
      <c r="K106" s="363"/>
      <c r="L106" s="363"/>
      <c r="M106" s="363"/>
      <c r="N106" s="363"/>
      <c r="O106" s="363"/>
      <c r="P106" s="363"/>
      <c r="Q106" s="363"/>
      <c r="R106" s="363"/>
      <c r="S106" s="363"/>
      <c r="T106" s="363"/>
      <c r="U106" s="363"/>
      <c r="V106" s="363"/>
      <c r="W106" s="363"/>
      <c r="X106" s="363"/>
      <c r="Y106" s="363"/>
      <c r="Z106" s="363"/>
    </row>
    <row r="107" spans="1:26" ht="13.5" customHeight="1" x14ac:dyDescent="0.2">
      <c r="A107" s="386">
        <f t="shared" si="0"/>
        <v>8</v>
      </c>
      <c r="B107" s="387">
        <f t="shared" si="5"/>
        <v>86</v>
      </c>
      <c r="C107" s="388">
        <f t="shared" si="6"/>
        <v>48731</v>
      </c>
      <c r="D107" s="389">
        <f t="shared" si="7"/>
        <v>1294146.2308382746</v>
      </c>
      <c r="E107" s="389">
        <f t="shared" si="1"/>
        <v>7279.5725484652949</v>
      </c>
      <c r="F107" s="389">
        <f t="shared" si="2"/>
        <v>3110.859492956858</v>
      </c>
      <c r="G107" s="389">
        <f t="shared" si="3"/>
        <v>1291035.3713453177</v>
      </c>
      <c r="H107" s="389">
        <f t="shared" si="4"/>
        <v>677186.15791349264</v>
      </c>
      <c r="I107" s="363"/>
      <c r="J107" s="363"/>
      <c r="K107" s="363"/>
      <c r="L107" s="363"/>
      <c r="M107" s="363"/>
      <c r="N107" s="363"/>
      <c r="O107" s="363"/>
      <c r="P107" s="363"/>
      <c r="Q107" s="363"/>
      <c r="R107" s="363"/>
      <c r="S107" s="363"/>
      <c r="T107" s="363"/>
      <c r="U107" s="363"/>
      <c r="V107" s="363"/>
      <c r="W107" s="363"/>
      <c r="X107" s="363"/>
      <c r="Y107" s="363"/>
      <c r="Z107" s="363"/>
    </row>
    <row r="108" spans="1:26" ht="13.5" customHeight="1" x14ac:dyDescent="0.2">
      <c r="A108" s="386">
        <f t="shared" si="0"/>
        <v>8</v>
      </c>
      <c r="B108" s="387">
        <f t="shared" si="5"/>
        <v>87</v>
      </c>
      <c r="C108" s="388">
        <f t="shared" si="6"/>
        <v>48761</v>
      </c>
      <c r="D108" s="389">
        <f t="shared" si="7"/>
        <v>1291035.3713453177</v>
      </c>
      <c r="E108" s="389">
        <f t="shared" si="1"/>
        <v>7262.0739638174127</v>
      </c>
      <c r="F108" s="389">
        <f t="shared" si="2"/>
        <v>3128.3580776047402</v>
      </c>
      <c r="G108" s="389">
        <f t="shared" si="3"/>
        <v>1287907.0132677129</v>
      </c>
      <c r="H108" s="389">
        <f t="shared" si="4"/>
        <v>684448.23187731009</v>
      </c>
      <c r="I108" s="363"/>
      <c r="J108" s="363"/>
      <c r="K108" s="363"/>
      <c r="L108" s="363"/>
      <c r="M108" s="363"/>
      <c r="N108" s="363"/>
      <c r="O108" s="363"/>
      <c r="P108" s="363"/>
      <c r="Q108" s="363"/>
      <c r="R108" s="363"/>
      <c r="S108" s="363"/>
      <c r="T108" s="363"/>
      <c r="U108" s="363"/>
      <c r="V108" s="363"/>
      <c r="W108" s="363"/>
      <c r="X108" s="363"/>
      <c r="Y108" s="363"/>
      <c r="Z108" s="363"/>
    </row>
    <row r="109" spans="1:26" ht="13.5" customHeight="1" x14ac:dyDescent="0.2">
      <c r="A109" s="386">
        <f t="shared" si="0"/>
        <v>8</v>
      </c>
      <c r="B109" s="387">
        <f t="shared" si="5"/>
        <v>88</v>
      </c>
      <c r="C109" s="388">
        <f t="shared" si="6"/>
        <v>48792</v>
      </c>
      <c r="D109" s="389">
        <f t="shared" si="7"/>
        <v>1287907.0132677129</v>
      </c>
      <c r="E109" s="389">
        <f t="shared" si="1"/>
        <v>7244.4769496308863</v>
      </c>
      <c r="F109" s="389">
        <f t="shared" si="2"/>
        <v>3145.9550917912666</v>
      </c>
      <c r="G109" s="389">
        <f t="shared" si="3"/>
        <v>1284761.0581759217</v>
      </c>
      <c r="H109" s="389">
        <f t="shared" si="4"/>
        <v>691692.70882694097</v>
      </c>
      <c r="I109" s="363"/>
      <c r="J109" s="363"/>
      <c r="K109" s="363"/>
      <c r="L109" s="363"/>
      <c r="M109" s="363"/>
      <c r="N109" s="363"/>
      <c r="O109" s="363"/>
      <c r="P109" s="363"/>
      <c r="Q109" s="363"/>
      <c r="R109" s="363"/>
      <c r="S109" s="363"/>
      <c r="T109" s="363"/>
      <c r="U109" s="363"/>
      <c r="V109" s="363"/>
      <c r="W109" s="363"/>
      <c r="X109" s="363"/>
      <c r="Y109" s="363"/>
      <c r="Z109" s="363"/>
    </row>
    <row r="110" spans="1:26" ht="13.5" customHeight="1" x14ac:dyDescent="0.2">
      <c r="A110" s="386">
        <f t="shared" si="0"/>
        <v>8</v>
      </c>
      <c r="B110" s="387">
        <f t="shared" si="5"/>
        <v>89</v>
      </c>
      <c r="C110" s="388">
        <f t="shared" si="6"/>
        <v>48823</v>
      </c>
      <c r="D110" s="389">
        <f t="shared" si="7"/>
        <v>1284761.0581759217</v>
      </c>
      <c r="E110" s="389">
        <f t="shared" si="1"/>
        <v>7226.7809522395592</v>
      </c>
      <c r="F110" s="389">
        <f t="shared" si="2"/>
        <v>3163.6510891825938</v>
      </c>
      <c r="G110" s="389">
        <f t="shared" si="3"/>
        <v>1281597.4070867391</v>
      </c>
      <c r="H110" s="389">
        <f t="shared" si="4"/>
        <v>698919.4897791805</v>
      </c>
      <c r="I110" s="363"/>
      <c r="J110" s="363"/>
      <c r="K110" s="363"/>
      <c r="L110" s="363"/>
      <c r="M110" s="363"/>
      <c r="N110" s="363"/>
      <c r="O110" s="363"/>
      <c r="P110" s="363"/>
      <c r="Q110" s="363"/>
      <c r="R110" s="363"/>
      <c r="S110" s="363"/>
      <c r="T110" s="363"/>
      <c r="U110" s="363"/>
      <c r="V110" s="363"/>
      <c r="W110" s="363"/>
      <c r="X110" s="363"/>
      <c r="Y110" s="363"/>
      <c r="Z110" s="363"/>
    </row>
    <row r="111" spans="1:26" ht="13.5" customHeight="1" x14ac:dyDescent="0.2">
      <c r="A111" s="386">
        <f t="shared" si="0"/>
        <v>8</v>
      </c>
      <c r="B111" s="387">
        <f t="shared" si="5"/>
        <v>90</v>
      </c>
      <c r="C111" s="388">
        <f t="shared" si="6"/>
        <v>48853</v>
      </c>
      <c r="D111" s="389">
        <f t="shared" si="7"/>
        <v>1281597.4070867391</v>
      </c>
      <c r="E111" s="389">
        <f t="shared" si="1"/>
        <v>7208.9854148629083</v>
      </c>
      <c r="F111" s="389">
        <f t="shared" si="2"/>
        <v>3181.4466265592446</v>
      </c>
      <c r="G111" s="389">
        <f t="shared" si="3"/>
        <v>1278415.96046018</v>
      </c>
      <c r="H111" s="389">
        <f t="shared" si="4"/>
        <v>706128.47519404336</v>
      </c>
      <c r="I111" s="363"/>
      <c r="J111" s="363"/>
      <c r="K111" s="363"/>
      <c r="L111" s="363"/>
      <c r="M111" s="363"/>
      <c r="N111" s="363"/>
      <c r="O111" s="363"/>
      <c r="P111" s="363"/>
      <c r="Q111" s="363"/>
      <c r="R111" s="363"/>
      <c r="S111" s="363"/>
      <c r="T111" s="363"/>
      <c r="U111" s="363"/>
      <c r="V111" s="363"/>
      <c r="W111" s="363"/>
      <c r="X111" s="363"/>
      <c r="Y111" s="363"/>
      <c r="Z111" s="363"/>
    </row>
    <row r="112" spans="1:26" ht="13.5" customHeight="1" x14ac:dyDescent="0.2">
      <c r="A112" s="386">
        <f t="shared" si="0"/>
        <v>8</v>
      </c>
      <c r="B112" s="387">
        <f t="shared" si="5"/>
        <v>91</v>
      </c>
      <c r="C112" s="388">
        <f t="shared" si="6"/>
        <v>48884</v>
      </c>
      <c r="D112" s="389">
        <f t="shared" si="7"/>
        <v>1278415.96046018</v>
      </c>
      <c r="E112" s="389">
        <f t="shared" si="1"/>
        <v>7191.0897775885132</v>
      </c>
      <c r="F112" s="389">
        <f t="shared" si="2"/>
        <v>3199.3422638336397</v>
      </c>
      <c r="G112" s="389">
        <f t="shared" si="3"/>
        <v>1275216.6181963463</v>
      </c>
      <c r="H112" s="389">
        <f t="shared" si="4"/>
        <v>713319.56497163186</v>
      </c>
      <c r="I112" s="363"/>
      <c r="J112" s="363"/>
      <c r="K112" s="363"/>
      <c r="L112" s="363"/>
      <c r="M112" s="363"/>
      <c r="N112" s="363"/>
      <c r="O112" s="363"/>
      <c r="P112" s="363"/>
      <c r="Q112" s="363"/>
      <c r="R112" s="363"/>
      <c r="S112" s="363"/>
      <c r="T112" s="363"/>
      <c r="U112" s="363"/>
      <c r="V112" s="363"/>
      <c r="W112" s="363"/>
      <c r="X112" s="363"/>
      <c r="Y112" s="363"/>
      <c r="Z112" s="363"/>
    </row>
    <row r="113" spans="1:26" ht="13.5" customHeight="1" x14ac:dyDescent="0.2">
      <c r="A113" s="386">
        <f t="shared" si="0"/>
        <v>8</v>
      </c>
      <c r="B113" s="387">
        <f t="shared" si="5"/>
        <v>92</v>
      </c>
      <c r="C113" s="388">
        <f t="shared" si="6"/>
        <v>48914</v>
      </c>
      <c r="D113" s="389">
        <f t="shared" si="7"/>
        <v>1275216.6181963463</v>
      </c>
      <c r="E113" s="389">
        <f t="shared" si="1"/>
        <v>7173.0934773544477</v>
      </c>
      <c r="F113" s="389">
        <f t="shared" si="2"/>
        <v>3217.3385640677052</v>
      </c>
      <c r="G113" s="389">
        <f t="shared" si="3"/>
        <v>1271999.2796322787</v>
      </c>
      <c r="H113" s="389">
        <f t="shared" si="4"/>
        <v>720492.65844898636</v>
      </c>
      <c r="I113" s="363"/>
      <c r="J113" s="363"/>
      <c r="K113" s="363"/>
      <c r="L113" s="363"/>
      <c r="M113" s="363"/>
      <c r="N113" s="363"/>
      <c r="O113" s="363"/>
      <c r="P113" s="363"/>
      <c r="Q113" s="363"/>
      <c r="R113" s="363"/>
      <c r="S113" s="363"/>
      <c r="T113" s="363"/>
      <c r="U113" s="363"/>
      <c r="V113" s="363"/>
      <c r="W113" s="363"/>
      <c r="X113" s="363"/>
      <c r="Y113" s="363"/>
      <c r="Z113" s="363"/>
    </row>
    <row r="114" spans="1:26" ht="13.5" customHeight="1" x14ac:dyDescent="0.2">
      <c r="A114" s="386">
        <f t="shared" si="0"/>
        <v>8</v>
      </c>
      <c r="B114" s="387">
        <f t="shared" si="5"/>
        <v>93</v>
      </c>
      <c r="C114" s="388">
        <f t="shared" si="6"/>
        <v>48945</v>
      </c>
      <c r="D114" s="389">
        <f t="shared" si="7"/>
        <v>1271999.2796322787</v>
      </c>
      <c r="E114" s="389">
        <f t="shared" si="1"/>
        <v>7154.9959479315685</v>
      </c>
      <c r="F114" s="389">
        <f t="shared" si="2"/>
        <v>3235.4360934905844</v>
      </c>
      <c r="G114" s="389">
        <f t="shared" si="3"/>
        <v>1268763.8435387881</v>
      </c>
      <c r="H114" s="389">
        <f t="shared" si="4"/>
        <v>727647.6543969179</v>
      </c>
      <c r="I114" s="363"/>
      <c r="J114" s="363"/>
      <c r="K114" s="363"/>
      <c r="L114" s="363"/>
      <c r="M114" s="363"/>
      <c r="N114" s="363"/>
      <c r="O114" s="363"/>
      <c r="P114" s="363"/>
      <c r="Q114" s="363"/>
      <c r="R114" s="363"/>
      <c r="S114" s="363"/>
      <c r="T114" s="363"/>
      <c r="U114" s="363"/>
      <c r="V114" s="363"/>
      <c r="W114" s="363"/>
      <c r="X114" s="363"/>
      <c r="Y114" s="363"/>
      <c r="Z114" s="363"/>
    </row>
    <row r="115" spans="1:26" ht="13.5" customHeight="1" x14ac:dyDescent="0.2">
      <c r="A115" s="386">
        <f t="shared" si="0"/>
        <v>8</v>
      </c>
      <c r="B115" s="387">
        <f t="shared" si="5"/>
        <v>94</v>
      </c>
      <c r="C115" s="388">
        <f t="shared" si="6"/>
        <v>48976</v>
      </c>
      <c r="D115" s="389">
        <f t="shared" si="7"/>
        <v>1268763.8435387881</v>
      </c>
      <c r="E115" s="389">
        <f t="shared" si="1"/>
        <v>7136.7966199056837</v>
      </c>
      <c r="F115" s="389">
        <f t="shared" si="2"/>
        <v>3253.6354215164693</v>
      </c>
      <c r="G115" s="389">
        <f t="shared" si="3"/>
        <v>1265510.2081172718</v>
      </c>
      <c r="H115" s="389">
        <f t="shared" si="4"/>
        <v>734784.45101682364</v>
      </c>
      <c r="I115" s="363"/>
      <c r="J115" s="363"/>
      <c r="K115" s="363"/>
      <c r="L115" s="363"/>
      <c r="M115" s="363"/>
      <c r="N115" s="363"/>
      <c r="O115" s="363"/>
      <c r="P115" s="363"/>
      <c r="Q115" s="363"/>
      <c r="R115" s="363"/>
      <c r="S115" s="363"/>
      <c r="T115" s="363"/>
      <c r="U115" s="363"/>
      <c r="V115" s="363"/>
      <c r="W115" s="363"/>
      <c r="X115" s="363"/>
      <c r="Y115" s="363"/>
      <c r="Z115" s="363"/>
    </row>
    <row r="116" spans="1:26" ht="13.5" customHeight="1" x14ac:dyDescent="0.2">
      <c r="A116" s="386">
        <f t="shared" si="0"/>
        <v>8</v>
      </c>
      <c r="B116" s="387">
        <f t="shared" si="5"/>
        <v>95</v>
      </c>
      <c r="C116" s="388">
        <f t="shared" si="6"/>
        <v>49004</v>
      </c>
      <c r="D116" s="389">
        <f t="shared" si="7"/>
        <v>1265510.2081172718</v>
      </c>
      <c r="E116" s="389">
        <f t="shared" si="1"/>
        <v>7118.4949206596539</v>
      </c>
      <c r="F116" s="389">
        <f t="shared" si="2"/>
        <v>3271.937120762499</v>
      </c>
      <c r="G116" s="389">
        <f t="shared" si="3"/>
        <v>1262238.2709965094</v>
      </c>
      <c r="H116" s="389">
        <f t="shared" si="4"/>
        <v>741902.94593748334</v>
      </c>
      <c r="I116" s="363"/>
      <c r="J116" s="363"/>
      <c r="K116" s="363"/>
      <c r="L116" s="363"/>
      <c r="M116" s="363"/>
      <c r="N116" s="363"/>
      <c r="O116" s="363"/>
      <c r="P116" s="363"/>
      <c r="Q116" s="363"/>
      <c r="R116" s="363"/>
      <c r="S116" s="363"/>
      <c r="T116" s="363"/>
      <c r="U116" s="363"/>
      <c r="V116" s="363"/>
      <c r="W116" s="363"/>
      <c r="X116" s="363"/>
      <c r="Y116" s="363"/>
      <c r="Z116" s="363"/>
    </row>
    <row r="117" spans="1:26" ht="13.5" customHeight="1" x14ac:dyDescent="0.2">
      <c r="A117" s="386">
        <f t="shared" si="0"/>
        <v>8</v>
      </c>
      <c r="B117" s="387">
        <f t="shared" si="5"/>
        <v>96</v>
      </c>
      <c r="C117" s="388">
        <f t="shared" si="6"/>
        <v>49035</v>
      </c>
      <c r="D117" s="389">
        <f t="shared" si="7"/>
        <v>1262238.2709965094</v>
      </c>
      <c r="E117" s="389">
        <f t="shared" si="1"/>
        <v>7100.0902743553661</v>
      </c>
      <c r="F117" s="389">
        <f t="shared" si="2"/>
        <v>3290.3417670667868</v>
      </c>
      <c r="G117" s="389">
        <f t="shared" si="3"/>
        <v>1258947.9292294425</v>
      </c>
      <c r="H117" s="389">
        <f t="shared" si="4"/>
        <v>749003.03621183871</v>
      </c>
      <c r="I117" s="363"/>
      <c r="J117" s="363"/>
      <c r="K117" s="363"/>
      <c r="L117" s="363"/>
      <c r="M117" s="363"/>
      <c r="N117" s="363"/>
      <c r="O117" s="363"/>
      <c r="P117" s="363"/>
      <c r="Q117" s="363"/>
      <c r="R117" s="363"/>
      <c r="S117" s="363"/>
      <c r="T117" s="363"/>
      <c r="U117" s="363"/>
      <c r="V117" s="363"/>
      <c r="W117" s="363"/>
      <c r="X117" s="363"/>
      <c r="Y117" s="363"/>
      <c r="Z117" s="363"/>
    </row>
    <row r="118" spans="1:26" ht="13.5" customHeight="1" x14ac:dyDescent="0.2">
      <c r="A118" s="386">
        <f t="shared" si="0"/>
        <v>9</v>
      </c>
      <c r="B118" s="387">
        <f t="shared" si="5"/>
        <v>97</v>
      </c>
      <c r="C118" s="388">
        <f t="shared" si="6"/>
        <v>49065</v>
      </c>
      <c r="D118" s="389">
        <f t="shared" si="7"/>
        <v>1258947.9292294425</v>
      </c>
      <c r="E118" s="389">
        <f t="shared" si="1"/>
        <v>7081.5821019156147</v>
      </c>
      <c r="F118" s="389">
        <f t="shared" si="2"/>
        <v>3308.8499395065382</v>
      </c>
      <c r="G118" s="389">
        <f t="shared" si="3"/>
        <v>1255639.079289936</v>
      </c>
      <c r="H118" s="389">
        <f t="shared" si="4"/>
        <v>756084.61831375433</v>
      </c>
      <c r="I118" s="363"/>
      <c r="J118" s="363"/>
      <c r="K118" s="363"/>
      <c r="L118" s="363"/>
      <c r="M118" s="363"/>
      <c r="N118" s="363"/>
      <c r="O118" s="363"/>
      <c r="P118" s="363"/>
      <c r="Q118" s="363"/>
      <c r="R118" s="363"/>
      <c r="S118" s="363"/>
      <c r="T118" s="363"/>
      <c r="U118" s="363"/>
      <c r="V118" s="363"/>
      <c r="W118" s="363"/>
      <c r="X118" s="363"/>
      <c r="Y118" s="363"/>
      <c r="Z118" s="363"/>
    </row>
    <row r="119" spans="1:26" ht="13.5" customHeight="1" x14ac:dyDescent="0.2">
      <c r="A119" s="386">
        <f t="shared" si="0"/>
        <v>9</v>
      </c>
      <c r="B119" s="387">
        <f t="shared" si="5"/>
        <v>98</v>
      </c>
      <c r="C119" s="388">
        <f t="shared" si="6"/>
        <v>49096</v>
      </c>
      <c r="D119" s="389">
        <f t="shared" si="7"/>
        <v>1255639.079289936</v>
      </c>
      <c r="E119" s="389">
        <f t="shared" si="1"/>
        <v>7062.9698210058896</v>
      </c>
      <c r="F119" s="389">
        <f t="shared" si="2"/>
        <v>3327.4622204162633</v>
      </c>
      <c r="G119" s="389">
        <f t="shared" si="3"/>
        <v>1252311.6170695198</v>
      </c>
      <c r="H119" s="389">
        <f t="shared" si="4"/>
        <v>763147.58813476027</v>
      </c>
      <c r="I119" s="363"/>
      <c r="J119" s="363"/>
      <c r="K119" s="363"/>
      <c r="L119" s="363"/>
      <c r="M119" s="363"/>
      <c r="N119" s="363"/>
      <c r="O119" s="363"/>
      <c r="P119" s="363"/>
      <c r="Q119" s="363"/>
      <c r="R119" s="363"/>
      <c r="S119" s="363"/>
      <c r="T119" s="363"/>
      <c r="U119" s="363"/>
      <c r="V119" s="363"/>
      <c r="W119" s="363"/>
      <c r="X119" s="363"/>
      <c r="Y119" s="363"/>
      <c r="Z119" s="363"/>
    </row>
    <row r="120" spans="1:26" ht="13.5" customHeight="1" x14ac:dyDescent="0.2">
      <c r="A120" s="386">
        <f t="shared" si="0"/>
        <v>9</v>
      </c>
      <c r="B120" s="387">
        <f t="shared" si="5"/>
        <v>99</v>
      </c>
      <c r="C120" s="388">
        <f t="shared" si="6"/>
        <v>49126</v>
      </c>
      <c r="D120" s="389">
        <f t="shared" si="7"/>
        <v>1252311.6170695198</v>
      </c>
      <c r="E120" s="389">
        <f t="shared" si="1"/>
        <v>7044.2528460160493</v>
      </c>
      <c r="F120" s="389">
        <f t="shared" si="2"/>
        <v>3346.1791954061036</v>
      </c>
      <c r="G120" s="389">
        <f t="shared" si="3"/>
        <v>1248965.4378741137</v>
      </c>
      <c r="H120" s="389">
        <f t="shared" si="4"/>
        <v>770191.84098077635</v>
      </c>
      <c r="I120" s="363"/>
      <c r="J120" s="363"/>
      <c r="K120" s="363"/>
      <c r="L120" s="363"/>
      <c r="M120" s="363"/>
      <c r="N120" s="363"/>
      <c r="O120" s="363"/>
      <c r="P120" s="363"/>
      <c r="Q120" s="363"/>
      <c r="R120" s="363"/>
      <c r="S120" s="363"/>
      <c r="T120" s="363"/>
      <c r="U120" s="363"/>
      <c r="V120" s="363"/>
      <c r="W120" s="363"/>
      <c r="X120" s="363"/>
      <c r="Y120" s="363"/>
      <c r="Z120" s="363"/>
    </row>
    <row r="121" spans="1:26" ht="13.5" customHeight="1" x14ac:dyDescent="0.2">
      <c r="A121" s="386">
        <f t="shared" si="0"/>
        <v>9</v>
      </c>
      <c r="B121" s="387">
        <f t="shared" si="5"/>
        <v>100</v>
      </c>
      <c r="C121" s="388">
        <f t="shared" si="6"/>
        <v>49157</v>
      </c>
      <c r="D121" s="389">
        <f t="shared" si="7"/>
        <v>1248965.4378741137</v>
      </c>
      <c r="E121" s="389">
        <f t="shared" si="1"/>
        <v>7025.4305880418897</v>
      </c>
      <c r="F121" s="389">
        <f t="shared" si="2"/>
        <v>3365.0014533802632</v>
      </c>
      <c r="G121" s="389">
        <f t="shared" si="3"/>
        <v>1245600.4364207333</v>
      </c>
      <c r="H121" s="389">
        <f t="shared" si="4"/>
        <v>777217.27156881825</v>
      </c>
      <c r="I121" s="363"/>
      <c r="J121" s="363"/>
      <c r="K121" s="363"/>
      <c r="L121" s="363"/>
      <c r="M121" s="363"/>
      <c r="N121" s="363"/>
      <c r="O121" s="363"/>
      <c r="P121" s="363"/>
      <c r="Q121" s="363"/>
      <c r="R121" s="363"/>
      <c r="S121" s="363"/>
      <c r="T121" s="363"/>
      <c r="U121" s="363"/>
      <c r="V121" s="363"/>
      <c r="W121" s="363"/>
      <c r="X121" s="363"/>
      <c r="Y121" s="363"/>
      <c r="Z121" s="363"/>
    </row>
    <row r="122" spans="1:26" ht="13.5" customHeight="1" x14ac:dyDescent="0.2">
      <c r="A122" s="386">
        <f t="shared" si="0"/>
        <v>9</v>
      </c>
      <c r="B122" s="387">
        <f t="shared" si="5"/>
        <v>101</v>
      </c>
      <c r="C122" s="388">
        <f t="shared" si="6"/>
        <v>49188</v>
      </c>
      <c r="D122" s="389">
        <f t="shared" si="7"/>
        <v>1245600.4364207333</v>
      </c>
      <c r="E122" s="389">
        <f t="shared" si="1"/>
        <v>7006.5024548666261</v>
      </c>
      <c r="F122" s="389">
        <f t="shared" si="2"/>
        <v>3383.9295865555268</v>
      </c>
      <c r="G122" s="389">
        <f t="shared" si="3"/>
        <v>1242216.5068341778</v>
      </c>
      <c r="H122" s="389">
        <f t="shared" si="4"/>
        <v>784223.77402368491</v>
      </c>
      <c r="I122" s="363"/>
      <c r="J122" s="363"/>
      <c r="K122" s="363"/>
      <c r="L122" s="363"/>
      <c r="M122" s="363"/>
      <c r="N122" s="363"/>
      <c r="O122" s="363"/>
      <c r="P122" s="363"/>
      <c r="Q122" s="363"/>
      <c r="R122" s="363"/>
      <c r="S122" s="363"/>
      <c r="T122" s="363"/>
      <c r="U122" s="363"/>
      <c r="V122" s="363"/>
      <c r="W122" s="363"/>
      <c r="X122" s="363"/>
      <c r="Y122" s="363"/>
      <c r="Z122" s="363"/>
    </row>
    <row r="123" spans="1:26" ht="13.5" customHeight="1" x14ac:dyDescent="0.2">
      <c r="A123" s="386">
        <f t="shared" si="0"/>
        <v>9</v>
      </c>
      <c r="B123" s="387">
        <f t="shared" si="5"/>
        <v>102</v>
      </c>
      <c r="C123" s="388">
        <f t="shared" si="6"/>
        <v>49218</v>
      </c>
      <c r="D123" s="389">
        <f t="shared" si="7"/>
        <v>1242216.5068341778</v>
      </c>
      <c r="E123" s="389">
        <f t="shared" si="1"/>
        <v>6987.4678509422511</v>
      </c>
      <c r="F123" s="389">
        <f t="shared" si="2"/>
        <v>3402.9641904799018</v>
      </c>
      <c r="G123" s="389">
        <f t="shared" si="3"/>
        <v>1238813.5426436979</v>
      </c>
      <c r="H123" s="389">
        <f t="shared" si="4"/>
        <v>791211.24187462719</v>
      </c>
      <c r="I123" s="363"/>
      <c r="J123" s="363"/>
      <c r="K123" s="363"/>
      <c r="L123" s="363"/>
      <c r="M123" s="363"/>
      <c r="N123" s="363"/>
      <c r="O123" s="363"/>
      <c r="P123" s="363"/>
      <c r="Q123" s="363"/>
      <c r="R123" s="363"/>
      <c r="S123" s="363"/>
      <c r="T123" s="363"/>
      <c r="U123" s="363"/>
      <c r="V123" s="363"/>
      <c r="W123" s="363"/>
      <c r="X123" s="363"/>
      <c r="Y123" s="363"/>
      <c r="Z123" s="363"/>
    </row>
    <row r="124" spans="1:26" ht="13.5" customHeight="1" x14ac:dyDescent="0.2">
      <c r="A124" s="386">
        <f t="shared" si="0"/>
        <v>9</v>
      </c>
      <c r="B124" s="387">
        <f t="shared" si="5"/>
        <v>103</v>
      </c>
      <c r="C124" s="388">
        <f t="shared" si="6"/>
        <v>49249</v>
      </c>
      <c r="D124" s="389">
        <f t="shared" si="7"/>
        <v>1238813.5426436979</v>
      </c>
      <c r="E124" s="389">
        <f t="shared" si="1"/>
        <v>6968.3261773708009</v>
      </c>
      <c r="F124" s="389">
        <f t="shared" si="2"/>
        <v>3422.105864051352</v>
      </c>
      <c r="G124" s="389">
        <f t="shared" si="3"/>
        <v>1235391.4367796467</v>
      </c>
      <c r="H124" s="389">
        <f t="shared" si="4"/>
        <v>798179.56805199804</v>
      </c>
      <c r="I124" s="363"/>
      <c r="J124" s="363"/>
      <c r="K124" s="363"/>
      <c r="L124" s="363"/>
      <c r="M124" s="363"/>
      <c r="N124" s="363"/>
      <c r="O124" s="363"/>
      <c r="P124" s="363"/>
      <c r="Q124" s="363"/>
      <c r="R124" s="363"/>
      <c r="S124" s="363"/>
      <c r="T124" s="363"/>
      <c r="U124" s="363"/>
      <c r="V124" s="363"/>
      <c r="W124" s="363"/>
      <c r="X124" s="363"/>
      <c r="Y124" s="363"/>
      <c r="Z124" s="363"/>
    </row>
    <row r="125" spans="1:26" ht="13.5" customHeight="1" x14ac:dyDescent="0.2">
      <c r="A125" s="386">
        <f t="shared" si="0"/>
        <v>9</v>
      </c>
      <c r="B125" s="387">
        <f t="shared" si="5"/>
        <v>104</v>
      </c>
      <c r="C125" s="388">
        <f t="shared" si="6"/>
        <v>49279</v>
      </c>
      <c r="D125" s="389">
        <f t="shared" si="7"/>
        <v>1235391.4367796467</v>
      </c>
      <c r="E125" s="389">
        <f t="shared" si="1"/>
        <v>6949.0768318855125</v>
      </c>
      <c r="F125" s="389">
        <f t="shared" si="2"/>
        <v>3441.3552095366404</v>
      </c>
      <c r="G125" s="389">
        <f t="shared" si="3"/>
        <v>1231950.0815701101</v>
      </c>
      <c r="H125" s="389">
        <f t="shared" si="4"/>
        <v>805128.64488388353</v>
      </c>
      <c r="I125" s="363"/>
      <c r="J125" s="363"/>
      <c r="K125" s="363"/>
      <c r="L125" s="363"/>
      <c r="M125" s="363"/>
      <c r="N125" s="363"/>
      <c r="O125" s="363"/>
      <c r="P125" s="363"/>
      <c r="Q125" s="363"/>
      <c r="R125" s="363"/>
      <c r="S125" s="363"/>
      <c r="T125" s="363"/>
      <c r="U125" s="363"/>
      <c r="V125" s="363"/>
      <c r="W125" s="363"/>
      <c r="X125" s="363"/>
      <c r="Y125" s="363"/>
      <c r="Z125" s="363"/>
    </row>
    <row r="126" spans="1:26" ht="13.5" customHeight="1" x14ac:dyDescent="0.2">
      <c r="A126" s="386">
        <f t="shared" si="0"/>
        <v>9</v>
      </c>
      <c r="B126" s="387">
        <f t="shared" si="5"/>
        <v>105</v>
      </c>
      <c r="C126" s="388">
        <f t="shared" si="6"/>
        <v>49310</v>
      </c>
      <c r="D126" s="389">
        <f t="shared" si="7"/>
        <v>1231950.0815701101</v>
      </c>
      <c r="E126" s="389">
        <f t="shared" si="1"/>
        <v>6929.7192088318698</v>
      </c>
      <c r="F126" s="389">
        <f t="shared" si="2"/>
        <v>3460.7128325902831</v>
      </c>
      <c r="G126" s="389">
        <f t="shared" si="3"/>
        <v>1228489.3687375197</v>
      </c>
      <c r="H126" s="389">
        <f t="shared" si="4"/>
        <v>812058.36409271543</v>
      </c>
      <c r="I126" s="363"/>
      <c r="J126" s="363"/>
      <c r="K126" s="363"/>
      <c r="L126" s="363"/>
      <c r="M126" s="363"/>
      <c r="N126" s="363"/>
      <c r="O126" s="363"/>
      <c r="P126" s="363"/>
      <c r="Q126" s="363"/>
      <c r="R126" s="363"/>
      <c r="S126" s="363"/>
      <c r="T126" s="363"/>
      <c r="U126" s="363"/>
      <c r="V126" s="363"/>
      <c r="W126" s="363"/>
      <c r="X126" s="363"/>
      <c r="Y126" s="363"/>
      <c r="Z126" s="363"/>
    </row>
    <row r="127" spans="1:26" ht="13.5" customHeight="1" x14ac:dyDescent="0.2">
      <c r="A127" s="386">
        <f t="shared" si="0"/>
        <v>9</v>
      </c>
      <c r="B127" s="387">
        <f t="shared" si="5"/>
        <v>106</v>
      </c>
      <c r="C127" s="388">
        <f t="shared" si="6"/>
        <v>49341</v>
      </c>
      <c r="D127" s="389">
        <f t="shared" si="7"/>
        <v>1228489.3687375197</v>
      </c>
      <c r="E127" s="389">
        <f t="shared" si="1"/>
        <v>6910.2526991485493</v>
      </c>
      <c r="F127" s="389">
        <f t="shared" si="2"/>
        <v>3480.1793422736037</v>
      </c>
      <c r="G127" s="389">
        <f t="shared" si="3"/>
        <v>1225009.1893952461</v>
      </c>
      <c r="H127" s="389">
        <f t="shared" si="4"/>
        <v>818968.61679186393</v>
      </c>
      <c r="I127" s="363"/>
      <c r="J127" s="363"/>
      <c r="K127" s="363"/>
      <c r="L127" s="363"/>
      <c r="M127" s="363"/>
      <c r="N127" s="363"/>
      <c r="O127" s="363"/>
      <c r="P127" s="363"/>
      <c r="Q127" s="363"/>
      <c r="R127" s="363"/>
      <c r="S127" s="363"/>
      <c r="T127" s="363"/>
      <c r="U127" s="363"/>
      <c r="V127" s="363"/>
      <c r="W127" s="363"/>
      <c r="X127" s="363"/>
      <c r="Y127" s="363"/>
      <c r="Z127" s="363"/>
    </row>
    <row r="128" spans="1:26" ht="13.5" customHeight="1" x14ac:dyDescent="0.2">
      <c r="A128" s="386">
        <f t="shared" si="0"/>
        <v>9</v>
      </c>
      <c r="B128" s="387">
        <f t="shared" si="5"/>
        <v>107</v>
      </c>
      <c r="C128" s="388">
        <f t="shared" si="6"/>
        <v>49369</v>
      </c>
      <c r="D128" s="389">
        <f t="shared" si="7"/>
        <v>1225009.1893952461</v>
      </c>
      <c r="E128" s="389">
        <f t="shared" si="1"/>
        <v>6890.6766903482603</v>
      </c>
      <c r="F128" s="389">
        <f t="shared" si="2"/>
        <v>3499.7553510738926</v>
      </c>
      <c r="G128" s="389">
        <f t="shared" si="3"/>
        <v>1221509.4340441723</v>
      </c>
      <c r="H128" s="389">
        <f t="shared" si="4"/>
        <v>825859.29348221223</v>
      </c>
      <c r="I128" s="363"/>
      <c r="J128" s="363"/>
      <c r="K128" s="363"/>
      <c r="L128" s="363"/>
      <c r="M128" s="363"/>
      <c r="N128" s="363"/>
      <c r="O128" s="363"/>
      <c r="P128" s="363"/>
      <c r="Q128" s="363"/>
      <c r="R128" s="363"/>
      <c r="S128" s="363"/>
      <c r="T128" s="363"/>
      <c r="U128" s="363"/>
      <c r="V128" s="363"/>
      <c r="W128" s="363"/>
      <c r="X128" s="363"/>
      <c r="Y128" s="363"/>
      <c r="Z128" s="363"/>
    </row>
    <row r="129" spans="1:26" ht="13.5" customHeight="1" x14ac:dyDescent="0.2">
      <c r="A129" s="386">
        <f t="shared" si="0"/>
        <v>9</v>
      </c>
      <c r="B129" s="387">
        <f t="shared" si="5"/>
        <v>108</v>
      </c>
      <c r="C129" s="388">
        <f t="shared" si="6"/>
        <v>49400</v>
      </c>
      <c r="D129" s="389">
        <f t="shared" si="7"/>
        <v>1221509.4340441723</v>
      </c>
      <c r="E129" s="389">
        <f t="shared" si="1"/>
        <v>6870.990566498469</v>
      </c>
      <c r="F129" s="389">
        <f t="shared" si="2"/>
        <v>3519.4414749236839</v>
      </c>
      <c r="G129" s="389">
        <f t="shared" si="3"/>
        <v>1217989.9925692487</v>
      </c>
      <c r="H129" s="389">
        <f t="shared" si="4"/>
        <v>832730.28404871072</v>
      </c>
      <c r="I129" s="363"/>
      <c r="J129" s="363"/>
      <c r="K129" s="363"/>
      <c r="L129" s="363"/>
      <c r="M129" s="363"/>
      <c r="N129" s="363"/>
      <c r="O129" s="363"/>
      <c r="P129" s="363"/>
      <c r="Q129" s="363"/>
      <c r="R129" s="363"/>
      <c r="S129" s="363"/>
      <c r="T129" s="363"/>
      <c r="U129" s="363"/>
      <c r="V129" s="363"/>
      <c r="W129" s="363"/>
      <c r="X129" s="363"/>
      <c r="Y129" s="363"/>
      <c r="Z129" s="363"/>
    </row>
    <row r="130" spans="1:26" ht="13.5" customHeight="1" x14ac:dyDescent="0.2">
      <c r="A130" s="386">
        <f t="shared" si="0"/>
        <v>10</v>
      </c>
      <c r="B130" s="387">
        <f t="shared" si="5"/>
        <v>109</v>
      </c>
      <c r="C130" s="388">
        <f t="shared" si="6"/>
        <v>49430</v>
      </c>
      <c r="D130" s="389">
        <f t="shared" si="7"/>
        <v>1217989.9925692487</v>
      </c>
      <c r="E130" s="389">
        <f t="shared" si="1"/>
        <v>6851.193708202024</v>
      </c>
      <c r="F130" s="389">
        <f t="shared" si="2"/>
        <v>3539.2383332201289</v>
      </c>
      <c r="G130" s="389">
        <f t="shared" si="3"/>
        <v>1214450.7542360285</v>
      </c>
      <c r="H130" s="389">
        <f t="shared" si="4"/>
        <v>839581.4777569127</v>
      </c>
      <c r="I130" s="363"/>
      <c r="J130" s="363"/>
      <c r="K130" s="363"/>
      <c r="L130" s="363"/>
      <c r="M130" s="363"/>
      <c r="N130" s="363"/>
      <c r="O130" s="363"/>
      <c r="P130" s="363"/>
      <c r="Q130" s="363"/>
      <c r="R130" s="363"/>
      <c r="S130" s="363"/>
      <c r="T130" s="363"/>
      <c r="U130" s="363"/>
      <c r="V130" s="363"/>
      <c r="W130" s="363"/>
      <c r="X130" s="363"/>
      <c r="Y130" s="363"/>
      <c r="Z130" s="363"/>
    </row>
    <row r="131" spans="1:26" ht="13.5" customHeight="1" x14ac:dyDescent="0.2">
      <c r="A131" s="386">
        <f t="shared" si="0"/>
        <v>10</v>
      </c>
      <c r="B131" s="387">
        <f t="shared" si="5"/>
        <v>110</v>
      </c>
      <c r="C131" s="388">
        <f t="shared" si="6"/>
        <v>49461</v>
      </c>
      <c r="D131" s="389">
        <f t="shared" si="7"/>
        <v>1214450.7542360285</v>
      </c>
      <c r="E131" s="389">
        <f t="shared" si="1"/>
        <v>6831.2854925776601</v>
      </c>
      <c r="F131" s="389">
        <f t="shared" si="2"/>
        <v>3559.1465488444928</v>
      </c>
      <c r="G131" s="389">
        <f t="shared" si="3"/>
        <v>1210891.6076871841</v>
      </c>
      <c r="H131" s="389">
        <f t="shared" si="4"/>
        <v>846412.76324949041</v>
      </c>
      <c r="I131" s="363"/>
      <c r="J131" s="363"/>
      <c r="K131" s="363"/>
      <c r="L131" s="363"/>
      <c r="M131" s="363"/>
      <c r="N131" s="363"/>
      <c r="O131" s="363"/>
      <c r="P131" s="363"/>
      <c r="Q131" s="363"/>
      <c r="R131" s="363"/>
      <c r="S131" s="363"/>
      <c r="T131" s="363"/>
      <c r="U131" s="363"/>
      <c r="V131" s="363"/>
      <c r="W131" s="363"/>
      <c r="X131" s="363"/>
      <c r="Y131" s="363"/>
      <c r="Z131" s="363"/>
    </row>
    <row r="132" spans="1:26" ht="13.5" customHeight="1" x14ac:dyDescent="0.2">
      <c r="A132" s="386">
        <f t="shared" si="0"/>
        <v>10</v>
      </c>
      <c r="B132" s="387">
        <f t="shared" si="5"/>
        <v>111</v>
      </c>
      <c r="C132" s="388">
        <f t="shared" si="6"/>
        <v>49491</v>
      </c>
      <c r="D132" s="389">
        <f t="shared" si="7"/>
        <v>1210891.6076871841</v>
      </c>
      <c r="E132" s="389">
        <f t="shared" si="1"/>
        <v>6811.2652932404117</v>
      </c>
      <c r="F132" s="389">
        <f t="shared" si="2"/>
        <v>3579.1667481817412</v>
      </c>
      <c r="G132" s="389">
        <f t="shared" si="3"/>
        <v>1207312.4409390024</v>
      </c>
      <c r="H132" s="389">
        <f t="shared" si="4"/>
        <v>853224.02854273084</v>
      </c>
      <c r="I132" s="363"/>
      <c r="J132" s="363"/>
      <c r="K132" s="363"/>
      <c r="L132" s="363"/>
      <c r="M132" s="363"/>
      <c r="N132" s="363"/>
      <c r="O132" s="363"/>
      <c r="P132" s="363"/>
      <c r="Q132" s="363"/>
      <c r="R132" s="363"/>
      <c r="S132" s="363"/>
      <c r="T132" s="363"/>
      <c r="U132" s="363"/>
      <c r="V132" s="363"/>
      <c r="W132" s="363"/>
      <c r="X132" s="363"/>
      <c r="Y132" s="363"/>
      <c r="Z132" s="363"/>
    </row>
    <row r="133" spans="1:26" ht="13.5" customHeight="1" x14ac:dyDescent="0.2">
      <c r="A133" s="386">
        <f t="shared" si="0"/>
        <v>10</v>
      </c>
      <c r="B133" s="387">
        <f t="shared" si="5"/>
        <v>112</v>
      </c>
      <c r="C133" s="388">
        <f t="shared" si="6"/>
        <v>49522</v>
      </c>
      <c r="D133" s="389">
        <f t="shared" si="7"/>
        <v>1207312.4409390024</v>
      </c>
      <c r="E133" s="389">
        <f t="shared" si="1"/>
        <v>6791.132480281889</v>
      </c>
      <c r="F133" s="389">
        <f t="shared" si="2"/>
        <v>3599.2995611402639</v>
      </c>
      <c r="G133" s="389">
        <f t="shared" si="3"/>
        <v>1203713.1413778621</v>
      </c>
      <c r="H133" s="389">
        <f t="shared" si="4"/>
        <v>860015.16102301271</v>
      </c>
      <c r="I133" s="363"/>
      <c r="J133" s="363"/>
      <c r="K133" s="363"/>
      <c r="L133" s="363"/>
      <c r="M133" s="363"/>
      <c r="N133" s="363"/>
      <c r="O133" s="363"/>
      <c r="P133" s="363"/>
      <c r="Q133" s="363"/>
      <c r="R133" s="363"/>
      <c r="S133" s="363"/>
      <c r="T133" s="363"/>
      <c r="U133" s="363"/>
      <c r="V133" s="363"/>
      <c r="W133" s="363"/>
      <c r="X133" s="363"/>
      <c r="Y133" s="363"/>
      <c r="Z133" s="363"/>
    </row>
    <row r="134" spans="1:26" ht="13.5" customHeight="1" x14ac:dyDescent="0.2">
      <c r="A134" s="386">
        <f t="shared" si="0"/>
        <v>10</v>
      </c>
      <c r="B134" s="387">
        <f t="shared" si="5"/>
        <v>113</v>
      </c>
      <c r="C134" s="388">
        <f t="shared" si="6"/>
        <v>49553</v>
      </c>
      <c r="D134" s="389">
        <f t="shared" si="7"/>
        <v>1203713.1413778621</v>
      </c>
      <c r="E134" s="389">
        <f t="shared" si="1"/>
        <v>6770.8864202504747</v>
      </c>
      <c r="F134" s="389">
        <f t="shared" si="2"/>
        <v>3619.5456211716782</v>
      </c>
      <c r="G134" s="389">
        <f t="shared" si="3"/>
        <v>1200093.5957566905</v>
      </c>
      <c r="H134" s="389">
        <f t="shared" si="4"/>
        <v>866786.04744326323</v>
      </c>
      <c r="I134" s="363"/>
      <c r="J134" s="363"/>
      <c r="K134" s="363"/>
      <c r="L134" s="363"/>
      <c r="M134" s="363"/>
      <c r="N134" s="363"/>
      <c r="O134" s="363"/>
      <c r="P134" s="363"/>
      <c r="Q134" s="363"/>
      <c r="R134" s="363"/>
      <c r="S134" s="363"/>
      <c r="T134" s="363"/>
      <c r="U134" s="363"/>
      <c r="V134" s="363"/>
      <c r="W134" s="363"/>
      <c r="X134" s="363"/>
      <c r="Y134" s="363"/>
      <c r="Z134" s="363"/>
    </row>
    <row r="135" spans="1:26" ht="13.5" customHeight="1" x14ac:dyDescent="0.2">
      <c r="A135" s="386">
        <f t="shared" si="0"/>
        <v>10</v>
      </c>
      <c r="B135" s="387">
        <f t="shared" si="5"/>
        <v>114</v>
      </c>
      <c r="C135" s="388">
        <f t="shared" si="6"/>
        <v>49583</v>
      </c>
      <c r="D135" s="389">
        <f t="shared" si="7"/>
        <v>1200093.5957566905</v>
      </c>
      <c r="E135" s="389">
        <f t="shared" si="1"/>
        <v>6750.5264761313847</v>
      </c>
      <c r="F135" s="389">
        <f t="shared" si="2"/>
        <v>3639.9055652907682</v>
      </c>
      <c r="G135" s="389">
        <f t="shared" si="3"/>
        <v>1196453.6901913998</v>
      </c>
      <c r="H135" s="389">
        <f t="shared" si="4"/>
        <v>873536.57391939464</v>
      </c>
      <c r="I135" s="363"/>
      <c r="J135" s="363"/>
      <c r="K135" s="363"/>
      <c r="L135" s="363"/>
      <c r="M135" s="363"/>
      <c r="N135" s="363"/>
      <c r="O135" s="363"/>
      <c r="P135" s="363"/>
      <c r="Q135" s="363"/>
      <c r="R135" s="363"/>
      <c r="S135" s="363"/>
      <c r="T135" s="363"/>
      <c r="U135" s="363"/>
      <c r="V135" s="363"/>
      <c r="W135" s="363"/>
      <c r="X135" s="363"/>
      <c r="Y135" s="363"/>
      <c r="Z135" s="363"/>
    </row>
    <row r="136" spans="1:26" ht="13.5" customHeight="1" x14ac:dyDescent="0.2">
      <c r="A136" s="386">
        <f t="shared" si="0"/>
        <v>10</v>
      </c>
      <c r="B136" s="387">
        <f t="shared" si="5"/>
        <v>115</v>
      </c>
      <c r="C136" s="388">
        <f t="shared" si="6"/>
        <v>49614</v>
      </c>
      <c r="D136" s="389">
        <f t="shared" si="7"/>
        <v>1196453.6901913998</v>
      </c>
      <c r="E136" s="389">
        <f t="shared" si="1"/>
        <v>6730.0520073266243</v>
      </c>
      <c r="F136" s="389">
        <f t="shared" si="2"/>
        <v>3660.3800340955286</v>
      </c>
      <c r="G136" s="389">
        <f t="shared" si="3"/>
        <v>1192793.3101573042</v>
      </c>
      <c r="H136" s="389">
        <f t="shared" si="4"/>
        <v>880266.62592672126</v>
      </c>
      <c r="I136" s="363"/>
      <c r="J136" s="363"/>
      <c r="K136" s="363"/>
      <c r="L136" s="363"/>
      <c r="M136" s="363"/>
      <c r="N136" s="363"/>
      <c r="O136" s="363"/>
      <c r="P136" s="363"/>
      <c r="Q136" s="363"/>
      <c r="R136" s="363"/>
      <c r="S136" s="363"/>
      <c r="T136" s="363"/>
      <c r="U136" s="363"/>
      <c r="V136" s="363"/>
      <c r="W136" s="363"/>
      <c r="X136" s="363"/>
      <c r="Y136" s="363"/>
      <c r="Z136" s="363"/>
    </row>
    <row r="137" spans="1:26" ht="13.5" customHeight="1" x14ac:dyDescent="0.2">
      <c r="A137" s="386">
        <f t="shared" si="0"/>
        <v>10</v>
      </c>
      <c r="B137" s="387">
        <f t="shared" si="5"/>
        <v>116</v>
      </c>
      <c r="C137" s="388">
        <f t="shared" si="6"/>
        <v>49644</v>
      </c>
      <c r="D137" s="389">
        <f t="shared" si="7"/>
        <v>1192793.3101573042</v>
      </c>
      <c r="E137" s="389">
        <f t="shared" si="1"/>
        <v>6709.4623696348363</v>
      </c>
      <c r="F137" s="389">
        <f t="shared" si="2"/>
        <v>3680.9696717873167</v>
      </c>
      <c r="G137" s="389">
        <f t="shared" si="3"/>
        <v>1189112.3404855169</v>
      </c>
      <c r="H137" s="389">
        <f t="shared" si="4"/>
        <v>886976.08829635615</v>
      </c>
      <c r="I137" s="363"/>
      <c r="J137" s="363"/>
      <c r="K137" s="363"/>
      <c r="L137" s="363"/>
      <c r="M137" s="363"/>
      <c r="N137" s="363"/>
      <c r="O137" s="363"/>
      <c r="P137" s="363"/>
      <c r="Q137" s="363"/>
      <c r="R137" s="363"/>
      <c r="S137" s="363"/>
      <c r="T137" s="363"/>
      <c r="U137" s="363"/>
      <c r="V137" s="363"/>
      <c r="W137" s="363"/>
      <c r="X137" s="363"/>
      <c r="Y137" s="363"/>
      <c r="Z137" s="363"/>
    </row>
    <row r="138" spans="1:26" ht="13.5" customHeight="1" x14ac:dyDescent="0.2">
      <c r="A138" s="386">
        <f t="shared" si="0"/>
        <v>10</v>
      </c>
      <c r="B138" s="387">
        <f t="shared" si="5"/>
        <v>117</v>
      </c>
      <c r="C138" s="388">
        <f t="shared" si="6"/>
        <v>49675</v>
      </c>
      <c r="D138" s="389">
        <f t="shared" si="7"/>
        <v>1189112.3404855169</v>
      </c>
      <c r="E138" s="389">
        <f t="shared" si="1"/>
        <v>6688.7569152310325</v>
      </c>
      <c r="F138" s="389">
        <f t="shared" si="2"/>
        <v>3701.6751261911204</v>
      </c>
      <c r="G138" s="389">
        <f t="shared" si="3"/>
        <v>1185410.6653593257</v>
      </c>
      <c r="H138" s="389">
        <f t="shared" si="4"/>
        <v>893664.84521158715</v>
      </c>
      <c r="I138" s="363"/>
      <c r="J138" s="363"/>
      <c r="K138" s="363"/>
      <c r="L138" s="363"/>
      <c r="M138" s="363"/>
      <c r="N138" s="363"/>
      <c r="O138" s="363"/>
      <c r="P138" s="363"/>
      <c r="Q138" s="363"/>
      <c r="R138" s="363"/>
      <c r="S138" s="363"/>
      <c r="T138" s="363"/>
      <c r="U138" s="363"/>
      <c r="V138" s="363"/>
      <c r="W138" s="363"/>
      <c r="X138" s="363"/>
      <c r="Y138" s="363"/>
      <c r="Z138" s="363"/>
    </row>
    <row r="139" spans="1:26" ht="13.5" customHeight="1" x14ac:dyDescent="0.2">
      <c r="A139" s="386">
        <f t="shared" si="0"/>
        <v>10</v>
      </c>
      <c r="B139" s="387">
        <f t="shared" si="5"/>
        <v>118</v>
      </c>
      <c r="C139" s="388">
        <f t="shared" si="6"/>
        <v>49706</v>
      </c>
      <c r="D139" s="389">
        <f t="shared" si="7"/>
        <v>1185410.6653593257</v>
      </c>
      <c r="E139" s="389">
        <f t="shared" si="1"/>
        <v>6667.9349926462082</v>
      </c>
      <c r="F139" s="389">
        <f t="shared" si="2"/>
        <v>3722.4970487759447</v>
      </c>
      <c r="G139" s="389">
        <f t="shared" si="3"/>
        <v>1181688.1683105498</v>
      </c>
      <c r="H139" s="389">
        <f t="shared" si="4"/>
        <v>900332.78020423336</v>
      </c>
      <c r="I139" s="363"/>
      <c r="J139" s="363"/>
      <c r="K139" s="363"/>
      <c r="L139" s="363"/>
      <c r="M139" s="363"/>
      <c r="N139" s="363"/>
      <c r="O139" s="363"/>
      <c r="P139" s="363"/>
      <c r="Q139" s="363"/>
      <c r="R139" s="363"/>
      <c r="S139" s="363"/>
      <c r="T139" s="363"/>
      <c r="U139" s="363"/>
      <c r="V139" s="363"/>
      <c r="W139" s="363"/>
      <c r="X139" s="363"/>
      <c r="Y139" s="363"/>
      <c r="Z139" s="363"/>
    </row>
    <row r="140" spans="1:26" ht="13.5" customHeight="1" x14ac:dyDescent="0.2">
      <c r="A140" s="386">
        <f t="shared" si="0"/>
        <v>10</v>
      </c>
      <c r="B140" s="387">
        <f t="shared" si="5"/>
        <v>119</v>
      </c>
      <c r="C140" s="388">
        <f t="shared" si="6"/>
        <v>49735</v>
      </c>
      <c r="D140" s="389">
        <f t="shared" si="7"/>
        <v>1181688.1683105498</v>
      </c>
      <c r="E140" s="389">
        <f t="shared" si="1"/>
        <v>6646.9959467468434</v>
      </c>
      <c r="F140" s="389">
        <f t="shared" si="2"/>
        <v>3743.4360946753095</v>
      </c>
      <c r="G140" s="389">
        <f t="shared" si="3"/>
        <v>1177944.7322158746</v>
      </c>
      <c r="H140" s="389">
        <f t="shared" si="4"/>
        <v>906979.77615098027</v>
      </c>
      <c r="I140" s="363"/>
      <c r="J140" s="363"/>
      <c r="K140" s="363"/>
      <c r="L140" s="363"/>
      <c r="M140" s="363"/>
      <c r="N140" s="363"/>
      <c r="O140" s="363"/>
      <c r="P140" s="363"/>
      <c r="Q140" s="363"/>
      <c r="R140" s="363"/>
      <c r="S140" s="363"/>
      <c r="T140" s="363"/>
      <c r="U140" s="363"/>
      <c r="V140" s="363"/>
      <c r="W140" s="363"/>
      <c r="X140" s="363"/>
      <c r="Y140" s="363"/>
      <c r="Z140" s="363"/>
    </row>
    <row r="141" spans="1:26" ht="13.5" customHeight="1" x14ac:dyDescent="0.2">
      <c r="A141" s="386">
        <f t="shared" si="0"/>
        <v>10</v>
      </c>
      <c r="B141" s="387">
        <f t="shared" si="5"/>
        <v>120</v>
      </c>
      <c r="C141" s="388">
        <f t="shared" si="6"/>
        <v>49766</v>
      </c>
      <c r="D141" s="389">
        <f t="shared" si="7"/>
        <v>1177944.7322158746</v>
      </c>
      <c r="E141" s="389">
        <f t="shared" si="1"/>
        <v>6625.9391187142946</v>
      </c>
      <c r="F141" s="389">
        <f t="shared" si="2"/>
        <v>3764.4929227078583</v>
      </c>
      <c r="G141" s="389">
        <f t="shared" si="3"/>
        <v>1174180.2392931667</v>
      </c>
      <c r="H141" s="389">
        <f t="shared" si="4"/>
        <v>913605.71526969457</v>
      </c>
      <c r="I141" s="363"/>
      <c r="J141" s="363"/>
      <c r="K141" s="363"/>
      <c r="L141" s="363"/>
      <c r="M141" s="363"/>
      <c r="N141" s="363"/>
      <c r="O141" s="363"/>
      <c r="P141" s="363"/>
      <c r="Q141" s="363"/>
      <c r="R141" s="363"/>
      <c r="S141" s="363"/>
      <c r="T141" s="363"/>
      <c r="U141" s="363"/>
      <c r="V141" s="363"/>
      <c r="W141" s="363"/>
      <c r="X141" s="363"/>
      <c r="Y141" s="363"/>
      <c r="Z141" s="363"/>
    </row>
    <row r="142" spans="1:26" ht="13.5" customHeight="1" x14ac:dyDescent="0.2">
      <c r="A142" s="386">
        <f t="shared" si="0"/>
        <v>11</v>
      </c>
      <c r="B142" s="387">
        <f t="shared" si="5"/>
        <v>121</v>
      </c>
      <c r="C142" s="388">
        <f t="shared" si="6"/>
        <v>49796</v>
      </c>
      <c r="D142" s="389">
        <f t="shared" si="7"/>
        <v>1174180.2392931667</v>
      </c>
      <c r="E142" s="389">
        <f t="shared" si="1"/>
        <v>6604.7638460240632</v>
      </c>
      <c r="F142" s="389">
        <f t="shared" si="2"/>
        <v>3785.6681953980897</v>
      </c>
      <c r="G142" s="389">
        <f t="shared" si="3"/>
        <v>1170394.5710977686</v>
      </c>
      <c r="H142" s="389">
        <f t="shared" si="4"/>
        <v>920210.47911571863</v>
      </c>
      <c r="I142" s="363"/>
      <c r="J142" s="363"/>
      <c r="K142" s="363"/>
      <c r="L142" s="363"/>
      <c r="M142" s="363"/>
      <c r="N142" s="363"/>
      <c r="O142" s="363"/>
      <c r="P142" s="363"/>
      <c r="Q142" s="363"/>
      <c r="R142" s="363"/>
      <c r="S142" s="363"/>
      <c r="T142" s="363"/>
      <c r="U142" s="363"/>
      <c r="V142" s="363"/>
      <c r="W142" s="363"/>
      <c r="X142" s="363"/>
      <c r="Y142" s="363"/>
      <c r="Z142" s="363"/>
    </row>
    <row r="143" spans="1:26" ht="13.5" customHeight="1" x14ac:dyDescent="0.2">
      <c r="A143" s="386">
        <f t="shared" si="0"/>
        <v>11</v>
      </c>
      <c r="B143" s="387">
        <f t="shared" si="5"/>
        <v>122</v>
      </c>
      <c r="C143" s="388">
        <f t="shared" si="6"/>
        <v>49827</v>
      </c>
      <c r="D143" s="389">
        <f t="shared" si="7"/>
        <v>1170394.5710977686</v>
      </c>
      <c r="E143" s="389">
        <f t="shared" si="1"/>
        <v>6583.4694624249487</v>
      </c>
      <c r="F143" s="389">
        <f t="shared" si="2"/>
        <v>3806.9625789972042</v>
      </c>
      <c r="G143" s="389">
        <f t="shared" si="3"/>
        <v>1166587.6085187714</v>
      </c>
      <c r="H143" s="389">
        <f t="shared" si="4"/>
        <v>926793.94857814361</v>
      </c>
      <c r="I143" s="363"/>
      <c r="J143" s="363"/>
      <c r="K143" s="363"/>
      <c r="L143" s="363"/>
      <c r="M143" s="363"/>
      <c r="N143" s="363"/>
      <c r="O143" s="363"/>
      <c r="P143" s="363"/>
      <c r="Q143" s="363"/>
      <c r="R143" s="363"/>
      <c r="S143" s="363"/>
      <c r="T143" s="363"/>
      <c r="U143" s="363"/>
      <c r="V143" s="363"/>
      <c r="W143" s="363"/>
      <c r="X143" s="363"/>
      <c r="Y143" s="363"/>
      <c r="Z143" s="363"/>
    </row>
    <row r="144" spans="1:26" ht="13.5" customHeight="1" x14ac:dyDescent="0.2">
      <c r="A144" s="386">
        <f t="shared" si="0"/>
        <v>11</v>
      </c>
      <c r="B144" s="387">
        <f t="shared" si="5"/>
        <v>123</v>
      </c>
      <c r="C144" s="388">
        <f t="shared" si="6"/>
        <v>49857</v>
      </c>
      <c r="D144" s="389">
        <f t="shared" si="7"/>
        <v>1166587.6085187714</v>
      </c>
      <c r="E144" s="389">
        <f t="shared" si="1"/>
        <v>6562.0552979180893</v>
      </c>
      <c r="F144" s="389">
        <f t="shared" si="2"/>
        <v>3828.3767435040636</v>
      </c>
      <c r="G144" s="389">
        <f t="shared" si="3"/>
        <v>1162759.2317752673</v>
      </c>
      <c r="H144" s="389">
        <f t="shared" si="4"/>
        <v>933356.00387606164</v>
      </c>
      <c r="I144" s="363"/>
      <c r="J144" s="363"/>
      <c r="K144" s="363"/>
      <c r="L144" s="363"/>
      <c r="M144" s="363"/>
      <c r="N144" s="363"/>
      <c r="O144" s="363"/>
      <c r="P144" s="363"/>
      <c r="Q144" s="363"/>
      <c r="R144" s="363"/>
      <c r="S144" s="363"/>
      <c r="T144" s="363"/>
      <c r="U144" s="363"/>
      <c r="V144" s="363"/>
      <c r="W144" s="363"/>
      <c r="X144" s="363"/>
      <c r="Y144" s="363"/>
      <c r="Z144" s="363"/>
    </row>
    <row r="145" spans="1:26" ht="13.5" customHeight="1" x14ac:dyDescent="0.2">
      <c r="A145" s="386">
        <f t="shared" si="0"/>
        <v>11</v>
      </c>
      <c r="B145" s="387">
        <f t="shared" si="5"/>
        <v>124</v>
      </c>
      <c r="C145" s="388">
        <f t="shared" si="6"/>
        <v>49888</v>
      </c>
      <c r="D145" s="389">
        <f t="shared" si="7"/>
        <v>1162759.2317752673</v>
      </c>
      <c r="E145" s="389">
        <f t="shared" si="1"/>
        <v>6540.5206787358793</v>
      </c>
      <c r="F145" s="389">
        <f t="shared" si="2"/>
        <v>3849.9113626862736</v>
      </c>
      <c r="G145" s="389">
        <f t="shared" si="3"/>
        <v>1158909.3204125811</v>
      </c>
      <c r="H145" s="389">
        <f t="shared" si="4"/>
        <v>939896.52455479756</v>
      </c>
      <c r="I145" s="363"/>
      <c r="J145" s="363"/>
      <c r="K145" s="363"/>
      <c r="L145" s="363"/>
      <c r="M145" s="363"/>
      <c r="N145" s="363"/>
      <c r="O145" s="363"/>
      <c r="P145" s="363"/>
      <c r="Q145" s="363"/>
      <c r="R145" s="363"/>
      <c r="S145" s="363"/>
      <c r="T145" s="363"/>
      <c r="U145" s="363"/>
      <c r="V145" s="363"/>
      <c r="W145" s="363"/>
      <c r="X145" s="363"/>
      <c r="Y145" s="363"/>
      <c r="Z145" s="363"/>
    </row>
    <row r="146" spans="1:26" ht="13.5" customHeight="1" x14ac:dyDescent="0.2">
      <c r="A146" s="386">
        <f t="shared" si="0"/>
        <v>11</v>
      </c>
      <c r="B146" s="387">
        <f t="shared" si="5"/>
        <v>125</v>
      </c>
      <c r="C146" s="388">
        <f t="shared" si="6"/>
        <v>49919</v>
      </c>
      <c r="D146" s="389">
        <f t="shared" si="7"/>
        <v>1158909.3204125811</v>
      </c>
      <c r="E146" s="389">
        <f t="shared" si="1"/>
        <v>6518.8649273207693</v>
      </c>
      <c r="F146" s="389">
        <f t="shared" si="2"/>
        <v>3871.5671141013836</v>
      </c>
      <c r="G146" s="389">
        <f t="shared" si="3"/>
        <v>1155037.7532984796</v>
      </c>
      <c r="H146" s="389">
        <f t="shared" si="4"/>
        <v>946415.38948211831</v>
      </c>
      <c r="I146" s="363"/>
      <c r="J146" s="363"/>
      <c r="K146" s="363"/>
      <c r="L146" s="363"/>
      <c r="M146" s="363"/>
      <c r="N146" s="363"/>
      <c r="O146" s="363"/>
      <c r="P146" s="363"/>
      <c r="Q146" s="363"/>
      <c r="R146" s="363"/>
      <c r="S146" s="363"/>
      <c r="T146" s="363"/>
      <c r="U146" s="363"/>
      <c r="V146" s="363"/>
      <c r="W146" s="363"/>
      <c r="X146" s="363"/>
      <c r="Y146" s="363"/>
      <c r="Z146" s="363"/>
    </row>
    <row r="147" spans="1:26" ht="13.5" customHeight="1" x14ac:dyDescent="0.2">
      <c r="A147" s="386">
        <f t="shared" si="0"/>
        <v>11</v>
      </c>
      <c r="B147" s="387">
        <f t="shared" si="5"/>
        <v>126</v>
      </c>
      <c r="C147" s="388">
        <f t="shared" si="6"/>
        <v>49949</v>
      </c>
      <c r="D147" s="389">
        <f t="shared" si="7"/>
        <v>1155037.7532984796</v>
      </c>
      <c r="E147" s="389">
        <f t="shared" si="1"/>
        <v>6497.0873623039479</v>
      </c>
      <c r="F147" s="389">
        <f t="shared" si="2"/>
        <v>3893.344679118205</v>
      </c>
      <c r="G147" s="389">
        <f t="shared" si="3"/>
        <v>1151144.4086193615</v>
      </c>
      <c r="H147" s="389">
        <f t="shared" si="4"/>
        <v>952912.47684442229</v>
      </c>
      <c r="I147" s="363"/>
      <c r="J147" s="363"/>
      <c r="K147" s="363"/>
      <c r="L147" s="363"/>
      <c r="M147" s="363"/>
      <c r="N147" s="363"/>
      <c r="O147" s="363"/>
      <c r="P147" s="363"/>
      <c r="Q147" s="363"/>
      <c r="R147" s="363"/>
      <c r="S147" s="363"/>
      <c r="T147" s="363"/>
      <c r="U147" s="363"/>
      <c r="V147" s="363"/>
      <c r="W147" s="363"/>
      <c r="X147" s="363"/>
      <c r="Y147" s="363"/>
      <c r="Z147" s="363"/>
    </row>
    <row r="148" spans="1:26" ht="13.5" customHeight="1" x14ac:dyDescent="0.2">
      <c r="A148" s="386">
        <f t="shared" si="0"/>
        <v>11</v>
      </c>
      <c r="B148" s="387">
        <f t="shared" si="5"/>
        <v>127</v>
      </c>
      <c r="C148" s="388">
        <f t="shared" si="6"/>
        <v>49980</v>
      </c>
      <c r="D148" s="389">
        <f t="shared" si="7"/>
        <v>1151144.4086193615</v>
      </c>
      <c r="E148" s="389">
        <f t="shared" si="1"/>
        <v>6475.1872984839092</v>
      </c>
      <c r="F148" s="389">
        <f t="shared" si="2"/>
        <v>3915.2447429382437</v>
      </c>
      <c r="G148" s="389">
        <f t="shared" si="3"/>
        <v>1147229.1638764231</v>
      </c>
      <c r="H148" s="389">
        <f t="shared" si="4"/>
        <v>959387.6641429062</v>
      </c>
      <c r="I148" s="363"/>
      <c r="J148" s="363"/>
      <c r="K148" s="363"/>
      <c r="L148" s="363"/>
      <c r="M148" s="363"/>
      <c r="N148" s="363"/>
      <c r="O148" s="363"/>
      <c r="P148" s="363"/>
      <c r="Q148" s="363"/>
      <c r="R148" s="363"/>
      <c r="S148" s="363"/>
      <c r="T148" s="363"/>
      <c r="U148" s="363"/>
      <c r="V148" s="363"/>
      <c r="W148" s="363"/>
      <c r="X148" s="363"/>
      <c r="Y148" s="363"/>
      <c r="Z148" s="363"/>
    </row>
    <row r="149" spans="1:26" ht="13.5" customHeight="1" x14ac:dyDescent="0.2">
      <c r="A149" s="386">
        <f t="shared" si="0"/>
        <v>11</v>
      </c>
      <c r="B149" s="387">
        <f t="shared" si="5"/>
        <v>128</v>
      </c>
      <c r="C149" s="388">
        <f t="shared" si="6"/>
        <v>50010</v>
      </c>
      <c r="D149" s="389">
        <f t="shared" si="7"/>
        <v>1147229.1638764231</v>
      </c>
      <c r="E149" s="389">
        <f t="shared" si="1"/>
        <v>6453.1640468048799</v>
      </c>
      <c r="F149" s="389">
        <f t="shared" si="2"/>
        <v>3937.267994617273</v>
      </c>
      <c r="G149" s="389">
        <f t="shared" si="3"/>
        <v>1143291.8958818058</v>
      </c>
      <c r="H149" s="389">
        <f t="shared" si="4"/>
        <v>965840.82818971109</v>
      </c>
      <c r="I149" s="363"/>
      <c r="J149" s="363"/>
      <c r="K149" s="363"/>
      <c r="L149" s="363"/>
      <c r="M149" s="363"/>
      <c r="N149" s="363"/>
      <c r="O149" s="363"/>
      <c r="P149" s="363"/>
      <c r="Q149" s="363"/>
      <c r="R149" s="363"/>
      <c r="S149" s="363"/>
      <c r="T149" s="363"/>
      <c r="U149" s="363"/>
      <c r="V149" s="363"/>
      <c r="W149" s="363"/>
      <c r="X149" s="363"/>
      <c r="Y149" s="363"/>
      <c r="Z149" s="363"/>
    </row>
    <row r="150" spans="1:26" ht="13.5" customHeight="1" x14ac:dyDescent="0.2">
      <c r="A150" s="386">
        <f t="shared" si="0"/>
        <v>11</v>
      </c>
      <c r="B150" s="387">
        <f t="shared" si="5"/>
        <v>129</v>
      </c>
      <c r="C150" s="388">
        <f t="shared" si="6"/>
        <v>50041</v>
      </c>
      <c r="D150" s="389">
        <f t="shared" si="7"/>
        <v>1143291.8958818058</v>
      </c>
      <c r="E150" s="389">
        <f t="shared" si="1"/>
        <v>6431.0169143351586</v>
      </c>
      <c r="F150" s="389">
        <f t="shared" si="2"/>
        <v>3959.4151270869943</v>
      </c>
      <c r="G150" s="389">
        <f t="shared" si="3"/>
        <v>1139332.4807547189</v>
      </c>
      <c r="H150" s="389">
        <f t="shared" si="4"/>
        <v>972271.84510404628</v>
      </c>
      <c r="I150" s="363"/>
      <c r="J150" s="363"/>
      <c r="K150" s="363"/>
      <c r="L150" s="363"/>
      <c r="M150" s="363"/>
      <c r="N150" s="363"/>
      <c r="O150" s="363"/>
      <c r="P150" s="363"/>
      <c r="Q150" s="363"/>
      <c r="R150" s="363"/>
      <c r="S150" s="363"/>
      <c r="T150" s="363"/>
      <c r="U150" s="363"/>
      <c r="V150" s="363"/>
      <c r="W150" s="363"/>
      <c r="X150" s="363"/>
      <c r="Y150" s="363"/>
      <c r="Z150" s="363"/>
    </row>
    <row r="151" spans="1:26" ht="13.5" customHeight="1" x14ac:dyDescent="0.2">
      <c r="A151" s="386">
        <f t="shared" si="0"/>
        <v>11</v>
      </c>
      <c r="B151" s="387">
        <f t="shared" si="5"/>
        <v>130</v>
      </c>
      <c r="C151" s="388">
        <f t="shared" si="6"/>
        <v>50072</v>
      </c>
      <c r="D151" s="389">
        <f t="shared" si="7"/>
        <v>1139332.4807547189</v>
      </c>
      <c r="E151" s="389">
        <f t="shared" si="1"/>
        <v>6408.7452042452942</v>
      </c>
      <c r="F151" s="389">
        <f t="shared" si="2"/>
        <v>3981.6868371768587</v>
      </c>
      <c r="G151" s="389">
        <f t="shared" si="3"/>
        <v>1135350.7939175421</v>
      </c>
      <c r="H151" s="389">
        <f t="shared" si="4"/>
        <v>978680.5903082916</v>
      </c>
      <c r="I151" s="363"/>
      <c r="J151" s="363"/>
      <c r="K151" s="363"/>
      <c r="L151" s="363"/>
      <c r="M151" s="363"/>
      <c r="N151" s="363"/>
      <c r="O151" s="363"/>
      <c r="P151" s="363"/>
      <c r="Q151" s="363"/>
      <c r="R151" s="363"/>
      <c r="S151" s="363"/>
      <c r="T151" s="363"/>
      <c r="U151" s="363"/>
      <c r="V151" s="363"/>
      <c r="W151" s="363"/>
      <c r="X151" s="363"/>
      <c r="Y151" s="363"/>
      <c r="Z151" s="363"/>
    </row>
    <row r="152" spans="1:26" ht="13.5" customHeight="1" x14ac:dyDescent="0.2">
      <c r="A152" s="386">
        <f t="shared" si="0"/>
        <v>11</v>
      </c>
      <c r="B152" s="387">
        <f t="shared" si="5"/>
        <v>131</v>
      </c>
      <c r="C152" s="388">
        <f t="shared" si="6"/>
        <v>50100</v>
      </c>
      <c r="D152" s="389">
        <f t="shared" si="7"/>
        <v>1135350.7939175421</v>
      </c>
      <c r="E152" s="389">
        <f t="shared" si="1"/>
        <v>6386.3482157861754</v>
      </c>
      <c r="F152" s="389">
        <f t="shared" si="2"/>
        <v>4004.0838256359775</v>
      </c>
      <c r="G152" s="389">
        <f t="shared" si="3"/>
        <v>1131346.7100919061</v>
      </c>
      <c r="H152" s="389">
        <f t="shared" si="4"/>
        <v>985066.93852407776</v>
      </c>
      <c r="I152" s="363"/>
      <c r="J152" s="363"/>
      <c r="K152" s="363"/>
      <c r="L152" s="363"/>
      <c r="M152" s="363"/>
      <c r="N152" s="363"/>
      <c r="O152" s="363"/>
      <c r="P152" s="363"/>
      <c r="Q152" s="363"/>
      <c r="R152" s="363"/>
      <c r="S152" s="363"/>
      <c r="T152" s="363"/>
      <c r="U152" s="363"/>
      <c r="V152" s="363"/>
      <c r="W152" s="363"/>
      <c r="X152" s="363"/>
      <c r="Y152" s="363"/>
      <c r="Z152" s="363"/>
    </row>
    <row r="153" spans="1:26" ht="13.5" customHeight="1" x14ac:dyDescent="0.2">
      <c r="A153" s="386">
        <f t="shared" si="0"/>
        <v>11</v>
      </c>
      <c r="B153" s="387">
        <f t="shared" si="5"/>
        <v>132</v>
      </c>
      <c r="C153" s="388">
        <f t="shared" si="6"/>
        <v>50131</v>
      </c>
      <c r="D153" s="389">
        <f t="shared" si="7"/>
        <v>1131346.7100919061</v>
      </c>
      <c r="E153" s="389">
        <f t="shared" si="1"/>
        <v>6363.8252442669727</v>
      </c>
      <c r="F153" s="389">
        <f t="shared" si="2"/>
        <v>4026.6067971551802</v>
      </c>
      <c r="G153" s="389">
        <f t="shared" si="3"/>
        <v>1127320.1032947509</v>
      </c>
      <c r="H153" s="389">
        <f t="shared" si="4"/>
        <v>991430.76376834477</v>
      </c>
      <c r="I153" s="363"/>
      <c r="J153" s="363"/>
      <c r="K153" s="363"/>
      <c r="L153" s="363"/>
      <c r="M153" s="363"/>
      <c r="N153" s="363"/>
      <c r="O153" s="363"/>
      <c r="P153" s="363"/>
      <c r="Q153" s="363"/>
      <c r="R153" s="363"/>
      <c r="S153" s="363"/>
      <c r="T153" s="363"/>
      <c r="U153" s="363"/>
      <c r="V153" s="363"/>
      <c r="W153" s="363"/>
      <c r="X153" s="363"/>
      <c r="Y153" s="363"/>
      <c r="Z153" s="363"/>
    </row>
    <row r="154" spans="1:26" ht="13.5" customHeight="1" x14ac:dyDescent="0.2">
      <c r="A154" s="386">
        <f t="shared" si="0"/>
        <v>12</v>
      </c>
      <c r="B154" s="387">
        <f t="shared" si="5"/>
        <v>133</v>
      </c>
      <c r="C154" s="388">
        <f t="shared" si="6"/>
        <v>50161</v>
      </c>
      <c r="D154" s="389">
        <f t="shared" si="7"/>
        <v>1127320.1032947509</v>
      </c>
      <c r="E154" s="389">
        <f t="shared" si="1"/>
        <v>6341.1755810329742</v>
      </c>
      <c r="F154" s="389">
        <f t="shared" si="2"/>
        <v>4049.2564603891788</v>
      </c>
      <c r="G154" s="389">
        <f t="shared" si="3"/>
        <v>1123270.8468343618</v>
      </c>
      <c r="H154" s="389">
        <f t="shared" si="4"/>
        <v>997771.93934937776</v>
      </c>
      <c r="I154" s="363"/>
      <c r="J154" s="363"/>
      <c r="K154" s="363"/>
      <c r="L154" s="363"/>
      <c r="M154" s="363"/>
      <c r="N154" s="363"/>
      <c r="O154" s="363"/>
      <c r="P154" s="363"/>
      <c r="Q154" s="363"/>
      <c r="R154" s="363"/>
      <c r="S154" s="363"/>
      <c r="T154" s="363"/>
      <c r="U154" s="363"/>
      <c r="V154" s="363"/>
      <c r="W154" s="363"/>
      <c r="X154" s="363"/>
      <c r="Y154" s="363"/>
      <c r="Z154" s="363"/>
    </row>
    <row r="155" spans="1:26" ht="13.5" customHeight="1" x14ac:dyDescent="0.2">
      <c r="A155" s="386">
        <f t="shared" si="0"/>
        <v>12</v>
      </c>
      <c r="B155" s="387">
        <f t="shared" si="5"/>
        <v>134</v>
      </c>
      <c r="C155" s="388">
        <f t="shared" si="6"/>
        <v>50192</v>
      </c>
      <c r="D155" s="389">
        <f t="shared" si="7"/>
        <v>1123270.8468343618</v>
      </c>
      <c r="E155" s="389">
        <f t="shared" si="1"/>
        <v>6318.3985134432851</v>
      </c>
      <c r="F155" s="389">
        <f t="shared" si="2"/>
        <v>4072.0335279788678</v>
      </c>
      <c r="G155" s="389">
        <f t="shared" si="3"/>
        <v>1119198.8133063829</v>
      </c>
      <c r="H155" s="389">
        <f t="shared" si="4"/>
        <v>1004090.3378628211</v>
      </c>
      <c r="I155" s="363"/>
      <c r="J155" s="363"/>
      <c r="K155" s="363"/>
      <c r="L155" s="363"/>
      <c r="M155" s="363"/>
      <c r="N155" s="363"/>
      <c r="O155" s="363"/>
      <c r="P155" s="363"/>
      <c r="Q155" s="363"/>
      <c r="R155" s="363"/>
      <c r="S155" s="363"/>
      <c r="T155" s="363"/>
      <c r="U155" s="363"/>
      <c r="V155" s="363"/>
      <c r="W155" s="363"/>
      <c r="X155" s="363"/>
      <c r="Y155" s="363"/>
      <c r="Z155" s="363"/>
    </row>
    <row r="156" spans="1:26" ht="13.5" customHeight="1" x14ac:dyDescent="0.2">
      <c r="A156" s="386">
        <f t="shared" si="0"/>
        <v>12</v>
      </c>
      <c r="B156" s="387">
        <f t="shared" si="5"/>
        <v>135</v>
      </c>
      <c r="C156" s="388">
        <f t="shared" si="6"/>
        <v>50222</v>
      </c>
      <c r="D156" s="389">
        <f t="shared" si="7"/>
        <v>1119198.8133063829</v>
      </c>
      <c r="E156" s="389">
        <f t="shared" si="1"/>
        <v>6295.493324848404</v>
      </c>
      <c r="F156" s="389">
        <f t="shared" si="2"/>
        <v>4094.9387165737489</v>
      </c>
      <c r="G156" s="389">
        <f t="shared" si="3"/>
        <v>1115103.8745898092</v>
      </c>
      <c r="H156" s="389">
        <f t="shared" si="4"/>
        <v>1010385.8311876694</v>
      </c>
      <c r="I156" s="363"/>
      <c r="J156" s="363"/>
      <c r="K156" s="363"/>
      <c r="L156" s="363"/>
      <c r="M156" s="363"/>
      <c r="N156" s="363"/>
      <c r="O156" s="363"/>
      <c r="P156" s="363"/>
      <c r="Q156" s="363"/>
      <c r="R156" s="363"/>
      <c r="S156" s="363"/>
      <c r="T156" s="363"/>
      <c r="U156" s="363"/>
      <c r="V156" s="363"/>
      <c r="W156" s="363"/>
      <c r="X156" s="363"/>
      <c r="Y156" s="363"/>
      <c r="Z156" s="363"/>
    </row>
    <row r="157" spans="1:26" ht="13.5" customHeight="1" x14ac:dyDescent="0.2">
      <c r="A157" s="386">
        <f t="shared" si="0"/>
        <v>12</v>
      </c>
      <c r="B157" s="387">
        <f t="shared" si="5"/>
        <v>136</v>
      </c>
      <c r="C157" s="388">
        <f t="shared" si="6"/>
        <v>50253</v>
      </c>
      <c r="D157" s="389">
        <f t="shared" si="7"/>
        <v>1115103.8745898092</v>
      </c>
      <c r="E157" s="389">
        <f t="shared" si="1"/>
        <v>6272.4592945676777</v>
      </c>
      <c r="F157" s="389">
        <f t="shared" si="2"/>
        <v>4117.9727468544752</v>
      </c>
      <c r="G157" s="389">
        <f t="shared" si="3"/>
        <v>1110985.9018429548</v>
      </c>
      <c r="H157" s="389">
        <f t="shared" si="4"/>
        <v>1016658.2904822371</v>
      </c>
      <c r="I157" s="363"/>
      <c r="J157" s="363"/>
      <c r="K157" s="363"/>
      <c r="L157" s="363"/>
      <c r="M157" s="363"/>
      <c r="N157" s="363"/>
      <c r="O157" s="363"/>
      <c r="P157" s="363"/>
      <c r="Q157" s="363"/>
      <c r="R157" s="363"/>
      <c r="S157" s="363"/>
      <c r="T157" s="363"/>
      <c r="U157" s="363"/>
      <c r="V157" s="363"/>
      <c r="W157" s="363"/>
      <c r="X157" s="363"/>
      <c r="Y157" s="363"/>
      <c r="Z157" s="363"/>
    </row>
    <row r="158" spans="1:26" ht="13.5" customHeight="1" x14ac:dyDescent="0.2">
      <c r="A158" s="386">
        <f t="shared" si="0"/>
        <v>12</v>
      </c>
      <c r="B158" s="387">
        <f t="shared" si="5"/>
        <v>137</v>
      </c>
      <c r="C158" s="388">
        <f t="shared" si="6"/>
        <v>50284</v>
      </c>
      <c r="D158" s="389">
        <f t="shared" si="7"/>
        <v>1110985.9018429548</v>
      </c>
      <c r="E158" s="389">
        <f t="shared" si="1"/>
        <v>6249.2956978666216</v>
      </c>
      <c r="F158" s="389">
        <f t="shared" si="2"/>
        <v>4141.1363435555313</v>
      </c>
      <c r="G158" s="389">
        <f t="shared" si="3"/>
        <v>1106844.7654993993</v>
      </c>
      <c r="H158" s="389">
        <f t="shared" si="4"/>
        <v>1022907.5861801037</v>
      </c>
      <c r="I158" s="363"/>
      <c r="J158" s="363"/>
      <c r="K158" s="363"/>
      <c r="L158" s="363"/>
      <c r="M158" s="363"/>
      <c r="N158" s="363"/>
      <c r="O158" s="363"/>
      <c r="P158" s="363"/>
      <c r="Q158" s="363"/>
      <c r="R158" s="363"/>
      <c r="S158" s="363"/>
      <c r="T158" s="363"/>
      <c r="U158" s="363"/>
      <c r="V158" s="363"/>
      <c r="W158" s="363"/>
      <c r="X158" s="363"/>
      <c r="Y158" s="363"/>
      <c r="Z158" s="363"/>
    </row>
    <row r="159" spans="1:26" ht="13.5" customHeight="1" x14ac:dyDescent="0.2">
      <c r="A159" s="386">
        <f t="shared" si="0"/>
        <v>12</v>
      </c>
      <c r="B159" s="387">
        <f t="shared" si="5"/>
        <v>138</v>
      </c>
      <c r="C159" s="388">
        <f t="shared" si="6"/>
        <v>50314</v>
      </c>
      <c r="D159" s="389">
        <f t="shared" si="7"/>
        <v>1106844.7654993993</v>
      </c>
      <c r="E159" s="389">
        <f t="shared" si="1"/>
        <v>6226.001805934121</v>
      </c>
      <c r="F159" s="389">
        <f t="shared" si="2"/>
        <v>4164.4302354880319</v>
      </c>
      <c r="G159" s="389">
        <f t="shared" si="3"/>
        <v>1102680.3352639112</v>
      </c>
      <c r="H159" s="389">
        <f t="shared" si="4"/>
        <v>1029133.5879860378</v>
      </c>
      <c r="I159" s="363"/>
      <c r="J159" s="363"/>
      <c r="K159" s="363"/>
      <c r="L159" s="363"/>
      <c r="M159" s="363"/>
      <c r="N159" s="363"/>
      <c r="O159" s="363"/>
      <c r="P159" s="363"/>
      <c r="Q159" s="363"/>
      <c r="R159" s="363"/>
      <c r="S159" s="363"/>
      <c r="T159" s="363"/>
      <c r="U159" s="363"/>
      <c r="V159" s="363"/>
      <c r="W159" s="363"/>
      <c r="X159" s="363"/>
      <c r="Y159" s="363"/>
      <c r="Z159" s="363"/>
    </row>
    <row r="160" spans="1:26" ht="13.5" customHeight="1" x14ac:dyDescent="0.2">
      <c r="A160" s="386">
        <f t="shared" si="0"/>
        <v>12</v>
      </c>
      <c r="B160" s="387">
        <f t="shared" si="5"/>
        <v>139</v>
      </c>
      <c r="C160" s="388">
        <f t="shared" si="6"/>
        <v>50345</v>
      </c>
      <c r="D160" s="389">
        <f t="shared" si="7"/>
        <v>1102680.3352639112</v>
      </c>
      <c r="E160" s="389">
        <f t="shared" si="1"/>
        <v>6202.5768858595002</v>
      </c>
      <c r="F160" s="389">
        <f t="shared" si="2"/>
        <v>4187.8551555626527</v>
      </c>
      <c r="G160" s="389">
        <f t="shared" si="3"/>
        <v>1098492.4801083484</v>
      </c>
      <c r="H160" s="389">
        <f t="shared" si="4"/>
        <v>1035336.1648718973</v>
      </c>
      <c r="I160" s="363"/>
      <c r="J160" s="363"/>
      <c r="K160" s="363"/>
      <c r="L160" s="363"/>
      <c r="M160" s="363"/>
      <c r="N160" s="363"/>
      <c r="O160" s="363"/>
      <c r="P160" s="363"/>
      <c r="Q160" s="363"/>
      <c r="R160" s="363"/>
      <c r="S160" s="363"/>
      <c r="T160" s="363"/>
      <c r="U160" s="363"/>
      <c r="V160" s="363"/>
      <c r="W160" s="363"/>
      <c r="X160" s="363"/>
      <c r="Y160" s="363"/>
      <c r="Z160" s="363"/>
    </row>
    <row r="161" spans="1:26" ht="13.5" customHeight="1" x14ac:dyDescent="0.2">
      <c r="A161" s="386">
        <f t="shared" si="0"/>
        <v>12</v>
      </c>
      <c r="B161" s="387">
        <f t="shared" si="5"/>
        <v>140</v>
      </c>
      <c r="C161" s="388">
        <f t="shared" si="6"/>
        <v>50375</v>
      </c>
      <c r="D161" s="389">
        <f t="shared" si="7"/>
        <v>1098492.4801083484</v>
      </c>
      <c r="E161" s="389">
        <f t="shared" si="1"/>
        <v>6179.0202006094596</v>
      </c>
      <c r="F161" s="389">
        <f t="shared" si="2"/>
        <v>4211.4118408126933</v>
      </c>
      <c r="G161" s="389">
        <f t="shared" si="3"/>
        <v>1094281.0682675357</v>
      </c>
      <c r="H161" s="389">
        <f t="shared" si="4"/>
        <v>1041515.1850725068</v>
      </c>
      <c r="I161" s="363"/>
      <c r="J161" s="363"/>
      <c r="K161" s="363"/>
      <c r="L161" s="363"/>
      <c r="M161" s="363"/>
      <c r="N161" s="363"/>
      <c r="O161" s="363"/>
      <c r="P161" s="363"/>
      <c r="Q161" s="363"/>
      <c r="R161" s="363"/>
      <c r="S161" s="363"/>
      <c r="T161" s="363"/>
      <c r="U161" s="363"/>
      <c r="V161" s="363"/>
      <c r="W161" s="363"/>
      <c r="X161" s="363"/>
      <c r="Y161" s="363"/>
      <c r="Z161" s="363"/>
    </row>
    <row r="162" spans="1:26" ht="13.5" customHeight="1" x14ac:dyDescent="0.2">
      <c r="A162" s="386">
        <f t="shared" si="0"/>
        <v>12</v>
      </c>
      <c r="B162" s="387">
        <f t="shared" si="5"/>
        <v>141</v>
      </c>
      <c r="C162" s="388">
        <f t="shared" si="6"/>
        <v>50406</v>
      </c>
      <c r="D162" s="389">
        <f t="shared" si="7"/>
        <v>1094281.0682675357</v>
      </c>
      <c r="E162" s="389">
        <f t="shared" si="1"/>
        <v>6155.3310090048881</v>
      </c>
      <c r="F162" s="389">
        <f t="shared" si="2"/>
        <v>4235.1010324172648</v>
      </c>
      <c r="G162" s="389">
        <f t="shared" si="3"/>
        <v>1090045.9672351184</v>
      </c>
      <c r="H162" s="389">
        <f t="shared" si="4"/>
        <v>1047670.5160815116</v>
      </c>
      <c r="I162" s="363"/>
      <c r="J162" s="363"/>
      <c r="K162" s="363"/>
      <c r="L162" s="363"/>
      <c r="M162" s="363"/>
      <c r="N162" s="363"/>
      <c r="O162" s="363"/>
      <c r="P162" s="363"/>
      <c r="Q162" s="363"/>
      <c r="R162" s="363"/>
      <c r="S162" s="363"/>
      <c r="T162" s="363"/>
      <c r="U162" s="363"/>
      <c r="V162" s="363"/>
      <c r="W162" s="363"/>
      <c r="X162" s="363"/>
      <c r="Y162" s="363"/>
      <c r="Z162" s="363"/>
    </row>
    <row r="163" spans="1:26" ht="13.5" customHeight="1" x14ac:dyDescent="0.2">
      <c r="A163" s="386">
        <f t="shared" si="0"/>
        <v>12</v>
      </c>
      <c r="B163" s="387">
        <f t="shared" si="5"/>
        <v>142</v>
      </c>
      <c r="C163" s="388">
        <f t="shared" si="6"/>
        <v>50437</v>
      </c>
      <c r="D163" s="389">
        <f t="shared" si="7"/>
        <v>1090045.9672351184</v>
      </c>
      <c r="E163" s="389">
        <f t="shared" si="1"/>
        <v>6131.5085656975416</v>
      </c>
      <c r="F163" s="389">
        <f t="shared" si="2"/>
        <v>4258.9234757246113</v>
      </c>
      <c r="G163" s="389">
        <f t="shared" si="3"/>
        <v>1085787.0437593937</v>
      </c>
      <c r="H163" s="389">
        <f t="shared" si="4"/>
        <v>1053802.0246472091</v>
      </c>
      <c r="I163" s="363"/>
      <c r="J163" s="363"/>
      <c r="K163" s="363"/>
      <c r="L163" s="363"/>
      <c r="M163" s="363"/>
      <c r="N163" s="363"/>
      <c r="O163" s="363"/>
      <c r="P163" s="363"/>
      <c r="Q163" s="363"/>
      <c r="R163" s="363"/>
      <c r="S163" s="363"/>
      <c r="T163" s="363"/>
      <c r="U163" s="363"/>
      <c r="V163" s="363"/>
      <c r="W163" s="363"/>
      <c r="X163" s="363"/>
      <c r="Y163" s="363"/>
      <c r="Z163" s="363"/>
    </row>
    <row r="164" spans="1:26" ht="13.5" customHeight="1" x14ac:dyDescent="0.2">
      <c r="A164" s="386">
        <f t="shared" si="0"/>
        <v>12</v>
      </c>
      <c r="B164" s="387">
        <f t="shared" si="5"/>
        <v>143</v>
      </c>
      <c r="C164" s="388">
        <f t="shared" si="6"/>
        <v>50465</v>
      </c>
      <c r="D164" s="389">
        <f t="shared" si="7"/>
        <v>1085787.0437593937</v>
      </c>
      <c r="E164" s="389">
        <f t="shared" si="1"/>
        <v>6107.5521211465903</v>
      </c>
      <c r="F164" s="389">
        <f t="shared" si="2"/>
        <v>4282.8799202755627</v>
      </c>
      <c r="G164" s="389">
        <f t="shared" si="3"/>
        <v>1081504.1638391181</v>
      </c>
      <c r="H164" s="389">
        <f t="shared" si="4"/>
        <v>1059909.5767683557</v>
      </c>
      <c r="I164" s="363"/>
      <c r="J164" s="363"/>
      <c r="K164" s="363"/>
      <c r="L164" s="363"/>
      <c r="M164" s="363"/>
      <c r="N164" s="363"/>
      <c r="O164" s="363"/>
      <c r="P164" s="363"/>
      <c r="Q164" s="363"/>
      <c r="R164" s="363"/>
      <c r="S164" s="363"/>
      <c r="T164" s="363"/>
      <c r="U164" s="363"/>
      <c r="V164" s="363"/>
      <c r="W164" s="363"/>
      <c r="X164" s="363"/>
      <c r="Y164" s="363"/>
      <c r="Z164" s="363"/>
    </row>
    <row r="165" spans="1:26" ht="13.5" customHeight="1" x14ac:dyDescent="0.2">
      <c r="A165" s="386">
        <f t="shared" si="0"/>
        <v>12</v>
      </c>
      <c r="B165" s="387">
        <f t="shared" si="5"/>
        <v>144</v>
      </c>
      <c r="C165" s="388">
        <f t="shared" si="6"/>
        <v>50496</v>
      </c>
      <c r="D165" s="389">
        <f t="shared" si="7"/>
        <v>1081504.1638391181</v>
      </c>
      <c r="E165" s="389">
        <f t="shared" si="1"/>
        <v>6083.4609215950395</v>
      </c>
      <c r="F165" s="389">
        <f t="shared" si="2"/>
        <v>4306.9711198271134</v>
      </c>
      <c r="G165" s="389">
        <f t="shared" si="3"/>
        <v>1077197.192719291</v>
      </c>
      <c r="H165" s="389">
        <f t="shared" si="4"/>
        <v>1065993.0376899508</v>
      </c>
      <c r="I165" s="363"/>
      <c r="J165" s="363"/>
      <c r="K165" s="363"/>
      <c r="L165" s="363"/>
      <c r="M165" s="363"/>
      <c r="N165" s="363"/>
      <c r="O165" s="363"/>
      <c r="P165" s="363"/>
      <c r="Q165" s="363"/>
      <c r="R165" s="363"/>
      <c r="S165" s="363"/>
      <c r="T165" s="363"/>
      <c r="U165" s="363"/>
      <c r="V165" s="363"/>
      <c r="W165" s="363"/>
      <c r="X165" s="363"/>
      <c r="Y165" s="363"/>
      <c r="Z165" s="363"/>
    </row>
    <row r="166" spans="1:26" ht="13.5" customHeight="1" x14ac:dyDescent="0.2">
      <c r="A166" s="386">
        <f t="shared" si="0"/>
        <v>13</v>
      </c>
      <c r="B166" s="387">
        <f t="shared" si="5"/>
        <v>145</v>
      </c>
      <c r="C166" s="388">
        <f t="shared" si="6"/>
        <v>50526</v>
      </c>
      <c r="D166" s="389">
        <f t="shared" si="7"/>
        <v>1077197.192719291</v>
      </c>
      <c r="E166" s="389">
        <f t="shared" si="1"/>
        <v>6059.2342090460115</v>
      </c>
      <c r="F166" s="389">
        <f t="shared" si="2"/>
        <v>4331.1978323761414</v>
      </c>
      <c r="G166" s="389">
        <f t="shared" si="3"/>
        <v>1072865.9948869147</v>
      </c>
      <c r="H166" s="389">
        <f t="shared" si="4"/>
        <v>1072052.2718989968</v>
      </c>
      <c r="I166" s="363"/>
      <c r="J166" s="363"/>
      <c r="K166" s="363"/>
      <c r="L166" s="363"/>
      <c r="M166" s="363"/>
      <c r="N166" s="363"/>
      <c r="O166" s="363"/>
      <c r="P166" s="363"/>
      <c r="Q166" s="363"/>
      <c r="R166" s="363"/>
      <c r="S166" s="363"/>
      <c r="T166" s="363"/>
      <c r="U166" s="363"/>
      <c r="V166" s="363"/>
      <c r="W166" s="363"/>
      <c r="X166" s="363"/>
      <c r="Y166" s="363"/>
      <c r="Z166" s="363"/>
    </row>
    <row r="167" spans="1:26" ht="13.5" customHeight="1" x14ac:dyDescent="0.2">
      <c r="A167" s="386">
        <f t="shared" si="0"/>
        <v>13</v>
      </c>
      <c r="B167" s="387">
        <f t="shared" si="5"/>
        <v>146</v>
      </c>
      <c r="C167" s="388">
        <f t="shared" si="6"/>
        <v>50557</v>
      </c>
      <c r="D167" s="389">
        <f t="shared" si="7"/>
        <v>1072865.9948869147</v>
      </c>
      <c r="E167" s="389">
        <f t="shared" si="1"/>
        <v>6034.8712212388955</v>
      </c>
      <c r="F167" s="389">
        <f t="shared" si="2"/>
        <v>4355.5608201832574</v>
      </c>
      <c r="G167" s="389">
        <f t="shared" si="3"/>
        <v>1068510.4340667315</v>
      </c>
      <c r="H167" s="389">
        <f t="shared" si="4"/>
        <v>1078087.1431202358</v>
      </c>
      <c r="I167" s="363"/>
      <c r="J167" s="363"/>
      <c r="K167" s="363"/>
      <c r="L167" s="363"/>
      <c r="M167" s="363"/>
      <c r="N167" s="363"/>
      <c r="O167" s="363"/>
      <c r="P167" s="363"/>
      <c r="Q167" s="363"/>
      <c r="R167" s="363"/>
      <c r="S167" s="363"/>
      <c r="T167" s="363"/>
      <c r="U167" s="363"/>
      <c r="V167" s="363"/>
      <c r="W167" s="363"/>
      <c r="X167" s="363"/>
      <c r="Y167" s="363"/>
      <c r="Z167" s="363"/>
    </row>
    <row r="168" spans="1:26" ht="13.5" customHeight="1" x14ac:dyDescent="0.2">
      <c r="A168" s="386">
        <f t="shared" si="0"/>
        <v>13</v>
      </c>
      <c r="B168" s="387">
        <f t="shared" si="5"/>
        <v>147</v>
      </c>
      <c r="C168" s="388">
        <f t="shared" si="6"/>
        <v>50587</v>
      </c>
      <c r="D168" s="389">
        <f t="shared" si="7"/>
        <v>1068510.4340667315</v>
      </c>
      <c r="E168" s="389">
        <f t="shared" si="1"/>
        <v>6010.3711916253642</v>
      </c>
      <c r="F168" s="389">
        <f t="shared" si="2"/>
        <v>4380.0608497967887</v>
      </c>
      <c r="G168" s="389">
        <f t="shared" si="3"/>
        <v>1064130.3732169347</v>
      </c>
      <c r="H168" s="389">
        <f t="shared" si="4"/>
        <v>1084097.514311861</v>
      </c>
      <c r="I168" s="363"/>
      <c r="J168" s="363"/>
      <c r="K168" s="363"/>
      <c r="L168" s="363"/>
      <c r="M168" s="363"/>
      <c r="N168" s="363"/>
      <c r="O168" s="363"/>
      <c r="P168" s="363"/>
      <c r="Q168" s="363"/>
      <c r="R168" s="363"/>
      <c r="S168" s="363"/>
      <c r="T168" s="363"/>
      <c r="U168" s="363"/>
      <c r="V168" s="363"/>
      <c r="W168" s="363"/>
      <c r="X168" s="363"/>
      <c r="Y168" s="363"/>
      <c r="Z168" s="363"/>
    </row>
    <row r="169" spans="1:26" ht="13.5" customHeight="1" x14ac:dyDescent="0.2">
      <c r="A169" s="386">
        <f t="shared" si="0"/>
        <v>13</v>
      </c>
      <c r="B169" s="387">
        <f t="shared" si="5"/>
        <v>148</v>
      </c>
      <c r="C169" s="388">
        <f t="shared" si="6"/>
        <v>50618</v>
      </c>
      <c r="D169" s="389">
        <f t="shared" si="7"/>
        <v>1064130.3732169347</v>
      </c>
      <c r="E169" s="389">
        <f t="shared" si="1"/>
        <v>5985.7333493452579</v>
      </c>
      <c r="F169" s="389">
        <f t="shared" si="2"/>
        <v>4404.698692076895</v>
      </c>
      <c r="G169" s="389">
        <f t="shared" si="3"/>
        <v>1059725.6745248579</v>
      </c>
      <c r="H169" s="389">
        <f t="shared" si="4"/>
        <v>1090083.2476612062</v>
      </c>
      <c r="I169" s="363"/>
      <c r="J169" s="363"/>
      <c r="K169" s="363"/>
      <c r="L169" s="363"/>
      <c r="M169" s="363"/>
      <c r="N169" s="363"/>
      <c r="O169" s="363"/>
      <c r="P169" s="363"/>
      <c r="Q169" s="363"/>
      <c r="R169" s="363"/>
      <c r="S169" s="363"/>
      <c r="T169" s="363"/>
      <c r="U169" s="363"/>
      <c r="V169" s="363"/>
      <c r="W169" s="363"/>
      <c r="X169" s="363"/>
      <c r="Y169" s="363"/>
      <c r="Z169" s="363"/>
    </row>
    <row r="170" spans="1:26" ht="13.5" customHeight="1" x14ac:dyDescent="0.2">
      <c r="A170" s="386">
        <f t="shared" si="0"/>
        <v>13</v>
      </c>
      <c r="B170" s="387">
        <f t="shared" si="5"/>
        <v>149</v>
      </c>
      <c r="C170" s="388">
        <f t="shared" si="6"/>
        <v>50649</v>
      </c>
      <c r="D170" s="389">
        <f t="shared" si="7"/>
        <v>1059725.6745248579</v>
      </c>
      <c r="E170" s="389">
        <f t="shared" si="1"/>
        <v>5960.9569192023264</v>
      </c>
      <c r="F170" s="389">
        <f t="shared" si="2"/>
        <v>4429.4751222198265</v>
      </c>
      <c r="G170" s="389">
        <f t="shared" si="3"/>
        <v>1055296.199402638</v>
      </c>
      <c r="H170" s="389">
        <f t="shared" si="4"/>
        <v>1096044.2045804085</v>
      </c>
      <c r="I170" s="363"/>
      <c r="J170" s="363"/>
      <c r="K170" s="363"/>
      <c r="L170" s="363"/>
      <c r="M170" s="363"/>
      <c r="N170" s="363"/>
      <c r="O170" s="363"/>
      <c r="P170" s="363"/>
      <c r="Q170" s="363"/>
      <c r="R170" s="363"/>
      <c r="S170" s="363"/>
      <c r="T170" s="363"/>
      <c r="U170" s="363"/>
      <c r="V170" s="363"/>
      <c r="W170" s="363"/>
      <c r="X170" s="363"/>
      <c r="Y170" s="363"/>
      <c r="Z170" s="363"/>
    </row>
    <row r="171" spans="1:26" ht="13.5" customHeight="1" x14ac:dyDescent="0.2">
      <c r="A171" s="386">
        <f t="shared" si="0"/>
        <v>13</v>
      </c>
      <c r="B171" s="387">
        <f t="shared" si="5"/>
        <v>150</v>
      </c>
      <c r="C171" s="388">
        <f t="shared" si="6"/>
        <v>50679</v>
      </c>
      <c r="D171" s="389">
        <f t="shared" si="7"/>
        <v>1055296.199402638</v>
      </c>
      <c r="E171" s="389">
        <f t="shared" si="1"/>
        <v>5936.0411216398388</v>
      </c>
      <c r="F171" s="389">
        <f t="shared" si="2"/>
        <v>4454.3909197823141</v>
      </c>
      <c r="G171" s="389">
        <f t="shared" si="3"/>
        <v>1050841.8084828558</v>
      </c>
      <c r="H171" s="389">
        <f t="shared" si="4"/>
        <v>1101980.2457020483</v>
      </c>
      <c r="I171" s="363"/>
      <c r="J171" s="363"/>
      <c r="K171" s="363"/>
      <c r="L171" s="363"/>
      <c r="M171" s="363"/>
      <c r="N171" s="363"/>
      <c r="O171" s="363"/>
      <c r="P171" s="363"/>
      <c r="Q171" s="363"/>
      <c r="R171" s="363"/>
      <c r="S171" s="363"/>
      <c r="T171" s="363"/>
      <c r="U171" s="363"/>
      <c r="V171" s="363"/>
      <c r="W171" s="363"/>
      <c r="X171" s="363"/>
      <c r="Y171" s="363"/>
      <c r="Z171" s="363"/>
    </row>
    <row r="172" spans="1:26" ht="13.5" customHeight="1" x14ac:dyDescent="0.2">
      <c r="A172" s="386">
        <f t="shared" si="0"/>
        <v>13</v>
      </c>
      <c r="B172" s="387">
        <f t="shared" si="5"/>
        <v>151</v>
      </c>
      <c r="C172" s="388">
        <f t="shared" si="6"/>
        <v>50710</v>
      </c>
      <c r="D172" s="389">
        <f t="shared" si="7"/>
        <v>1050841.8084828558</v>
      </c>
      <c r="E172" s="389">
        <f t="shared" si="1"/>
        <v>5910.985172716064</v>
      </c>
      <c r="F172" s="389">
        <f t="shared" si="2"/>
        <v>4479.4468687060889</v>
      </c>
      <c r="G172" s="389">
        <f t="shared" si="3"/>
        <v>1046362.3616141496</v>
      </c>
      <c r="H172" s="389">
        <f t="shared" si="4"/>
        <v>1107891.2308747643</v>
      </c>
      <c r="I172" s="363"/>
      <c r="J172" s="363"/>
      <c r="K172" s="363"/>
      <c r="L172" s="363"/>
      <c r="M172" s="363"/>
      <c r="N172" s="363"/>
      <c r="O172" s="363"/>
      <c r="P172" s="363"/>
      <c r="Q172" s="363"/>
      <c r="R172" s="363"/>
      <c r="S172" s="363"/>
      <c r="T172" s="363"/>
      <c r="U172" s="363"/>
      <c r="V172" s="363"/>
      <c r="W172" s="363"/>
      <c r="X172" s="363"/>
      <c r="Y172" s="363"/>
      <c r="Z172" s="363"/>
    </row>
    <row r="173" spans="1:26" ht="13.5" customHeight="1" x14ac:dyDescent="0.2">
      <c r="A173" s="386">
        <f t="shared" si="0"/>
        <v>13</v>
      </c>
      <c r="B173" s="387">
        <f t="shared" si="5"/>
        <v>152</v>
      </c>
      <c r="C173" s="388">
        <f t="shared" si="6"/>
        <v>50740</v>
      </c>
      <c r="D173" s="389">
        <f t="shared" si="7"/>
        <v>1046362.3616141496</v>
      </c>
      <c r="E173" s="389">
        <f t="shared" si="1"/>
        <v>5885.7882840795928</v>
      </c>
      <c r="F173" s="389">
        <f t="shared" si="2"/>
        <v>4504.6437573425601</v>
      </c>
      <c r="G173" s="389">
        <f t="shared" si="3"/>
        <v>1041857.7178568071</v>
      </c>
      <c r="H173" s="389">
        <f t="shared" si="4"/>
        <v>1113777.0191588439</v>
      </c>
      <c r="I173" s="363"/>
      <c r="J173" s="363"/>
      <c r="K173" s="363"/>
      <c r="L173" s="363"/>
      <c r="M173" s="363"/>
      <c r="N173" s="363"/>
      <c r="O173" s="363"/>
      <c r="P173" s="363"/>
      <c r="Q173" s="363"/>
      <c r="R173" s="363"/>
      <c r="S173" s="363"/>
      <c r="T173" s="363"/>
      <c r="U173" s="363"/>
      <c r="V173" s="363"/>
      <c r="W173" s="363"/>
      <c r="X173" s="363"/>
      <c r="Y173" s="363"/>
      <c r="Z173" s="363"/>
    </row>
    <row r="174" spans="1:26" ht="13.5" customHeight="1" x14ac:dyDescent="0.2">
      <c r="A174" s="386">
        <f t="shared" si="0"/>
        <v>13</v>
      </c>
      <c r="B174" s="387">
        <f t="shared" si="5"/>
        <v>153</v>
      </c>
      <c r="C174" s="388">
        <f t="shared" si="6"/>
        <v>50771</v>
      </c>
      <c r="D174" s="389">
        <f t="shared" si="7"/>
        <v>1041857.7178568071</v>
      </c>
      <c r="E174" s="389">
        <f t="shared" si="1"/>
        <v>5860.4496629445393</v>
      </c>
      <c r="F174" s="389">
        <f t="shared" si="2"/>
        <v>4529.9823784776136</v>
      </c>
      <c r="G174" s="389">
        <f t="shared" si="3"/>
        <v>1037327.7354783295</v>
      </c>
      <c r="H174" s="389">
        <f t="shared" si="4"/>
        <v>1119637.4688217884</v>
      </c>
      <c r="I174" s="363"/>
      <c r="J174" s="363"/>
      <c r="K174" s="363"/>
      <c r="L174" s="363"/>
      <c r="M174" s="363"/>
      <c r="N174" s="363"/>
      <c r="O174" s="363"/>
      <c r="P174" s="363"/>
      <c r="Q174" s="363"/>
      <c r="R174" s="363"/>
      <c r="S174" s="363"/>
      <c r="T174" s="363"/>
      <c r="U174" s="363"/>
      <c r="V174" s="363"/>
      <c r="W174" s="363"/>
      <c r="X174" s="363"/>
      <c r="Y174" s="363"/>
      <c r="Z174" s="363"/>
    </row>
    <row r="175" spans="1:26" ht="13.5" customHeight="1" x14ac:dyDescent="0.2">
      <c r="A175" s="386">
        <f t="shared" si="0"/>
        <v>13</v>
      </c>
      <c r="B175" s="387">
        <f t="shared" si="5"/>
        <v>154</v>
      </c>
      <c r="C175" s="388">
        <f t="shared" si="6"/>
        <v>50802</v>
      </c>
      <c r="D175" s="389">
        <f t="shared" si="7"/>
        <v>1037327.7354783295</v>
      </c>
      <c r="E175" s="389">
        <f t="shared" si="1"/>
        <v>5834.9685120656031</v>
      </c>
      <c r="F175" s="389">
        <f t="shared" si="2"/>
        <v>4555.4635293565498</v>
      </c>
      <c r="G175" s="389">
        <f t="shared" si="3"/>
        <v>1032772.2719489729</v>
      </c>
      <c r="H175" s="389">
        <f t="shared" si="4"/>
        <v>1125472.4373338541</v>
      </c>
      <c r="I175" s="363"/>
      <c r="J175" s="363"/>
      <c r="K175" s="363"/>
      <c r="L175" s="363"/>
      <c r="M175" s="363"/>
      <c r="N175" s="363"/>
      <c r="O175" s="363"/>
      <c r="P175" s="363"/>
      <c r="Q175" s="363"/>
      <c r="R175" s="363"/>
      <c r="S175" s="363"/>
      <c r="T175" s="363"/>
      <c r="U175" s="363"/>
      <c r="V175" s="363"/>
      <c r="W175" s="363"/>
      <c r="X175" s="363"/>
      <c r="Y175" s="363"/>
      <c r="Z175" s="363"/>
    </row>
    <row r="176" spans="1:26" ht="13.5" customHeight="1" x14ac:dyDescent="0.2">
      <c r="A176" s="386">
        <f t="shared" si="0"/>
        <v>13</v>
      </c>
      <c r="B176" s="387">
        <f t="shared" si="5"/>
        <v>155</v>
      </c>
      <c r="C176" s="388">
        <f t="shared" si="6"/>
        <v>50830</v>
      </c>
      <c r="D176" s="389">
        <f t="shared" si="7"/>
        <v>1032772.2719489729</v>
      </c>
      <c r="E176" s="389">
        <f t="shared" si="1"/>
        <v>5809.3440297129737</v>
      </c>
      <c r="F176" s="389">
        <f t="shared" si="2"/>
        <v>4581.0880117091792</v>
      </c>
      <c r="G176" s="389">
        <f t="shared" si="3"/>
        <v>1028191.1839372638</v>
      </c>
      <c r="H176" s="389">
        <f t="shared" si="4"/>
        <v>1131281.7813635671</v>
      </c>
      <c r="I176" s="363"/>
      <c r="J176" s="363"/>
      <c r="K176" s="363"/>
      <c r="L176" s="363"/>
      <c r="M176" s="363"/>
      <c r="N176" s="363"/>
      <c r="O176" s="363"/>
      <c r="P176" s="363"/>
      <c r="Q176" s="363"/>
      <c r="R176" s="363"/>
      <c r="S176" s="363"/>
      <c r="T176" s="363"/>
      <c r="U176" s="363"/>
      <c r="V176" s="363"/>
      <c r="W176" s="363"/>
      <c r="X176" s="363"/>
      <c r="Y176" s="363"/>
      <c r="Z176" s="363"/>
    </row>
    <row r="177" spans="1:26" ht="13.5" customHeight="1" x14ac:dyDescent="0.2">
      <c r="A177" s="386">
        <f t="shared" si="0"/>
        <v>13</v>
      </c>
      <c r="B177" s="387">
        <f t="shared" si="5"/>
        <v>156</v>
      </c>
      <c r="C177" s="388">
        <f t="shared" si="6"/>
        <v>50861</v>
      </c>
      <c r="D177" s="389">
        <f t="shared" si="7"/>
        <v>1028191.1839372638</v>
      </c>
      <c r="E177" s="389">
        <f t="shared" si="1"/>
        <v>5783.5754096471092</v>
      </c>
      <c r="F177" s="389">
        <f t="shared" si="2"/>
        <v>4606.8566317750438</v>
      </c>
      <c r="G177" s="389">
        <f t="shared" si="3"/>
        <v>1023584.3273054888</v>
      </c>
      <c r="H177" s="389">
        <f t="shared" si="4"/>
        <v>1137065.3567732142</v>
      </c>
      <c r="I177" s="363"/>
      <c r="J177" s="363"/>
      <c r="K177" s="363"/>
      <c r="L177" s="363"/>
      <c r="M177" s="363"/>
      <c r="N177" s="363"/>
      <c r="O177" s="363"/>
      <c r="P177" s="363"/>
      <c r="Q177" s="363"/>
      <c r="R177" s="363"/>
      <c r="S177" s="363"/>
      <c r="T177" s="363"/>
      <c r="U177" s="363"/>
      <c r="V177" s="363"/>
      <c r="W177" s="363"/>
      <c r="X177" s="363"/>
      <c r="Y177" s="363"/>
      <c r="Z177" s="363"/>
    </row>
    <row r="178" spans="1:26" ht="13.5" customHeight="1" x14ac:dyDescent="0.2">
      <c r="A178" s="386">
        <f t="shared" si="0"/>
        <v>14</v>
      </c>
      <c r="B178" s="387">
        <f t="shared" si="5"/>
        <v>157</v>
      </c>
      <c r="C178" s="388">
        <f t="shared" si="6"/>
        <v>50891</v>
      </c>
      <c r="D178" s="389">
        <f t="shared" si="7"/>
        <v>1023584.3273054888</v>
      </c>
      <c r="E178" s="389">
        <f t="shared" si="1"/>
        <v>5757.6618410933743</v>
      </c>
      <c r="F178" s="389">
        <f t="shared" si="2"/>
        <v>4632.7702003287786</v>
      </c>
      <c r="G178" s="389">
        <f t="shared" si="3"/>
        <v>1018951.55710516</v>
      </c>
      <c r="H178" s="389">
        <f t="shared" si="4"/>
        <v>1142823.0186143075</v>
      </c>
      <c r="I178" s="363"/>
      <c r="J178" s="363"/>
      <c r="K178" s="363"/>
      <c r="L178" s="363"/>
      <c r="M178" s="363"/>
      <c r="N178" s="363"/>
      <c r="O178" s="363"/>
      <c r="P178" s="363"/>
      <c r="Q178" s="363"/>
      <c r="R178" s="363"/>
      <c r="S178" s="363"/>
      <c r="T178" s="363"/>
      <c r="U178" s="363"/>
      <c r="V178" s="363"/>
      <c r="W178" s="363"/>
      <c r="X178" s="363"/>
      <c r="Y178" s="363"/>
      <c r="Z178" s="363"/>
    </row>
    <row r="179" spans="1:26" ht="13.5" customHeight="1" x14ac:dyDescent="0.2">
      <c r="A179" s="386">
        <f t="shared" si="0"/>
        <v>14</v>
      </c>
      <c r="B179" s="387">
        <f t="shared" si="5"/>
        <v>158</v>
      </c>
      <c r="C179" s="388">
        <f t="shared" si="6"/>
        <v>50922</v>
      </c>
      <c r="D179" s="389">
        <f t="shared" si="7"/>
        <v>1018951.55710516</v>
      </c>
      <c r="E179" s="389">
        <f t="shared" si="1"/>
        <v>5731.6025087165253</v>
      </c>
      <c r="F179" s="389">
        <f t="shared" si="2"/>
        <v>4658.8295327056276</v>
      </c>
      <c r="G179" s="389">
        <f t="shared" si="3"/>
        <v>1014292.7275724544</v>
      </c>
      <c r="H179" s="389">
        <f t="shared" si="4"/>
        <v>1148554.621123024</v>
      </c>
      <c r="I179" s="363"/>
      <c r="J179" s="363"/>
      <c r="K179" s="363"/>
      <c r="L179" s="363"/>
      <c r="M179" s="363"/>
      <c r="N179" s="363"/>
      <c r="O179" s="363"/>
      <c r="P179" s="363"/>
      <c r="Q179" s="363"/>
      <c r="R179" s="363"/>
      <c r="S179" s="363"/>
      <c r="T179" s="363"/>
      <c r="U179" s="363"/>
      <c r="V179" s="363"/>
      <c r="W179" s="363"/>
      <c r="X179" s="363"/>
      <c r="Y179" s="363"/>
      <c r="Z179" s="363"/>
    </row>
    <row r="180" spans="1:26" ht="13.5" customHeight="1" x14ac:dyDescent="0.2">
      <c r="A180" s="386">
        <f t="shared" si="0"/>
        <v>14</v>
      </c>
      <c r="B180" s="387">
        <f t="shared" si="5"/>
        <v>159</v>
      </c>
      <c r="C180" s="388">
        <f t="shared" si="6"/>
        <v>50952</v>
      </c>
      <c r="D180" s="389">
        <f t="shared" si="7"/>
        <v>1014292.7275724544</v>
      </c>
      <c r="E180" s="389">
        <f t="shared" si="1"/>
        <v>5705.396592595057</v>
      </c>
      <c r="F180" s="389">
        <f t="shared" si="2"/>
        <v>4685.0354488270959</v>
      </c>
      <c r="G180" s="389">
        <f t="shared" si="3"/>
        <v>1009607.6921236273</v>
      </c>
      <c r="H180" s="389">
        <f t="shared" si="4"/>
        <v>1154260.0177156192</v>
      </c>
      <c r="I180" s="363"/>
      <c r="J180" s="363"/>
      <c r="K180" s="363"/>
      <c r="L180" s="363"/>
      <c r="M180" s="363"/>
      <c r="N180" s="363"/>
      <c r="O180" s="363"/>
      <c r="P180" s="363"/>
      <c r="Q180" s="363"/>
      <c r="R180" s="363"/>
      <c r="S180" s="363"/>
      <c r="T180" s="363"/>
      <c r="U180" s="363"/>
      <c r="V180" s="363"/>
      <c r="W180" s="363"/>
      <c r="X180" s="363"/>
      <c r="Y180" s="363"/>
      <c r="Z180" s="363"/>
    </row>
    <row r="181" spans="1:26" ht="13.5" customHeight="1" x14ac:dyDescent="0.2">
      <c r="A181" s="386">
        <f t="shared" si="0"/>
        <v>14</v>
      </c>
      <c r="B181" s="387">
        <f t="shared" si="5"/>
        <v>160</v>
      </c>
      <c r="C181" s="388">
        <f t="shared" si="6"/>
        <v>50983</v>
      </c>
      <c r="D181" s="389">
        <f t="shared" si="7"/>
        <v>1009607.6921236273</v>
      </c>
      <c r="E181" s="389">
        <f t="shared" si="1"/>
        <v>5679.0432681954044</v>
      </c>
      <c r="F181" s="389">
        <f t="shared" si="2"/>
        <v>4711.3887732267485</v>
      </c>
      <c r="G181" s="389">
        <f t="shared" si="3"/>
        <v>1004896.3033504005</v>
      </c>
      <c r="H181" s="389">
        <f t="shared" si="4"/>
        <v>1159939.0609838145</v>
      </c>
      <c r="I181" s="363"/>
      <c r="J181" s="363"/>
      <c r="K181" s="363"/>
      <c r="L181" s="363"/>
      <c r="M181" s="363"/>
      <c r="N181" s="363"/>
      <c r="O181" s="363"/>
      <c r="P181" s="363"/>
      <c r="Q181" s="363"/>
      <c r="R181" s="363"/>
      <c r="S181" s="363"/>
      <c r="T181" s="363"/>
      <c r="U181" s="363"/>
      <c r="V181" s="363"/>
      <c r="W181" s="363"/>
      <c r="X181" s="363"/>
      <c r="Y181" s="363"/>
      <c r="Z181" s="363"/>
    </row>
    <row r="182" spans="1:26" ht="13.5" customHeight="1" x14ac:dyDescent="0.2">
      <c r="A182" s="386">
        <f t="shared" si="0"/>
        <v>14</v>
      </c>
      <c r="B182" s="387">
        <f t="shared" si="5"/>
        <v>161</v>
      </c>
      <c r="C182" s="388">
        <f t="shared" si="6"/>
        <v>51014</v>
      </c>
      <c r="D182" s="389">
        <f t="shared" si="7"/>
        <v>1004896.3033504005</v>
      </c>
      <c r="E182" s="389">
        <f t="shared" si="1"/>
        <v>5652.5417063460036</v>
      </c>
      <c r="F182" s="389">
        <f t="shared" si="2"/>
        <v>4737.8903350761493</v>
      </c>
      <c r="G182" s="389">
        <f t="shared" si="3"/>
        <v>1000158.4130153244</v>
      </c>
      <c r="H182" s="389">
        <f t="shared" si="4"/>
        <v>1165591.6026901605</v>
      </c>
      <c r="I182" s="363"/>
      <c r="J182" s="363"/>
      <c r="K182" s="363"/>
      <c r="L182" s="363"/>
      <c r="M182" s="363"/>
      <c r="N182" s="363"/>
      <c r="O182" s="363"/>
      <c r="P182" s="363"/>
      <c r="Q182" s="363"/>
      <c r="R182" s="363"/>
      <c r="S182" s="363"/>
      <c r="T182" s="363"/>
      <c r="U182" s="363"/>
      <c r="V182" s="363"/>
      <c r="W182" s="363"/>
      <c r="X182" s="363"/>
      <c r="Y182" s="363"/>
      <c r="Z182" s="363"/>
    </row>
    <row r="183" spans="1:26" ht="13.5" customHeight="1" x14ac:dyDescent="0.2">
      <c r="A183" s="386">
        <f t="shared" si="0"/>
        <v>14</v>
      </c>
      <c r="B183" s="387">
        <f t="shared" si="5"/>
        <v>162</v>
      </c>
      <c r="C183" s="388">
        <f t="shared" si="6"/>
        <v>51044</v>
      </c>
      <c r="D183" s="389">
        <f t="shared" si="7"/>
        <v>1000158.4130153244</v>
      </c>
      <c r="E183" s="389">
        <f t="shared" si="1"/>
        <v>5625.8910732112008</v>
      </c>
      <c r="F183" s="389">
        <f t="shared" si="2"/>
        <v>4764.5409682109521</v>
      </c>
      <c r="G183" s="389">
        <f t="shared" si="3"/>
        <v>995393.87204711349</v>
      </c>
      <c r="H183" s="389">
        <f t="shared" si="4"/>
        <v>1171217.4937633716</v>
      </c>
      <c r="I183" s="363"/>
      <c r="J183" s="363"/>
      <c r="K183" s="363"/>
      <c r="L183" s="363"/>
      <c r="M183" s="363"/>
      <c r="N183" s="363"/>
      <c r="O183" s="363"/>
      <c r="P183" s="363"/>
      <c r="Q183" s="363"/>
      <c r="R183" s="363"/>
      <c r="S183" s="363"/>
      <c r="T183" s="363"/>
      <c r="U183" s="363"/>
      <c r="V183" s="363"/>
      <c r="W183" s="363"/>
      <c r="X183" s="363"/>
      <c r="Y183" s="363"/>
      <c r="Z183" s="363"/>
    </row>
    <row r="184" spans="1:26" ht="13.5" customHeight="1" x14ac:dyDescent="0.2">
      <c r="A184" s="386">
        <f t="shared" si="0"/>
        <v>14</v>
      </c>
      <c r="B184" s="387">
        <f t="shared" si="5"/>
        <v>163</v>
      </c>
      <c r="C184" s="388">
        <f t="shared" si="6"/>
        <v>51075</v>
      </c>
      <c r="D184" s="389">
        <f t="shared" si="7"/>
        <v>995393.87204711349</v>
      </c>
      <c r="E184" s="389">
        <f t="shared" si="1"/>
        <v>5599.0905302650135</v>
      </c>
      <c r="F184" s="389">
        <f t="shared" si="2"/>
        <v>4791.3415111571394</v>
      </c>
      <c r="G184" s="389">
        <f t="shared" si="3"/>
        <v>990602.53053595638</v>
      </c>
      <c r="H184" s="389">
        <f t="shared" si="4"/>
        <v>1176816.5842936367</v>
      </c>
      <c r="I184" s="363"/>
      <c r="J184" s="363"/>
      <c r="K184" s="363"/>
      <c r="L184" s="363"/>
      <c r="M184" s="363"/>
      <c r="N184" s="363"/>
      <c r="O184" s="363"/>
      <c r="P184" s="363"/>
      <c r="Q184" s="363"/>
      <c r="R184" s="363"/>
      <c r="S184" s="363"/>
      <c r="T184" s="363"/>
      <c r="U184" s="363"/>
      <c r="V184" s="363"/>
      <c r="W184" s="363"/>
      <c r="X184" s="363"/>
      <c r="Y184" s="363"/>
      <c r="Z184" s="363"/>
    </row>
    <row r="185" spans="1:26" ht="13.5" customHeight="1" x14ac:dyDescent="0.2">
      <c r="A185" s="386">
        <f t="shared" si="0"/>
        <v>14</v>
      </c>
      <c r="B185" s="387">
        <f t="shared" si="5"/>
        <v>164</v>
      </c>
      <c r="C185" s="388">
        <f t="shared" si="6"/>
        <v>51105</v>
      </c>
      <c r="D185" s="389">
        <f t="shared" si="7"/>
        <v>990602.53053595638</v>
      </c>
      <c r="E185" s="389">
        <f t="shared" si="1"/>
        <v>5572.139234264755</v>
      </c>
      <c r="F185" s="389">
        <f t="shared" si="2"/>
        <v>4818.2928071573979</v>
      </c>
      <c r="G185" s="389">
        <f t="shared" si="3"/>
        <v>985784.23772879899</v>
      </c>
      <c r="H185" s="389">
        <f t="shared" si="4"/>
        <v>1182388.7235279016</v>
      </c>
      <c r="I185" s="363"/>
      <c r="J185" s="363"/>
      <c r="K185" s="363"/>
      <c r="L185" s="363"/>
      <c r="M185" s="363"/>
      <c r="N185" s="363"/>
      <c r="O185" s="363"/>
      <c r="P185" s="363"/>
      <c r="Q185" s="363"/>
      <c r="R185" s="363"/>
      <c r="S185" s="363"/>
      <c r="T185" s="363"/>
      <c r="U185" s="363"/>
      <c r="V185" s="363"/>
      <c r="W185" s="363"/>
      <c r="X185" s="363"/>
      <c r="Y185" s="363"/>
      <c r="Z185" s="363"/>
    </row>
    <row r="186" spans="1:26" ht="13.5" customHeight="1" x14ac:dyDescent="0.2">
      <c r="A186" s="386">
        <f t="shared" si="0"/>
        <v>14</v>
      </c>
      <c r="B186" s="387">
        <f t="shared" si="5"/>
        <v>165</v>
      </c>
      <c r="C186" s="388">
        <f t="shared" si="6"/>
        <v>51136</v>
      </c>
      <c r="D186" s="389">
        <f t="shared" si="7"/>
        <v>985784.23772879899</v>
      </c>
      <c r="E186" s="389">
        <f t="shared" si="1"/>
        <v>5545.0363372244947</v>
      </c>
      <c r="F186" s="389">
        <f t="shared" si="2"/>
        <v>4845.3957041976582</v>
      </c>
      <c r="G186" s="389">
        <f t="shared" si="3"/>
        <v>980938.8420246013</v>
      </c>
      <c r="H186" s="389">
        <f t="shared" si="4"/>
        <v>1187933.7598651261</v>
      </c>
      <c r="I186" s="363"/>
      <c r="J186" s="363"/>
      <c r="K186" s="363"/>
      <c r="L186" s="363"/>
      <c r="M186" s="363"/>
      <c r="N186" s="363"/>
      <c r="O186" s="363"/>
      <c r="P186" s="363"/>
      <c r="Q186" s="363"/>
      <c r="R186" s="363"/>
      <c r="S186" s="363"/>
      <c r="T186" s="363"/>
      <c r="U186" s="363"/>
      <c r="V186" s="363"/>
      <c r="W186" s="363"/>
      <c r="X186" s="363"/>
      <c r="Y186" s="363"/>
      <c r="Z186" s="363"/>
    </row>
    <row r="187" spans="1:26" ht="13.5" customHeight="1" x14ac:dyDescent="0.2">
      <c r="A187" s="386">
        <f t="shared" si="0"/>
        <v>14</v>
      </c>
      <c r="B187" s="387">
        <f t="shared" si="5"/>
        <v>166</v>
      </c>
      <c r="C187" s="388">
        <f t="shared" si="6"/>
        <v>51167</v>
      </c>
      <c r="D187" s="389">
        <f t="shared" si="7"/>
        <v>980938.8420246013</v>
      </c>
      <c r="E187" s="389">
        <f t="shared" si="1"/>
        <v>5517.7809863883822</v>
      </c>
      <c r="F187" s="389">
        <f t="shared" si="2"/>
        <v>4872.6510550337707</v>
      </c>
      <c r="G187" s="389">
        <f t="shared" si="3"/>
        <v>976066.19096956751</v>
      </c>
      <c r="H187" s="389">
        <f t="shared" si="4"/>
        <v>1193451.5408515146</v>
      </c>
      <c r="I187" s="363"/>
      <c r="J187" s="363"/>
      <c r="K187" s="363"/>
      <c r="L187" s="363"/>
      <c r="M187" s="363"/>
      <c r="N187" s="363"/>
      <c r="O187" s="363"/>
      <c r="P187" s="363"/>
      <c r="Q187" s="363"/>
      <c r="R187" s="363"/>
      <c r="S187" s="363"/>
      <c r="T187" s="363"/>
      <c r="U187" s="363"/>
      <c r="V187" s="363"/>
      <c r="W187" s="363"/>
      <c r="X187" s="363"/>
      <c r="Y187" s="363"/>
      <c r="Z187" s="363"/>
    </row>
    <row r="188" spans="1:26" ht="13.5" customHeight="1" x14ac:dyDescent="0.2">
      <c r="A188" s="386">
        <f t="shared" si="0"/>
        <v>14</v>
      </c>
      <c r="B188" s="387">
        <f t="shared" si="5"/>
        <v>167</v>
      </c>
      <c r="C188" s="388">
        <f t="shared" si="6"/>
        <v>51196</v>
      </c>
      <c r="D188" s="389">
        <f t="shared" si="7"/>
        <v>976066.19096956751</v>
      </c>
      <c r="E188" s="389">
        <f t="shared" si="1"/>
        <v>5490.3723242038177</v>
      </c>
      <c r="F188" s="389">
        <f t="shared" si="2"/>
        <v>4900.0597172183352</v>
      </c>
      <c r="G188" s="389">
        <f t="shared" si="3"/>
        <v>971166.13125234912</v>
      </c>
      <c r="H188" s="389">
        <f t="shared" si="4"/>
        <v>1198941.9131757184</v>
      </c>
      <c r="I188" s="363"/>
      <c r="J188" s="363"/>
      <c r="K188" s="363"/>
      <c r="L188" s="363"/>
      <c r="M188" s="363"/>
      <c r="N188" s="363"/>
      <c r="O188" s="363"/>
      <c r="P188" s="363"/>
      <c r="Q188" s="363"/>
      <c r="R188" s="363"/>
      <c r="S188" s="363"/>
      <c r="T188" s="363"/>
      <c r="U188" s="363"/>
      <c r="V188" s="363"/>
      <c r="W188" s="363"/>
      <c r="X188" s="363"/>
      <c r="Y188" s="363"/>
      <c r="Z188" s="363"/>
    </row>
    <row r="189" spans="1:26" ht="13.5" customHeight="1" x14ac:dyDescent="0.2">
      <c r="A189" s="386">
        <f t="shared" si="0"/>
        <v>14</v>
      </c>
      <c r="B189" s="387">
        <f t="shared" si="5"/>
        <v>168</v>
      </c>
      <c r="C189" s="388">
        <f t="shared" si="6"/>
        <v>51227</v>
      </c>
      <c r="D189" s="389">
        <f t="shared" si="7"/>
        <v>971166.13125234912</v>
      </c>
      <c r="E189" s="389">
        <f t="shared" si="1"/>
        <v>5462.8094882944642</v>
      </c>
      <c r="F189" s="389">
        <f t="shared" si="2"/>
        <v>4927.6225531276887</v>
      </c>
      <c r="G189" s="389">
        <f t="shared" si="3"/>
        <v>966238.50869922142</v>
      </c>
      <c r="H189" s="389">
        <f t="shared" si="4"/>
        <v>1204404.7226640128</v>
      </c>
      <c r="I189" s="363"/>
      <c r="J189" s="363"/>
      <c r="K189" s="363"/>
      <c r="L189" s="363"/>
      <c r="M189" s="363"/>
      <c r="N189" s="363"/>
      <c r="O189" s="363"/>
      <c r="P189" s="363"/>
      <c r="Q189" s="363"/>
      <c r="R189" s="363"/>
      <c r="S189" s="363"/>
      <c r="T189" s="363"/>
      <c r="U189" s="363"/>
      <c r="V189" s="363"/>
      <c r="W189" s="363"/>
      <c r="X189" s="363"/>
      <c r="Y189" s="363"/>
      <c r="Z189" s="363"/>
    </row>
    <row r="190" spans="1:26" ht="13.5" customHeight="1" x14ac:dyDescent="0.2">
      <c r="A190" s="386">
        <f t="shared" si="0"/>
        <v>15</v>
      </c>
      <c r="B190" s="387">
        <f t="shared" si="5"/>
        <v>169</v>
      </c>
      <c r="C190" s="388">
        <f t="shared" si="6"/>
        <v>51257</v>
      </c>
      <c r="D190" s="389">
        <f t="shared" si="7"/>
        <v>966238.50869922142</v>
      </c>
      <c r="E190" s="389">
        <f t="shared" si="1"/>
        <v>5435.0916114331203</v>
      </c>
      <c r="F190" s="389">
        <f t="shared" si="2"/>
        <v>4955.3404299890326</v>
      </c>
      <c r="G190" s="389">
        <f t="shared" si="3"/>
        <v>961283.16826923238</v>
      </c>
      <c r="H190" s="389">
        <f t="shared" si="4"/>
        <v>1209839.8142754459</v>
      </c>
      <c r="I190" s="363"/>
      <c r="J190" s="363"/>
      <c r="K190" s="363"/>
      <c r="L190" s="363"/>
      <c r="M190" s="363"/>
      <c r="N190" s="363"/>
      <c r="O190" s="363"/>
      <c r="P190" s="363"/>
      <c r="Q190" s="363"/>
      <c r="R190" s="363"/>
      <c r="S190" s="363"/>
      <c r="T190" s="363"/>
      <c r="U190" s="363"/>
      <c r="V190" s="363"/>
      <c r="W190" s="363"/>
      <c r="X190" s="363"/>
      <c r="Y190" s="363"/>
      <c r="Z190" s="363"/>
    </row>
    <row r="191" spans="1:26" ht="13.5" customHeight="1" x14ac:dyDescent="0.2">
      <c r="A191" s="386">
        <f t="shared" si="0"/>
        <v>15</v>
      </c>
      <c r="B191" s="387">
        <f t="shared" si="5"/>
        <v>170</v>
      </c>
      <c r="C191" s="388">
        <f t="shared" si="6"/>
        <v>51288</v>
      </c>
      <c r="D191" s="389">
        <f t="shared" si="7"/>
        <v>961283.16826923238</v>
      </c>
      <c r="E191" s="389">
        <f t="shared" si="1"/>
        <v>5407.2178215144322</v>
      </c>
      <c r="F191" s="389">
        <f t="shared" si="2"/>
        <v>4983.2142199077207</v>
      </c>
      <c r="G191" s="389">
        <f t="shared" si="3"/>
        <v>956299.95404932462</v>
      </c>
      <c r="H191" s="389">
        <f t="shared" si="4"/>
        <v>1215247.0320969603</v>
      </c>
      <c r="I191" s="363"/>
      <c r="J191" s="363"/>
      <c r="K191" s="363"/>
      <c r="L191" s="363"/>
      <c r="M191" s="363"/>
      <c r="N191" s="363"/>
      <c r="O191" s="363"/>
      <c r="P191" s="363"/>
      <c r="Q191" s="363"/>
      <c r="R191" s="363"/>
      <c r="S191" s="363"/>
      <c r="T191" s="363"/>
      <c r="U191" s="363"/>
      <c r="V191" s="363"/>
      <c r="W191" s="363"/>
      <c r="X191" s="363"/>
      <c r="Y191" s="363"/>
      <c r="Z191" s="363"/>
    </row>
    <row r="192" spans="1:26" ht="13.5" customHeight="1" x14ac:dyDescent="0.2">
      <c r="A192" s="386">
        <f t="shared" si="0"/>
        <v>15</v>
      </c>
      <c r="B192" s="387">
        <f t="shared" si="5"/>
        <v>171</v>
      </c>
      <c r="C192" s="388">
        <f t="shared" si="6"/>
        <v>51318</v>
      </c>
      <c r="D192" s="389">
        <f t="shared" si="7"/>
        <v>956299.95404932462</v>
      </c>
      <c r="E192" s="389">
        <f t="shared" si="1"/>
        <v>5379.1872415274511</v>
      </c>
      <c r="F192" s="389">
        <f t="shared" si="2"/>
        <v>5011.2447998947018</v>
      </c>
      <c r="G192" s="389">
        <f t="shared" si="3"/>
        <v>951288.70924942987</v>
      </c>
      <c r="H192" s="389">
        <f t="shared" si="4"/>
        <v>1220626.2193384878</v>
      </c>
      <c r="I192" s="363"/>
      <c r="J192" s="363"/>
      <c r="K192" s="363"/>
      <c r="L192" s="363"/>
      <c r="M192" s="363"/>
      <c r="N192" s="363"/>
      <c r="O192" s="363"/>
      <c r="P192" s="363"/>
      <c r="Q192" s="363"/>
      <c r="R192" s="363"/>
      <c r="S192" s="363"/>
      <c r="T192" s="363"/>
      <c r="U192" s="363"/>
      <c r="V192" s="363"/>
      <c r="W192" s="363"/>
      <c r="X192" s="363"/>
      <c r="Y192" s="363"/>
      <c r="Z192" s="363"/>
    </row>
    <row r="193" spans="1:26" ht="13.5" customHeight="1" x14ac:dyDescent="0.2">
      <c r="A193" s="386">
        <f t="shared" si="0"/>
        <v>15</v>
      </c>
      <c r="B193" s="387">
        <f t="shared" si="5"/>
        <v>172</v>
      </c>
      <c r="C193" s="388">
        <f t="shared" si="6"/>
        <v>51349</v>
      </c>
      <c r="D193" s="389">
        <f t="shared" si="7"/>
        <v>951288.70924942987</v>
      </c>
      <c r="E193" s="389">
        <f t="shared" si="1"/>
        <v>5350.9989895280432</v>
      </c>
      <c r="F193" s="389">
        <f t="shared" si="2"/>
        <v>5039.4330518941097</v>
      </c>
      <c r="G193" s="389">
        <f t="shared" si="3"/>
        <v>946249.2761975358</v>
      </c>
      <c r="H193" s="389">
        <f t="shared" si="4"/>
        <v>1225977.2183280159</v>
      </c>
      <c r="I193" s="363"/>
      <c r="J193" s="363"/>
      <c r="K193" s="363"/>
      <c r="L193" s="363"/>
      <c r="M193" s="363"/>
      <c r="N193" s="363"/>
      <c r="O193" s="363"/>
      <c r="P193" s="363"/>
      <c r="Q193" s="363"/>
      <c r="R193" s="363"/>
      <c r="S193" s="363"/>
      <c r="T193" s="363"/>
      <c r="U193" s="363"/>
      <c r="V193" s="363"/>
      <c r="W193" s="363"/>
      <c r="X193" s="363"/>
      <c r="Y193" s="363"/>
      <c r="Z193" s="363"/>
    </row>
    <row r="194" spans="1:26" ht="13.5" customHeight="1" x14ac:dyDescent="0.2">
      <c r="A194" s="386">
        <f t="shared" si="0"/>
        <v>15</v>
      </c>
      <c r="B194" s="387">
        <f t="shared" si="5"/>
        <v>173</v>
      </c>
      <c r="C194" s="388">
        <f t="shared" si="6"/>
        <v>51380</v>
      </c>
      <c r="D194" s="389">
        <f t="shared" si="7"/>
        <v>946249.2761975358</v>
      </c>
      <c r="E194" s="389">
        <f t="shared" si="1"/>
        <v>5322.6521786111398</v>
      </c>
      <c r="F194" s="389">
        <f t="shared" si="2"/>
        <v>5067.7798628110131</v>
      </c>
      <c r="G194" s="389">
        <f t="shared" si="3"/>
        <v>941181.49633472483</v>
      </c>
      <c r="H194" s="389">
        <f t="shared" si="4"/>
        <v>1231299.870506627</v>
      </c>
      <c r="I194" s="363"/>
      <c r="J194" s="363"/>
      <c r="K194" s="363"/>
      <c r="L194" s="363"/>
      <c r="M194" s="363"/>
      <c r="N194" s="363"/>
      <c r="O194" s="363"/>
      <c r="P194" s="363"/>
      <c r="Q194" s="363"/>
      <c r="R194" s="363"/>
      <c r="S194" s="363"/>
      <c r="T194" s="363"/>
      <c r="U194" s="363"/>
      <c r="V194" s="363"/>
      <c r="W194" s="363"/>
      <c r="X194" s="363"/>
      <c r="Y194" s="363"/>
      <c r="Z194" s="363"/>
    </row>
    <row r="195" spans="1:26" ht="13.5" customHeight="1" x14ac:dyDescent="0.2">
      <c r="A195" s="386">
        <f t="shared" si="0"/>
        <v>15</v>
      </c>
      <c r="B195" s="387">
        <f t="shared" si="5"/>
        <v>174</v>
      </c>
      <c r="C195" s="388">
        <f t="shared" si="6"/>
        <v>51410</v>
      </c>
      <c r="D195" s="389">
        <f t="shared" si="7"/>
        <v>941181.49633472483</v>
      </c>
      <c r="E195" s="389">
        <f t="shared" si="1"/>
        <v>5294.1459168828269</v>
      </c>
      <c r="F195" s="389">
        <f t="shared" si="2"/>
        <v>5096.286124539326</v>
      </c>
      <c r="G195" s="389">
        <f t="shared" si="3"/>
        <v>936085.2102101855</v>
      </c>
      <c r="H195" s="389">
        <f t="shared" si="4"/>
        <v>1236594.0164235099</v>
      </c>
      <c r="I195" s="363"/>
      <c r="J195" s="363"/>
      <c r="K195" s="363"/>
      <c r="L195" s="363"/>
      <c r="M195" s="363"/>
      <c r="N195" s="363"/>
      <c r="O195" s="363"/>
      <c r="P195" s="363"/>
      <c r="Q195" s="363"/>
      <c r="R195" s="363"/>
      <c r="S195" s="363"/>
      <c r="T195" s="363"/>
      <c r="U195" s="363"/>
      <c r="V195" s="363"/>
      <c r="W195" s="363"/>
      <c r="X195" s="363"/>
      <c r="Y195" s="363"/>
      <c r="Z195" s="363"/>
    </row>
    <row r="196" spans="1:26" ht="13.5" customHeight="1" x14ac:dyDescent="0.2">
      <c r="A196" s="386">
        <f t="shared" si="0"/>
        <v>15</v>
      </c>
      <c r="B196" s="387">
        <f t="shared" si="5"/>
        <v>175</v>
      </c>
      <c r="C196" s="388">
        <f t="shared" si="6"/>
        <v>51441</v>
      </c>
      <c r="D196" s="389">
        <f t="shared" si="7"/>
        <v>936085.2102101855</v>
      </c>
      <c r="E196" s="389">
        <f t="shared" si="1"/>
        <v>5265.4793074322943</v>
      </c>
      <c r="F196" s="389">
        <f t="shared" si="2"/>
        <v>5124.9527339898586</v>
      </c>
      <c r="G196" s="389">
        <f t="shared" si="3"/>
        <v>930960.25747619569</v>
      </c>
      <c r="H196" s="389">
        <f t="shared" si="4"/>
        <v>1241859.4957309421</v>
      </c>
      <c r="I196" s="363"/>
      <c r="J196" s="363"/>
      <c r="K196" s="363"/>
      <c r="L196" s="363"/>
      <c r="M196" s="363"/>
      <c r="N196" s="363"/>
      <c r="O196" s="363"/>
      <c r="P196" s="363"/>
      <c r="Q196" s="363"/>
      <c r="R196" s="363"/>
      <c r="S196" s="363"/>
      <c r="T196" s="363"/>
      <c r="U196" s="363"/>
      <c r="V196" s="363"/>
      <c r="W196" s="363"/>
      <c r="X196" s="363"/>
      <c r="Y196" s="363"/>
      <c r="Z196" s="363"/>
    </row>
    <row r="197" spans="1:26" ht="13.5" customHeight="1" x14ac:dyDescent="0.2">
      <c r="A197" s="386">
        <f t="shared" si="0"/>
        <v>15</v>
      </c>
      <c r="B197" s="387">
        <f t="shared" si="5"/>
        <v>176</v>
      </c>
      <c r="C197" s="388">
        <f t="shared" si="6"/>
        <v>51471</v>
      </c>
      <c r="D197" s="389">
        <f t="shared" si="7"/>
        <v>930960.25747619569</v>
      </c>
      <c r="E197" s="389">
        <f t="shared" si="1"/>
        <v>5236.6514483036017</v>
      </c>
      <c r="F197" s="389">
        <f t="shared" si="2"/>
        <v>5153.7805931185512</v>
      </c>
      <c r="G197" s="389">
        <f t="shared" si="3"/>
        <v>925806.47688307718</v>
      </c>
      <c r="H197" s="389">
        <f t="shared" si="4"/>
        <v>1247096.1471792457</v>
      </c>
      <c r="I197" s="363"/>
      <c r="J197" s="363"/>
      <c r="K197" s="363"/>
      <c r="L197" s="363"/>
      <c r="M197" s="363"/>
      <c r="N197" s="363"/>
      <c r="O197" s="363"/>
      <c r="P197" s="363"/>
      <c r="Q197" s="363"/>
      <c r="R197" s="363"/>
      <c r="S197" s="363"/>
      <c r="T197" s="363"/>
      <c r="U197" s="363"/>
      <c r="V197" s="363"/>
      <c r="W197" s="363"/>
      <c r="X197" s="363"/>
      <c r="Y197" s="363"/>
      <c r="Z197" s="363"/>
    </row>
    <row r="198" spans="1:26" ht="13.5" customHeight="1" x14ac:dyDescent="0.2">
      <c r="A198" s="386">
        <f t="shared" si="0"/>
        <v>15</v>
      </c>
      <c r="B198" s="387">
        <f t="shared" si="5"/>
        <v>177</v>
      </c>
      <c r="C198" s="388">
        <f t="shared" si="6"/>
        <v>51502</v>
      </c>
      <c r="D198" s="389">
        <f t="shared" si="7"/>
        <v>925806.47688307718</v>
      </c>
      <c r="E198" s="389">
        <f t="shared" si="1"/>
        <v>5207.6614324673092</v>
      </c>
      <c r="F198" s="389">
        <f t="shared" si="2"/>
        <v>5182.7706089548437</v>
      </c>
      <c r="G198" s="389">
        <f t="shared" si="3"/>
        <v>920623.70627412235</v>
      </c>
      <c r="H198" s="389">
        <f t="shared" si="4"/>
        <v>1252303.8086117131</v>
      </c>
      <c r="I198" s="363"/>
      <c r="J198" s="363"/>
      <c r="K198" s="363"/>
      <c r="L198" s="363"/>
      <c r="M198" s="363"/>
      <c r="N198" s="363"/>
      <c r="O198" s="363"/>
      <c r="P198" s="363"/>
      <c r="Q198" s="363"/>
      <c r="R198" s="363"/>
      <c r="S198" s="363"/>
      <c r="T198" s="363"/>
      <c r="U198" s="363"/>
      <c r="V198" s="363"/>
      <c r="W198" s="363"/>
      <c r="X198" s="363"/>
      <c r="Y198" s="363"/>
      <c r="Z198" s="363"/>
    </row>
    <row r="199" spans="1:26" ht="13.5" customHeight="1" x14ac:dyDescent="0.2">
      <c r="A199" s="386">
        <f t="shared" si="0"/>
        <v>15</v>
      </c>
      <c r="B199" s="387">
        <f t="shared" si="5"/>
        <v>178</v>
      </c>
      <c r="C199" s="388">
        <f t="shared" si="6"/>
        <v>51533</v>
      </c>
      <c r="D199" s="389">
        <f t="shared" si="7"/>
        <v>920623.70627412235</v>
      </c>
      <c r="E199" s="389">
        <f t="shared" si="1"/>
        <v>5178.5083477919388</v>
      </c>
      <c r="F199" s="389">
        <f t="shared" si="2"/>
        <v>5211.9236936302141</v>
      </c>
      <c r="G199" s="389">
        <f t="shared" si="3"/>
        <v>915411.78258049209</v>
      </c>
      <c r="H199" s="389">
        <f t="shared" si="4"/>
        <v>1257482.316959505</v>
      </c>
      <c r="I199" s="363"/>
      <c r="J199" s="363"/>
      <c r="K199" s="363"/>
      <c r="L199" s="363"/>
      <c r="M199" s="363"/>
      <c r="N199" s="363"/>
      <c r="O199" s="363"/>
      <c r="P199" s="363"/>
      <c r="Q199" s="363"/>
      <c r="R199" s="363"/>
      <c r="S199" s="363"/>
      <c r="T199" s="363"/>
      <c r="U199" s="363"/>
      <c r="V199" s="363"/>
      <c r="W199" s="363"/>
      <c r="X199" s="363"/>
      <c r="Y199" s="363"/>
      <c r="Z199" s="363"/>
    </row>
    <row r="200" spans="1:26" ht="13.5" customHeight="1" x14ac:dyDescent="0.2">
      <c r="A200" s="386">
        <f t="shared" si="0"/>
        <v>15</v>
      </c>
      <c r="B200" s="387">
        <f t="shared" si="5"/>
        <v>179</v>
      </c>
      <c r="C200" s="388">
        <f t="shared" si="6"/>
        <v>51561</v>
      </c>
      <c r="D200" s="389">
        <f t="shared" si="7"/>
        <v>915411.78258049209</v>
      </c>
      <c r="E200" s="389">
        <f t="shared" si="1"/>
        <v>5149.1912770152685</v>
      </c>
      <c r="F200" s="389">
        <f t="shared" si="2"/>
        <v>5241.2407644068844</v>
      </c>
      <c r="G200" s="389">
        <f t="shared" si="3"/>
        <v>910170.54181608523</v>
      </c>
      <c r="H200" s="389">
        <f t="shared" si="4"/>
        <v>1262631.5082365202</v>
      </c>
      <c r="I200" s="363"/>
      <c r="J200" s="363"/>
      <c r="K200" s="363"/>
      <c r="L200" s="363"/>
      <c r="M200" s="363"/>
      <c r="N200" s="363"/>
      <c r="O200" s="363"/>
      <c r="P200" s="363"/>
      <c r="Q200" s="363"/>
      <c r="R200" s="363"/>
      <c r="S200" s="363"/>
      <c r="T200" s="363"/>
      <c r="U200" s="363"/>
      <c r="V200" s="363"/>
      <c r="W200" s="363"/>
      <c r="X200" s="363"/>
      <c r="Y200" s="363"/>
      <c r="Z200" s="363"/>
    </row>
    <row r="201" spans="1:26" ht="13.5" customHeight="1" x14ac:dyDescent="0.2">
      <c r="A201" s="386">
        <f t="shared" si="0"/>
        <v>15</v>
      </c>
      <c r="B201" s="387">
        <f t="shared" si="5"/>
        <v>180</v>
      </c>
      <c r="C201" s="388">
        <f t="shared" si="6"/>
        <v>51592</v>
      </c>
      <c r="D201" s="389">
        <f t="shared" si="7"/>
        <v>910170.54181608523</v>
      </c>
      <c r="E201" s="389">
        <f t="shared" si="1"/>
        <v>5119.7092977154798</v>
      </c>
      <c r="F201" s="389">
        <f t="shared" si="2"/>
        <v>5270.7227437066731</v>
      </c>
      <c r="G201" s="389">
        <f t="shared" si="3"/>
        <v>904899.81907237857</v>
      </c>
      <c r="H201" s="389">
        <f t="shared" si="4"/>
        <v>1267751.2175342357</v>
      </c>
      <c r="I201" s="363"/>
      <c r="J201" s="363"/>
      <c r="K201" s="363"/>
      <c r="L201" s="363"/>
      <c r="M201" s="363"/>
      <c r="N201" s="363"/>
      <c r="O201" s="363"/>
      <c r="P201" s="363"/>
      <c r="Q201" s="363"/>
      <c r="R201" s="363"/>
      <c r="S201" s="363"/>
      <c r="T201" s="363"/>
      <c r="U201" s="363"/>
      <c r="V201" s="363"/>
      <c r="W201" s="363"/>
      <c r="X201" s="363"/>
      <c r="Y201" s="363"/>
      <c r="Z201" s="363"/>
    </row>
    <row r="202" spans="1:26" ht="13.5" customHeight="1" x14ac:dyDescent="0.2">
      <c r="A202" s="386">
        <f t="shared" si="0"/>
        <v>16</v>
      </c>
      <c r="B202" s="387">
        <f t="shared" si="5"/>
        <v>181</v>
      </c>
      <c r="C202" s="388">
        <f t="shared" si="6"/>
        <v>51622</v>
      </c>
      <c r="D202" s="389">
        <f t="shared" si="7"/>
        <v>904899.81907237857</v>
      </c>
      <c r="E202" s="389">
        <f t="shared" si="1"/>
        <v>5090.0614822821299</v>
      </c>
      <c r="F202" s="389">
        <f t="shared" si="2"/>
        <v>5300.370559140023</v>
      </c>
      <c r="G202" s="389">
        <f t="shared" si="3"/>
        <v>899599.44851323857</v>
      </c>
      <c r="H202" s="389">
        <f t="shared" si="4"/>
        <v>1272841.2790165178</v>
      </c>
      <c r="I202" s="363"/>
      <c r="J202" s="363"/>
      <c r="K202" s="363"/>
      <c r="L202" s="363"/>
      <c r="M202" s="363"/>
      <c r="N202" s="363"/>
      <c r="O202" s="363"/>
      <c r="P202" s="363"/>
      <c r="Q202" s="363"/>
      <c r="R202" s="363"/>
      <c r="S202" s="363"/>
      <c r="T202" s="363"/>
      <c r="U202" s="363"/>
      <c r="V202" s="363"/>
      <c r="W202" s="363"/>
      <c r="X202" s="363"/>
      <c r="Y202" s="363"/>
      <c r="Z202" s="363"/>
    </row>
    <row r="203" spans="1:26" ht="13.5" customHeight="1" x14ac:dyDescent="0.2">
      <c r="A203" s="386">
        <f t="shared" si="0"/>
        <v>16</v>
      </c>
      <c r="B203" s="387">
        <f t="shared" si="5"/>
        <v>182</v>
      </c>
      <c r="C203" s="388">
        <f t="shared" si="6"/>
        <v>51653</v>
      </c>
      <c r="D203" s="389">
        <f t="shared" si="7"/>
        <v>899599.44851323857</v>
      </c>
      <c r="E203" s="389">
        <f t="shared" si="1"/>
        <v>5060.2468978869674</v>
      </c>
      <c r="F203" s="389">
        <f t="shared" si="2"/>
        <v>5330.1851435351855</v>
      </c>
      <c r="G203" s="389">
        <f t="shared" si="3"/>
        <v>894269.26336970343</v>
      </c>
      <c r="H203" s="389">
        <f t="shared" si="4"/>
        <v>1277901.5259144048</v>
      </c>
      <c r="I203" s="363"/>
      <c r="J203" s="363"/>
      <c r="K203" s="363"/>
      <c r="L203" s="363"/>
      <c r="M203" s="363"/>
      <c r="N203" s="363"/>
      <c r="O203" s="363"/>
      <c r="P203" s="363"/>
      <c r="Q203" s="363"/>
      <c r="R203" s="363"/>
      <c r="S203" s="363"/>
      <c r="T203" s="363"/>
      <c r="U203" s="363"/>
      <c r="V203" s="363"/>
      <c r="W203" s="363"/>
      <c r="X203" s="363"/>
      <c r="Y203" s="363"/>
      <c r="Z203" s="363"/>
    </row>
    <row r="204" spans="1:26" ht="13.5" customHeight="1" x14ac:dyDescent="0.2">
      <c r="A204" s="386">
        <f t="shared" si="0"/>
        <v>16</v>
      </c>
      <c r="B204" s="387">
        <f t="shared" si="5"/>
        <v>183</v>
      </c>
      <c r="C204" s="388">
        <f t="shared" si="6"/>
        <v>51683</v>
      </c>
      <c r="D204" s="389">
        <f t="shared" si="7"/>
        <v>894269.26336970343</v>
      </c>
      <c r="E204" s="389">
        <f t="shared" si="1"/>
        <v>5030.2646064545816</v>
      </c>
      <c r="F204" s="389">
        <f t="shared" si="2"/>
        <v>5360.1674349675714</v>
      </c>
      <c r="G204" s="389">
        <f t="shared" si="3"/>
        <v>888909.09593473584</v>
      </c>
      <c r="H204" s="389">
        <f t="shared" si="4"/>
        <v>1282931.7905208594</v>
      </c>
      <c r="I204" s="363"/>
      <c r="J204" s="363"/>
      <c r="K204" s="363"/>
      <c r="L204" s="363"/>
      <c r="M204" s="363"/>
      <c r="N204" s="363"/>
      <c r="O204" s="363"/>
      <c r="P204" s="363"/>
      <c r="Q204" s="363"/>
      <c r="R204" s="363"/>
      <c r="S204" s="363"/>
      <c r="T204" s="363"/>
      <c r="U204" s="363"/>
      <c r="V204" s="363"/>
      <c r="W204" s="363"/>
      <c r="X204" s="363"/>
      <c r="Y204" s="363"/>
      <c r="Z204" s="363"/>
    </row>
    <row r="205" spans="1:26" ht="13.5" customHeight="1" x14ac:dyDescent="0.2">
      <c r="A205" s="386">
        <f t="shared" si="0"/>
        <v>16</v>
      </c>
      <c r="B205" s="387">
        <f t="shared" si="5"/>
        <v>184</v>
      </c>
      <c r="C205" s="388">
        <f t="shared" si="6"/>
        <v>51714</v>
      </c>
      <c r="D205" s="389">
        <f t="shared" si="7"/>
        <v>888909.09593473584</v>
      </c>
      <c r="E205" s="389">
        <f t="shared" si="1"/>
        <v>5000.1136646328896</v>
      </c>
      <c r="F205" s="389">
        <f t="shared" si="2"/>
        <v>5390.3183767892633</v>
      </c>
      <c r="G205" s="389">
        <f t="shared" si="3"/>
        <v>883518.77755794663</v>
      </c>
      <c r="H205" s="389">
        <f t="shared" si="4"/>
        <v>1287931.9041854923</v>
      </c>
      <c r="I205" s="363"/>
      <c r="J205" s="363"/>
      <c r="K205" s="363"/>
      <c r="L205" s="363"/>
      <c r="M205" s="363"/>
      <c r="N205" s="363"/>
      <c r="O205" s="363"/>
      <c r="P205" s="363"/>
      <c r="Q205" s="363"/>
      <c r="R205" s="363"/>
      <c r="S205" s="363"/>
      <c r="T205" s="363"/>
      <c r="U205" s="363"/>
      <c r="V205" s="363"/>
      <c r="W205" s="363"/>
      <c r="X205" s="363"/>
      <c r="Y205" s="363"/>
      <c r="Z205" s="363"/>
    </row>
    <row r="206" spans="1:26" ht="13.5" customHeight="1" x14ac:dyDescent="0.2">
      <c r="A206" s="386">
        <f t="shared" si="0"/>
        <v>16</v>
      </c>
      <c r="B206" s="387">
        <f t="shared" si="5"/>
        <v>185</v>
      </c>
      <c r="C206" s="388">
        <f t="shared" si="6"/>
        <v>51745</v>
      </c>
      <c r="D206" s="389">
        <f t="shared" si="7"/>
        <v>883518.77755794663</v>
      </c>
      <c r="E206" s="389">
        <f t="shared" si="1"/>
        <v>4969.7931237634502</v>
      </c>
      <c r="F206" s="389">
        <f t="shared" si="2"/>
        <v>5420.6389176587027</v>
      </c>
      <c r="G206" s="389">
        <f t="shared" si="3"/>
        <v>878098.13864028791</v>
      </c>
      <c r="H206" s="389">
        <f t="shared" si="4"/>
        <v>1292901.6973092558</v>
      </c>
      <c r="I206" s="363"/>
      <c r="J206" s="363"/>
      <c r="K206" s="363"/>
      <c r="L206" s="363"/>
      <c r="M206" s="363"/>
      <c r="N206" s="363"/>
      <c r="O206" s="363"/>
      <c r="P206" s="363"/>
      <c r="Q206" s="363"/>
      <c r="R206" s="363"/>
      <c r="S206" s="363"/>
      <c r="T206" s="363"/>
      <c r="U206" s="363"/>
      <c r="V206" s="363"/>
      <c r="W206" s="363"/>
      <c r="X206" s="363"/>
      <c r="Y206" s="363"/>
      <c r="Z206" s="363"/>
    </row>
    <row r="207" spans="1:26" ht="13.5" customHeight="1" x14ac:dyDescent="0.2">
      <c r="A207" s="386">
        <f t="shared" si="0"/>
        <v>16</v>
      </c>
      <c r="B207" s="387">
        <f t="shared" si="5"/>
        <v>186</v>
      </c>
      <c r="C207" s="388">
        <f t="shared" si="6"/>
        <v>51775</v>
      </c>
      <c r="D207" s="389">
        <f t="shared" si="7"/>
        <v>878098.13864028791</v>
      </c>
      <c r="E207" s="389">
        <f t="shared" si="1"/>
        <v>4939.3020298516194</v>
      </c>
      <c r="F207" s="389">
        <f t="shared" si="2"/>
        <v>5451.1300115705335</v>
      </c>
      <c r="G207" s="389">
        <f t="shared" si="3"/>
        <v>872647.00862871739</v>
      </c>
      <c r="H207" s="389">
        <f t="shared" si="4"/>
        <v>1297840.9993391074</v>
      </c>
      <c r="I207" s="363"/>
      <c r="J207" s="363"/>
      <c r="K207" s="363"/>
      <c r="L207" s="363"/>
      <c r="M207" s="363"/>
      <c r="N207" s="363"/>
      <c r="O207" s="363"/>
      <c r="P207" s="363"/>
      <c r="Q207" s="363"/>
      <c r="R207" s="363"/>
      <c r="S207" s="363"/>
      <c r="T207" s="363"/>
      <c r="U207" s="363"/>
      <c r="V207" s="363"/>
      <c r="W207" s="363"/>
      <c r="X207" s="363"/>
      <c r="Y207" s="363"/>
      <c r="Z207" s="363"/>
    </row>
    <row r="208" spans="1:26" ht="13.5" customHeight="1" x14ac:dyDescent="0.2">
      <c r="A208" s="386">
        <f t="shared" si="0"/>
        <v>16</v>
      </c>
      <c r="B208" s="387">
        <f t="shared" si="5"/>
        <v>187</v>
      </c>
      <c r="C208" s="388">
        <f t="shared" si="6"/>
        <v>51806</v>
      </c>
      <c r="D208" s="389">
        <f t="shared" si="7"/>
        <v>872647.00862871739</v>
      </c>
      <c r="E208" s="389">
        <f t="shared" si="1"/>
        <v>4908.639423536536</v>
      </c>
      <c r="F208" s="389">
        <f t="shared" si="2"/>
        <v>5481.7926178856169</v>
      </c>
      <c r="G208" s="389">
        <f t="shared" si="3"/>
        <v>867165.21601083176</v>
      </c>
      <c r="H208" s="389">
        <f t="shared" si="4"/>
        <v>1302749.638762644</v>
      </c>
      <c r="I208" s="363"/>
      <c r="J208" s="363"/>
      <c r="K208" s="363"/>
      <c r="L208" s="363"/>
      <c r="M208" s="363"/>
      <c r="N208" s="363"/>
      <c r="O208" s="363"/>
      <c r="P208" s="363"/>
      <c r="Q208" s="363"/>
      <c r="R208" s="363"/>
      <c r="S208" s="363"/>
      <c r="T208" s="363"/>
      <c r="U208" s="363"/>
      <c r="V208" s="363"/>
      <c r="W208" s="363"/>
      <c r="X208" s="363"/>
      <c r="Y208" s="363"/>
      <c r="Z208" s="363"/>
    </row>
    <row r="209" spans="1:26" ht="13.5" customHeight="1" x14ac:dyDescent="0.2">
      <c r="A209" s="386">
        <f t="shared" si="0"/>
        <v>16</v>
      </c>
      <c r="B209" s="387">
        <f t="shared" si="5"/>
        <v>188</v>
      </c>
      <c r="C209" s="388">
        <f t="shared" si="6"/>
        <v>51836</v>
      </c>
      <c r="D209" s="389">
        <f t="shared" si="7"/>
        <v>867165.21601083176</v>
      </c>
      <c r="E209" s="389">
        <f t="shared" si="1"/>
        <v>4877.8043400609286</v>
      </c>
      <c r="F209" s="389">
        <f t="shared" si="2"/>
        <v>5512.6277013612244</v>
      </c>
      <c r="G209" s="389">
        <f t="shared" si="3"/>
        <v>861652.58830947056</v>
      </c>
      <c r="H209" s="389">
        <f t="shared" si="4"/>
        <v>1307627.4431027051</v>
      </c>
      <c r="I209" s="363"/>
      <c r="J209" s="363"/>
      <c r="K209" s="363"/>
      <c r="L209" s="363"/>
      <c r="M209" s="363"/>
      <c r="N209" s="363"/>
      <c r="O209" s="363"/>
      <c r="P209" s="363"/>
      <c r="Q209" s="363"/>
      <c r="R209" s="363"/>
      <c r="S209" s="363"/>
      <c r="T209" s="363"/>
      <c r="U209" s="363"/>
      <c r="V209" s="363"/>
      <c r="W209" s="363"/>
      <c r="X209" s="363"/>
      <c r="Y209" s="363"/>
      <c r="Z209" s="363"/>
    </row>
    <row r="210" spans="1:26" ht="13.5" customHeight="1" x14ac:dyDescent="0.2">
      <c r="A210" s="386">
        <f t="shared" si="0"/>
        <v>16</v>
      </c>
      <c r="B210" s="387">
        <f t="shared" si="5"/>
        <v>189</v>
      </c>
      <c r="C210" s="388">
        <f t="shared" si="6"/>
        <v>51867</v>
      </c>
      <c r="D210" s="389">
        <f t="shared" si="7"/>
        <v>861652.58830947056</v>
      </c>
      <c r="E210" s="389">
        <f t="shared" si="1"/>
        <v>4846.7958092407725</v>
      </c>
      <c r="F210" s="389">
        <f t="shared" si="2"/>
        <v>5543.6362321813804</v>
      </c>
      <c r="G210" s="389">
        <f t="shared" si="3"/>
        <v>856108.95207728923</v>
      </c>
      <c r="H210" s="389">
        <f t="shared" si="4"/>
        <v>1312474.2389119458</v>
      </c>
      <c r="I210" s="363"/>
      <c r="J210" s="363"/>
      <c r="K210" s="363"/>
      <c r="L210" s="363"/>
      <c r="M210" s="363"/>
      <c r="N210" s="363"/>
      <c r="O210" s="363"/>
      <c r="P210" s="363"/>
      <c r="Q210" s="363"/>
      <c r="R210" s="363"/>
      <c r="S210" s="363"/>
      <c r="T210" s="363"/>
      <c r="U210" s="363"/>
      <c r="V210" s="363"/>
      <c r="W210" s="363"/>
      <c r="X210" s="363"/>
      <c r="Y210" s="363"/>
      <c r="Z210" s="363"/>
    </row>
    <row r="211" spans="1:26" ht="13.5" customHeight="1" x14ac:dyDescent="0.2">
      <c r="A211" s="386">
        <f t="shared" si="0"/>
        <v>16</v>
      </c>
      <c r="B211" s="387">
        <f t="shared" si="5"/>
        <v>190</v>
      </c>
      <c r="C211" s="388">
        <f t="shared" si="6"/>
        <v>51898</v>
      </c>
      <c r="D211" s="389">
        <f t="shared" si="7"/>
        <v>856108.95207728923</v>
      </c>
      <c r="E211" s="389">
        <f t="shared" si="1"/>
        <v>4815.6128554347524</v>
      </c>
      <c r="F211" s="389">
        <f t="shared" si="2"/>
        <v>5574.8191859874005</v>
      </c>
      <c r="G211" s="389">
        <f t="shared" si="3"/>
        <v>850534.13289130188</v>
      </c>
      <c r="H211" s="389">
        <f t="shared" si="4"/>
        <v>1317289.8517673805</v>
      </c>
      <c r="I211" s="363"/>
      <c r="J211" s="363"/>
      <c r="K211" s="363"/>
      <c r="L211" s="363"/>
      <c r="M211" s="363"/>
      <c r="N211" s="363"/>
      <c r="O211" s="363"/>
      <c r="P211" s="363"/>
      <c r="Q211" s="363"/>
      <c r="R211" s="363"/>
      <c r="S211" s="363"/>
      <c r="T211" s="363"/>
      <c r="U211" s="363"/>
      <c r="V211" s="363"/>
      <c r="W211" s="363"/>
      <c r="X211" s="363"/>
      <c r="Y211" s="363"/>
      <c r="Z211" s="363"/>
    </row>
    <row r="212" spans="1:26" ht="13.5" customHeight="1" x14ac:dyDescent="0.2">
      <c r="A212" s="386">
        <f t="shared" si="0"/>
        <v>16</v>
      </c>
      <c r="B212" s="387">
        <f t="shared" si="5"/>
        <v>191</v>
      </c>
      <c r="C212" s="388">
        <f t="shared" si="6"/>
        <v>51926</v>
      </c>
      <c r="D212" s="389">
        <f t="shared" si="7"/>
        <v>850534.13289130188</v>
      </c>
      <c r="E212" s="389">
        <f t="shared" si="1"/>
        <v>4784.2544975135734</v>
      </c>
      <c r="F212" s="389">
        <f t="shared" si="2"/>
        <v>5606.1775439085795</v>
      </c>
      <c r="G212" s="389">
        <f t="shared" si="3"/>
        <v>844927.95534739329</v>
      </c>
      <c r="H212" s="389">
        <f t="shared" si="4"/>
        <v>1322074.1062648941</v>
      </c>
      <c r="I212" s="363"/>
      <c r="J212" s="363"/>
      <c r="K212" s="363"/>
      <c r="L212" s="363"/>
      <c r="M212" s="363"/>
      <c r="N212" s="363"/>
      <c r="O212" s="363"/>
      <c r="P212" s="363"/>
      <c r="Q212" s="363"/>
      <c r="R212" s="363"/>
      <c r="S212" s="363"/>
      <c r="T212" s="363"/>
      <c r="U212" s="363"/>
      <c r="V212" s="363"/>
      <c r="W212" s="363"/>
      <c r="X212" s="363"/>
      <c r="Y212" s="363"/>
      <c r="Z212" s="363"/>
    </row>
    <row r="213" spans="1:26" ht="13.5" customHeight="1" x14ac:dyDescent="0.2">
      <c r="A213" s="386">
        <f t="shared" si="0"/>
        <v>16</v>
      </c>
      <c r="B213" s="387">
        <f t="shared" si="5"/>
        <v>192</v>
      </c>
      <c r="C213" s="388">
        <f t="shared" si="6"/>
        <v>51957</v>
      </c>
      <c r="D213" s="389">
        <f t="shared" si="7"/>
        <v>844927.95534739329</v>
      </c>
      <c r="E213" s="389">
        <f t="shared" si="1"/>
        <v>4752.7197488290876</v>
      </c>
      <c r="F213" s="389">
        <f t="shared" si="2"/>
        <v>5637.7122925930653</v>
      </c>
      <c r="G213" s="389">
        <f t="shared" si="3"/>
        <v>839290.2430548002</v>
      </c>
      <c r="H213" s="389">
        <f t="shared" si="4"/>
        <v>1326826.8260137232</v>
      </c>
      <c r="I213" s="363"/>
      <c r="J213" s="363"/>
      <c r="K213" s="363"/>
      <c r="L213" s="363"/>
      <c r="M213" s="363"/>
      <c r="N213" s="363"/>
      <c r="O213" s="363"/>
      <c r="P213" s="363"/>
      <c r="Q213" s="363"/>
      <c r="R213" s="363"/>
      <c r="S213" s="363"/>
      <c r="T213" s="363"/>
      <c r="U213" s="363"/>
      <c r="V213" s="363"/>
      <c r="W213" s="363"/>
      <c r="X213" s="363"/>
      <c r="Y213" s="363"/>
      <c r="Z213" s="363"/>
    </row>
    <row r="214" spans="1:26" ht="13.5" customHeight="1" x14ac:dyDescent="0.2">
      <c r="A214" s="386">
        <f t="shared" si="0"/>
        <v>17</v>
      </c>
      <c r="B214" s="387">
        <f t="shared" si="5"/>
        <v>193</v>
      </c>
      <c r="C214" s="388">
        <f t="shared" si="6"/>
        <v>51987</v>
      </c>
      <c r="D214" s="389">
        <f t="shared" si="7"/>
        <v>839290.2430548002</v>
      </c>
      <c r="E214" s="389">
        <f t="shared" si="1"/>
        <v>4721.0076171832516</v>
      </c>
      <c r="F214" s="389">
        <f t="shared" si="2"/>
        <v>5669.4244242389013</v>
      </c>
      <c r="G214" s="389">
        <f t="shared" si="3"/>
        <v>833620.81863056135</v>
      </c>
      <c r="H214" s="389">
        <f t="shared" si="4"/>
        <v>1331547.8336309064</v>
      </c>
      <c r="I214" s="363"/>
      <c r="J214" s="363"/>
      <c r="K214" s="363"/>
      <c r="L214" s="363"/>
      <c r="M214" s="363"/>
      <c r="N214" s="363"/>
      <c r="O214" s="363"/>
      <c r="P214" s="363"/>
      <c r="Q214" s="363"/>
      <c r="R214" s="363"/>
      <c r="S214" s="363"/>
      <c r="T214" s="363"/>
      <c r="U214" s="363"/>
      <c r="V214" s="363"/>
      <c r="W214" s="363"/>
      <c r="X214" s="363"/>
      <c r="Y214" s="363"/>
      <c r="Z214" s="363"/>
    </row>
    <row r="215" spans="1:26" ht="13.5" customHeight="1" x14ac:dyDescent="0.2">
      <c r="A215" s="386">
        <f t="shared" si="0"/>
        <v>17</v>
      </c>
      <c r="B215" s="387">
        <f t="shared" si="5"/>
        <v>194</v>
      </c>
      <c r="C215" s="388">
        <f t="shared" si="6"/>
        <v>52018</v>
      </c>
      <c r="D215" s="389">
        <f t="shared" si="7"/>
        <v>833620.81863056135</v>
      </c>
      <c r="E215" s="389">
        <f t="shared" si="1"/>
        <v>4689.1171047969083</v>
      </c>
      <c r="F215" s="389">
        <f t="shared" si="2"/>
        <v>5701.3149366252446</v>
      </c>
      <c r="G215" s="389">
        <f t="shared" si="3"/>
        <v>827919.50369393616</v>
      </c>
      <c r="H215" s="389">
        <f t="shared" si="4"/>
        <v>1336236.9507357033</v>
      </c>
      <c r="I215" s="363"/>
      <c r="J215" s="363"/>
      <c r="K215" s="363"/>
      <c r="L215" s="363"/>
      <c r="M215" s="363"/>
      <c r="N215" s="363"/>
      <c r="O215" s="363"/>
      <c r="P215" s="363"/>
      <c r="Q215" s="363"/>
      <c r="R215" s="363"/>
      <c r="S215" s="363"/>
      <c r="T215" s="363"/>
      <c r="U215" s="363"/>
      <c r="V215" s="363"/>
      <c r="W215" s="363"/>
      <c r="X215" s="363"/>
      <c r="Y215" s="363"/>
      <c r="Z215" s="363"/>
    </row>
    <row r="216" spans="1:26" ht="13.5" customHeight="1" x14ac:dyDescent="0.2">
      <c r="A216" s="386">
        <f t="shared" si="0"/>
        <v>17</v>
      </c>
      <c r="B216" s="387">
        <f t="shared" si="5"/>
        <v>195</v>
      </c>
      <c r="C216" s="388">
        <f t="shared" si="6"/>
        <v>52048</v>
      </c>
      <c r="D216" s="389">
        <f t="shared" si="7"/>
        <v>827919.50369393616</v>
      </c>
      <c r="E216" s="389">
        <f t="shared" si="1"/>
        <v>4657.0472082783917</v>
      </c>
      <c r="F216" s="389">
        <f t="shared" si="2"/>
        <v>5733.3848331437612</v>
      </c>
      <c r="G216" s="389">
        <f t="shared" si="3"/>
        <v>822186.11886079237</v>
      </c>
      <c r="H216" s="389">
        <f t="shared" si="4"/>
        <v>1340893.9979439818</v>
      </c>
      <c r="I216" s="363"/>
      <c r="J216" s="363"/>
      <c r="K216" s="363"/>
      <c r="L216" s="363"/>
      <c r="M216" s="363"/>
      <c r="N216" s="363"/>
      <c r="O216" s="363"/>
      <c r="P216" s="363"/>
      <c r="Q216" s="363"/>
      <c r="R216" s="363"/>
      <c r="S216" s="363"/>
      <c r="T216" s="363"/>
      <c r="U216" s="363"/>
      <c r="V216" s="363"/>
      <c r="W216" s="363"/>
      <c r="X216" s="363"/>
      <c r="Y216" s="363"/>
      <c r="Z216" s="363"/>
    </row>
    <row r="217" spans="1:26" ht="13.5" customHeight="1" x14ac:dyDescent="0.2">
      <c r="A217" s="386">
        <f t="shared" si="0"/>
        <v>17</v>
      </c>
      <c r="B217" s="387">
        <f t="shared" si="5"/>
        <v>196</v>
      </c>
      <c r="C217" s="388">
        <f t="shared" si="6"/>
        <v>52079</v>
      </c>
      <c r="D217" s="389">
        <f t="shared" si="7"/>
        <v>822186.11886079237</v>
      </c>
      <c r="E217" s="389">
        <f t="shared" si="1"/>
        <v>4624.7969185919574</v>
      </c>
      <c r="F217" s="389">
        <f t="shared" si="2"/>
        <v>5765.6351228301955</v>
      </c>
      <c r="G217" s="389">
        <f t="shared" si="3"/>
        <v>816420.4837379622</v>
      </c>
      <c r="H217" s="389">
        <f t="shared" si="4"/>
        <v>1345518.7948625737</v>
      </c>
      <c r="I217" s="363"/>
      <c r="J217" s="363"/>
      <c r="K217" s="363"/>
      <c r="L217" s="363"/>
      <c r="M217" s="363"/>
      <c r="N217" s="363"/>
      <c r="O217" s="363"/>
      <c r="P217" s="363"/>
      <c r="Q217" s="363"/>
      <c r="R217" s="363"/>
      <c r="S217" s="363"/>
      <c r="T217" s="363"/>
      <c r="U217" s="363"/>
      <c r="V217" s="363"/>
      <c r="W217" s="363"/>
      <c r="X217" s="363"/>
      <c r="Y217" s="363"/>
      <c r="Z217" s="363"/>
    </row>
    <row r="218" spans="1:26" ht="13.5" customHeight="1" x14ac:dyDescent="0.2">
      <c r="A218" s="386">
        <f t="shared" si="0"/>
        <v>17</v>
      </c>
      <c r="B218" s="387">
        <f t="shared" si="5"/>
        <v>197</v>
      </c>
      <c r="C218" s="388">
        <f t="shared" si="6"/>
        <v>52110</v>
      </c>
      <c r="D218" s="389">
        <f t="shared" si="7"/>
        <v>816420.4837379622</v>
      </c>
      <c r="E218" s="389">
        <f t="shared" si="1"/>
        <v>4592.3652210260379</v>
      </c>
      <c r="F218" s="389">
        <f t="shared" si="2"/>
        <v>5798.066820396115</v>
      </c>
      <c r="G218" s="389">
        <f t="shared" si="3"/>
        <v>810622.41691756609</v>
      </c>
      <c r="H218" s="389">
        <f t="shared" si="4"/>
        <v>1350111.1600835999</v>
      </c>
      <c r="I218" s="363"/>
      <c r="J218" s="363"/>
      <c r="K218" s="363"/>
      <c r="L218" s="363"/>
      <c r="M218" s="363"/>
      <c r="N218" s="363"/>
      <c r="O218" s="363"/>
      <c r="P218" s="363"/>
      <c r="Q218" s="363"/>
      <c r="R218" s="363"/>
      <c r="S218" s="363"/>
      <c r="T218" s="363"/>
      <c r="U218" s="363"/>
      <c r="V218" s="363"/>
      <c r="W218" s="363"/>
      <c r="X218" s="363"/>
      <c r="Y218" s="363"/>
      <c r="Z218" s="363"/>
    </row>
    <row r="219" spans="1:26" ht="13.5" customHeight="1" x14ac:dyDescent="0.2">
      <c r="A219" s="386">
        <f t="shared" si="0"/>
        <v>17</v>
      </c>
      <c r="B219" s="387">
        <f t="shared" si="5"/>
        <v>198</v>
      </c>
      <c r="C219" s="388">
        <f t="shared" si="6"/>
        <v>52140</v>
      </c>
      <c r="D219" s="389">
        <f t="shared" si="7"/>
        <v>810622.41691756609</v>
      </c>
      <c r="E219" s="389">
        <f t="shared" si="1"/>
        <v>4559.7510951613094</v>
      </c>
      <c r="F219" s="389">
        <f t="shared" si="2"/>
        <v>5830.6809462608435</v>
      </c>
      <c r="G219" s="389">
        <f t="shared" si="3"/>
        <v>804791.73597130529</v>
      </c>
      <c r="H219" s="389">
        <f t="shared" si="4"/>
        <v>1354670.9111787612</v>
      </c>
      <c r="I219" s="363"/>
      <c r="J219" s="363"/>
      <c r="K219" s="363"/>
      <c r="L219" s="363"/>
      <c r="M219" s="363"/>
      <c r="N219" s="363"/>
      <c r="O219" s="363"/>
      <c r="P219" s="363"/>
      <c r="Q219" s="363"/>
      <c r="R219" s="363"/>
      <c r="S219" s="363"/>
      <c r="T219" s="363"/>
      <c r="U219" s="363"/>
      <c r="V219" s="363"/>
      <c r="W219" s="363"/>
      <c r="X219" s="363"/>
      <c r="Y219" s="363"/>
      <c r="Z219" s="363"/>
    </row>
    <row r="220" spans="1:26" ht="13.5" customHeight="1" x14ac:dyDescent="0.2">
      <c r="A220" s="386">
        <f t="shared" si="0"/>
        <v>17</v>
      </c>
      <c r="B220" s="387">
        <f t="shared" si="5"/>
        <v>199</v>
      </c>
      <c r="C220" s="388">
        <f t="shared" si="6"/>
        <v>52171</v>
      </c>
      <c r="D220" s="389">
        <f t="shared" si="7"/>
        <v>804791.73597130529</v>
      </c>
      <c r="E220" s="389">
        <f t="shared" si="1"/>
        <v>4526.9535148385921</v>
      </c>
      <c r="F220" s="389">
        <f t="shared" si="2"/>
        <v>5863.4785265835608</v>
      </c>
      <c r="G220" s="389">
        <f t="shared" si="3"/>
        <v>798928.25744472176</v>
      </c>
      <c r="H220" s="389">
        <f t="shared" si="4"/>
        <v>1359197.8646935998</v>
      </c>
      <c r="I220" s="363"/>
      <c r="J220" s="363"/>
      <c r="K220" s="363"/>
      <c r="L220" s="363"/>
      <c r="M220" s="363"/>
      <c r="N220" s="363"/>
      <c r="O220" s="363"/>
      <c r="P220" s="363"/>
      <c r="Q220" s="363"/>
      <c r="R220" s="363"/>
      <c r="S220" s="363"/>
      <c r="T220" s="363"/>
      <c r="U220" s="363"/>
      <c r="V220" s="363"/>
      <c r="W220" s="363"/>
      <c r="X220" s="363"/>
      <c r="Y220" s="363"/>
      <c r="Z220" s="363"/>
    </row>
    <row r="221" spans="1:26" ht="13.5" customHeight="1" x14ac:dyDescent="0.2">
      <c r="A221" s="386">
        <f t="shared" si="0"/>
        <v>17</v>
      </c>
      <c r="B221" s="387">
        <f t="shared" si="5"/>
        <v>200</v>
      </c>
      <c r="C221" s="388">
        <f t="shared" si="6"/>
        <v>52201</v>
      </c>
      <c r="D221" s="389">
        <f t="shared" si="7"/>
        <v>798928.25744472176</v>
      </c>
      <c r="E221" s="389">
        <f t="shared" si="1"/>
        <v>4493.9714481265601</v>
      </c>
      <c r="F221" s="389">
        <f t="shared" si="2"/>
        <v>5896.4605932955928</v>
      </c>
      <c r="G221" s="389">
        <f t="shared" si="3"/>
        <v>793031.79685142613</v>
      </c>
      <c r="H221" s="389">
        <f t="shared" si="4"/>
        <v>1363691.8361417262</v>
      </c>
      <c r="I221" s="363"/>
      <c r="J221" s="363"/>
      <c r="K221" s="363"/>
      <c r="L221" s="363"/>
      <c r="M221" s="363"/>
      <c r="N221" s="363"/>
      <c r="O221" s="363"/>
      <c r="P221" s="363"/>
      <c r="Q221" s="363"/>
      <c r="R221" s="363"/>
      <c r="S221" s="363"/>
      <c r="T221" s="363"/>
      <c r="U221" s="363"/>
      <c r="V221" s="363"/>
      <c r="W221" s="363"/>
      <c r="X221" s="363"/>
      <c r="Y221" s="363"/>
      <c r="Z221" s="363"/>
    </row>
    <row r="222" spans="1:26" ht="13.5" customHeight="1" x14ac:dyDescent="0.2">
      <c r="A222" s="386">
        <f t="shared" si="0"/>
        <v>17</v>
      </c>
      <c r="B222" s="387">
        <f t="shared" si="5"/>
        <v>201</v>
      </c>
      <c r="C222" s="388">
        <f t="shared" si="6"/>
        <v>52232</v>
      </c>
      <c r="D222" s="389">
        <f t="shared" si="7"/>
        <v>793031.79685142613</v>
      </c>
      <c r="E222" s="389">
        <f t="shared" si="1"/>
        <v>4460.8038572892719</v>
      </c>
      <c r="F222" s="389">
        <f t="shared" si="2"/>
        <v>5929.628184132881</v>
      </c>
      <c r="G222" s="389">
        <f t="shared" si="3"/>
        <v>787102.16866729327</v>
      </c>
      <c r="H222" s="389">
        <f t="shared" si="4"/>
        <v>1368152.6399990155</v>
      </c>
      <c r="I222" s="363"/>
      <c r="J222" s="363"/>
      <c r="K222" s="363"/>
      <c r="L222" s="363"/>
      <c r="M222" s="363"/>
      <c r="N222" s="363"/>
      <c r="O222" s="363"/>
      <c r="P222" s="363"/>
      <c r="Q222" s="363"/>
      <c r="R222" s="363"/>
      <c r="S222" s="363"/>
      <c r="T222" s="363"/>
      <c r="U222" s="363"/>
      <c r="V222" s="363"/>
      <c r="W222" s="363"/>
      <c r="X222" s="363"/>
      <c r="Y222" s="363"/>
      <c r="Z222" s="363"/>
    </row>
    <row r="223" spans="1:26" ht="13.5" customHeight="1" x14ac:dyDescent="0.2">
      <c r="A223" s="386">
        <f t="shared" si="0"/>
        <v>17</v>
      </c>
      <c r="B223" s="387">
        <f t="shared" si="5"/>
        <v>202</v>
      </c>
      <c r="C223" s="388">
        <f t="shared" si="6"/>
        <v>52263</v>
      </c>
      <c r="D223" s="389">
        <f t="shared" si="7"/>
        <v>787102.16866729327</v>
      </c>
      <c r="E223" s="389">
        <f t="shared" si="1"/>
        <v>4427.4496987535249</v>
      </c>
      <c r="F223" s="389">
        <f t="shared" si="2"/>
        <v>5962.982342668628</v>
      </c>
      <c r="G223" s="389">
        <f t="shared" si="3"/>
        <v>781139.18632462469</v>
      </c>
      <c r="H223" s="389">
        <f t="shared" si="4"/>
        <v>1372580.0896977689</v>
      </c>
      <c r="I223" s="363"/>
      <c r="J223" s="363"/>
      <c r="K223" s="363"/>
      <c r="L223" s="363"/>
      <c r="M223" s="363"/>
      <c r="N223" s="363"/>
      <c r="O223" s="363"/>
      <c r="P223" s="363"/>
      <c r="Q223" s="363"/>
      <c r="R223" s="363"/>
      <c r="S223" s="363"/>
      <c r="T223" s="363"/>
      <c r="U223" s="363"/>
      <c r="V223" s="363"/>
      <c r="W223" s="363"/>
      <c r="X223" s="363"/>
      <c r="Y223" s="363"/>
      <c r="Z223" s="363"/>
    </row>
    <row r="224" spans="1:26" ht="13.5" customHeight="1" x14ac:dyDescent="0.2">
      <c r="A224" s="386">
        <f t="shared" si="0"/>
        <v>17</v>
      </c>
      <c r="B224" s="387">
        <f t="shared" si="5"/>
        <v>203</v>
      </c>
      <c r="C224" s="388">
        <f t="shared" si="6"/>
        <v>52291</v>
      </c>
      <c r="D224" s="389">
        <f t="shared" si="7"/>
        <v>781139.18632462469</v>
      </c>
      <c r="E224" s="389">
        <f t="shared" si="1"/>
        <v>4393.9079230760144</v>
      </c>
      <c r="F224" s="389">
        <f t="shared" si="2"/>
        <v>5996.5241183461385</v>
      </c>
      <c r="G224" s="389">
        <f t="shared" si="3"/>
        <v>775142.66220627853</v>
      </c>
      <c r="H224" s="389">
        <f t="shared" si="4"/>
        <v>1376973.997620845</v>
      </c>
      <c r="I224" s="363"/>
      <c r="J224" s="363"/>
      <c r="K224" s="363"/>
      <c r="L224" s="363"/>
      <c r="M224" s="363"/>
      <c r="N224" s="363"/>
      <c r="O224" s="363"/>
      <c r="P224" s="363"/>
      <c r="Q224" s="363"/>
      <c r="R224" s="363"/>
      <c r="S224" s="363"/>
      <c r="T224" s="363"/>
      <c r="U224" s="363"/>
      <c r="V224" s="363"/>
      <c r="W224" s="363"/>
      <c r="X224" s="363"/>
      <c r="Y224" s="363"/>
      <c r="Z224" s="363"/>
    </row>
    <row r="225" spans="1:26" ht="13.5" customHeight="1" x14ac:dyDescent="0.2">
      <c r="A225" s="386">
        <f t="shared" si="0"/>
        <v>17</v>
      </c>
      <c r="B225" s="387">
        <f t="shared" si="5"/>
        <v>204</v>
      </c>
      <c r="C225" s="388">
        <f t="shared" si="6"/>
        <v>52322</v>
      </c>
      <c r="D225" s="389">
        <f t="shared" si="7"/>
        <v>775142.66220627853</v>
      </c>
      <c r="E225" s="389">
        <f t="shared" si="1"/>
        <v>4360.177474910317</v>
      </c>
      <c r="F225" s="389">
        <f t="shared" si="2"/>
        <v>6030.2545665118359</v>
      </c>
      <c r="G225" s="389">
        <f t="shared" si="3"/>
        <v>769112.40763976669</v>
      </c>
      <c r="H225" s="389">
        <f t="shared" si="4"/>
        <v>1381334.1750957554</v>
      </c>
      <c r="I225" s="363"/>
      <c r="J225" s="363"/>
      <c r="K225" s="363"/>
      <c r="L225" s="363"/>
      <c r="M225" s="363"/>
      <c r="N225" s="363"/>
      <c r="O225" s="363"/>
      <c r="P225" s="363"/>
      <c r="Q225" s="363"/>
      <c r="R225" s="363"/>
      <c r="S225" s="363"/>
      <c r="T225" s="363"/>
      <c r="U225" s="363"/>
      <c r="V225" s="363"/>
      <c r="W225" s="363"/>
      <c r="X225" s="363"/>
      <c r="Y225" s="363"/>
      <c r="Z225" s="363"/>
    </row>
    <row r="226" spans="1:26" ht="13.5" customHeight="1" x14ac:dyDescent="0.2">
      <c r="A226" s="386">
        <f t="shared" si="0"/>
        <v>18</v>
      </c>
      <c r="B226" s="387">
        <f t="shared" si="5"/>
        <v>205</v>
      </c>
      <c r="C226" s="388">
        <f t="shared" si="6"/>
        <v>52352</v>
      </c>
      <c r="D226" s="389">
        <f t="shared" si="7"/>
        <v>769112.40763976669</v>
      </c>
      <c r="E226" s="389">
        <f t="shared" si="1"/>
        <v>4326.257292973688</v>
      </c>
      <c r="F226" s="389">
        <f t="shared" si="2"/>
        <v>6064.1747484484649</v>
      </c>
      <c r="G226" s="389">
        <f t="shared" si="3"/>
        <v>763048.23289131827</v>
      </c>
      <c r="H226" s="389">
        <f t="shared" si="4"/>
        <v>1385660.432388729</v>
      </c>
      <c r="I226" s="363"/>
      <c r="J226" s="363"/>
      <c r="K226" s="363"/>
      <c r="L226" s="363"/>
      <c r="M226" s="363"/>
      <c r="N226" s="363"/>
      <c r="O226" s="363"/>
      <c r="P226" s="363"/>
      <c r="Q226" s="363"/>
      <c r="R226" s="363"/>
      <c r="S226" s="363"/>
      <c r="T226" s="363"/>
      <c r="U226" s="363"/>
      <c r="V226" s="363"/>
      <c r="W226" s="363"/>
      <c r="X226" s="363"/>
      <c r="Y226" s="363"/>
      <c r="Z226" s="363"/>
    </row>
    <row r="227" spans="1:26" ht="13.5" customHeight="1" x14ac:dyDescent="0.2">
      <c r="A227" s="386">
        <f t="shared" si="0"/>
        <v>18</v>
      </c>
      <c r="B227" s="387">
        <f t="shared" si="5"/>
        <v>206</v>
      </c>
      <c r="C227" s="388">
        <f t="shared" si="6"/>
        <v>52383</v>
      </c>
      <c r="D227" s="389">
        <f t="shared" si="7"/>
        <v>763048.23289131827</v>
      </c>
      <c r="E227" s="389">
        <f t="shared" si="1"/>
        <v>4292.1463100136652</v>
      </c>
      <c r="F227" s="389">
        <f t="shared" si="2"/>
        <v>6098.2857314084877</v>
      </c>
      <c r="G227" s="389">
        <f t="shared" si="3"/>
        <v>756949.94715990976</v>
      </c>
      <c r="H227" s="389">
        <f t="shared" si="4"/>
        <v>1389952.5786987427</v>
      </c>
      <c r="I227" s="363"/>
      <c r="J227" s="363"/>
      <c r="K227" s="363"/>
      <c r="L227" s="363"/>
      <c r="M227" s="363"/>
      <c r="N227" s="363"/>
      <c r="O227" s="363"/>
      <c r="P227" s="363"/>
      <c r="Q227" s="363"/>
      <c r="R227" s="363"/>
      <c r="S227" s="363"/>
      <c r="T227" s="363"/>
      <c r="U227" s="363"/>
      <c r="V227" s="363"/>
      <c r="W227" s="363"/>
      <c r="X227" s="363"/>
      <c r="Y227" s="363"/>
      <c r="Z227" s="363"/>
    </row>
    <row r="228" spans="1:26" ht="13.5" customHeight="1" x14ac:dyDescent="0.2">
      <c r="A228" s="386">
        <f t="shared" si="0"/>
        <v>18</v>
      </c>
      <c r="B228" s="387">
        <f t="shared" si="5"/>
        <v>207</v>
      </c>
      <c r="C228" s="388">
        <f t="shared" si="6"/>
        <v>52413</v>
      </c>
      <c r="D228" s="389">
        <f t="shared" si="7"/>
        <v>756949.94715990976</v>
      </c>
      <c r="E228" s="389">
        <f t="shared" si="1"/>
        <v>4257.843452774493</v>
      </c>
      <c r="F228" s="389">
        <f t="shared" si="2"/>
        <v>6132.5885886476599</v>
      </c>
      <c r="G228" s="389">
        <f t="shared" si="3"/>
        <v>750817.3585712621</v>
      </c>
      <c r="H228" s="389">
        <f t="shared" si="4"/>
        <v>1394210.4221515171</v>
      </c>
      <c r="I228" s="363"/>
      <c r="J228" s="363"/>
      <c r="K228" s="363"/>
      <c r="L228" s="363"/>
      <c r="M228" s="363"/>
      <c r="N228" s="363"/>
      <c r="O228" s="363"/>
      <c r="P228" s="363"/>
      <c r="Q228" s="363"/>
      <c r="R228" s="363"/>
      <c r="S228" s="363"/>
      <c r="T228" s="363"/>
      <c r="U228" s="363"/>
      <c r="V228" s="363"/>
      <c r="W228" s="363"/>
      <c r="X228" s="363"/>
      <c r="Y228" s="363"/>
      <c r="Z228" s="363"/>
    </row>
    <row r="229" spans="1:26" ht="13.5" customHeight="1" x14ac:dyDescent="0.2">
      <c r="A229" s="386">
        <f t="shared" si="0"/>
        <v>18</v>
      </c>
      <c r="B229" s="387">
        <f t="shared" si="5"/>
        <v>208</v>
      </c>
      <c r="C229" s="388">
        <f t="shared" si="6"/>
        <v>52444</v>
      </c>
      <c r="D229" s="389">
        <f t="shared" si="7"/>
        <v>750817.3585712621</v>
      </c>
      <c r="E229" s="389">
        <f t="shared" si="1"/>
        <v>4223.3476419633498</v>
      </c>
      <c r="F229" s="389">
        <f t="shared" si="2"/>
        <v>6167.0843994588031</v>
      </c>
      <c r="G229" s="389">
        <f t="shared" si="3"/>
        <v>744650.27417180326</v>
      </c>
      <c r="H229" s="389">
        <f t="shared" si="4"/>
        <v>1398433.7697934804</v>
      </c>
      <c r="I229" s="363"/>
      <c r="J229" s="363"/>
      <c r="K229" s="363"/>
      <c r="L229" s="363"/>
      <c r="M229" s="363"/>
      <c r="N229" s="363"/>
      <c r="O229" s="363"/>
      <c r="P229" s="363"/>
      <c r="Q229" s="363"/>
      <c r="R229" s="363"/>
      <c r="S229" s="363"/>
      <c r="T229" s="363"/>
      <c r="U229" s="363"/>
      <c r="V229" s="363"/>
      <c r="W229" s="363"/>
      <c r="X229" s="363"/>
      <c r="Y229" s="363"/>
      <c r="Z229" s="363"/>
    </row>
    <row r="230" spans="1:26" ht="13.5" customHeight="1" x14ac:dyDescent="0.2">
      <c r="A230" s="386">
        <f t="shared" si="0"/>
        <v>18</v>
      </c>
      <c r="B230" s="387">
        <f t="shared" si="5"/>
        <v>209</v>
      </c>
      <c r="C230" s="388">
        <f t="shared" si="6"/>
        <v>52475</v>
      </c>
      <c r="D230" s="389">
        <f t="shared" si="7"/>
        <v>744650.27417180326</v>
      </c>
      <c r="E230" s="389">
        <f t="shared" si="1"/>
        <v>4188.6577922163933</v>
      </c>
      <c r="F230" s="389">
        <f t="shared" si="2"/>
        <v>6201.7742492057596</v>
      </c>
      <c r="G230" s="389">
        <f t="shared" si="3"/>
        <v>738448.49992259755</v>
      </c>
      <c r="H230" s="389">
        <f t="shared" si="4"/>
        <v>1402622.4275856968</v>
      </c>
      <c r="I230" s="363"/>
      <c r="J230" s="363"/>
      <c r="K230" s="363"/>
      <c r="L230" s="363"/>
      <c r="M230" s="363"/>
      <c r="N230" s="363"/>
      <c r="O230" s="363"/>
      <c r="P230" s="363"/>
      <c r="Q230" s="363"/>
      <c r="R230" s="363"/>
      <c r="S230" s="363"/>
      <c r="T230" s="363"/>
      <c r="U230" s="363"/>
      <c r="V230" s="363"/>
      <c r="W230" s="363"/>
      <c r="X230" s="363"/>
      <c r="Y230" s="363"/>
      <c r="Z230" s="363"/>
    </row>
    <row r="231" spans="1:26" ht="13.5" customHeight="1" x14ac:dyDescent="0.2">
      <c r="A231" s="386">
        <f t="shared" si="0"/>
        <v>18</v>
      </c>
      <c r="B231" s="387">
        <f t="shared" si="5"/>
        <v>210</v>
      </c>
      <c r="C231" s="388">
        <f t="shared" si="6"/>
        <v>52505</v>
      </c>
      <c r="D231" s="389">
        <f t="shared" si="7"/>
        <v>738448.49992259755</v>
      </c>
      <c r="E231" s="389">
        <f t="shared" si="1"/>
        <v>4153.7728120646116</v>
      </c>
      <c r="F231" s="389">
        <f t="shared" si="2"/>
        <v>6236.6592293575413</v>
      </c>
      <c r="G231" s="389">
        <f t="shared" si="3"/>
        <v>732211.84069324005</v>
      </c>
      <c r="H231" s="389">
        <f t="shared" si="4"/>
        <v>1406776.2003977613</v>
      </c>
      <c r="I231" s="363"/>
      <c r="J231" s="363"/>
      <c r="K231" s="363"/>
      <c r="L231" s="363"/>
      <c r="M231" s="363"/>
      <c r="N231" s="363"/>
      <c r="O231" s="363"/>
      <c r="P231" s="363"/>
      <c r="Q231" s="363"/>
      <c r="R231" s="363"/>
      <c r="S231" s="363"/>
      <c r="T231" s="363"/>
      <c r="U231" s="363"/>
      <c r="V231" s="363"/>
      <c r="W231" s="363"/>
      <c r="X231" s="363"/>
      <c r="Y231" s="363"/>
      <c r="Z231" s="363"/>
    </row>
    <row r="232" spans="1:26" ht="13.5" customHeight="1" x14ac:dyDescent="0.2">
      <c r="A232" s="386">
        <f t="shared" si="0"/>
        <v>18</v>
      </c>
      <c r="B232" s="387">
        <f t="shared" si="5"/>
        <v>211</v>
      </c>
      <c r="C232" s="388">
        <f t="shared" si="6"/>
        <v>52536</v>
      </c>
      <c r="D232" s="389">
        <f t="shared" si="7"/>
        <v>732211.84069324005</v>
      </c>
      <c r="E232" s="389">
        <f t="shared" si="1"/>
        <v>4118.6916038994759</v>
      </c>
      <c r="F232" s="389">
        <f t="shared" si="2"/>
        <v>6271.740437522677</v>
      </c>
      <c r="G232" s="389">
        <f t="shared" si="3"/>
        <v>725940.10025571741</v>
      </c>
      <c r="H232" s="389">
        <f t="shared" si="4"/>
        <v>1410894.8920016608</v>
      </c>
      <c r="I232" s="363"/>
      <c r="J232" s="363"/>
      <c r="K232" s="363"/>
      <c r="L232" s="363"/>
      <c r="M232" s="363"/>
      <c r="N232" s="363"/>
      <c r="O232" s="363"/>
      <c r="P232" s="363"/>
      <c r="Q232" s="363"/>
      <c r="R232" s="363"/>
      <c r="S232" s="363"/>
      <c r="T232" s="363"/>
      <c r="U232" s="363"/>
      <c r="V232" s="363"/>
      <c r="W232" s="363"/>
      <c r="X232" s="363"/>
      <c r="Y232" s="363"/>
      <c r="Z232" s="363"/>
    </row>
    <row r="233" spans="1:26" ht="13.5" customHeight="1" x14ac:dyDescent="0.2">
      <c r="A233" s="386">
        <f t="shared" si="0"/>
        <v>18</v>
      </c>
      <c r="B233" s="387">
        <f t="shared" si="5"/>
        <v>212</v>
      </c>
      <c r="C233" s="388">
        <f t="shared" si="6"/>
        <v>52566</v>
      </c>
      <c r="D233" s="389">
        <f t="shared" si="7"/>
        <v>725940.10025571741</v>
      </c>
      <c r="E233" s="389">
        <f t="shared" si="1"/>
        <v>4083.4130639384107</v>
      </c>
      <c r="F233" s="389">
        <f t="shared" si="2"/>
        <v>6307.0189774837418</v>
      </c>
      <c r="G233" s="389">
        <f t="shared" si="3"/>
        <v>719633.08127823367</v>
      </c>
      <c r="H233" s="389">
        <f t="shared" si="4"/>
        <v>1414978.3050655993</v>
      </c>
      <c r="I233" s="363"/>
      <c r="J233" s="363"/>
      <c r="K233" s="363"/>
      <c r="L233" s="363"/>
      <c r="M233" s="363"/>
      <c r="N233" s="363"/>
      <c r="O233" s="363"/>
      <c r="P233" s="363"/>
      <c r="Q233" s="363"/>
      <c r="R233" s="363"/>
      <c r="S233" s="363"/>
      <c r="T233" s="363"/>
      <c r="U233" s="363"/>
      <c r="V233" s="363"/>
      <c r="W233" s="363"/>
      <c r="X233" s="363"/>
      <c r="Y233" s="363"/>
      <c r="Z233" s="363"/>
    </row>
    <row r="234" spans="1:26" ht="13.5" customHeight="1" x14ac:dyDescent="0.2">
      <c r="A234" s="386">
        <f t="shared" si="0"/>
        <v>18</v>
      </c>
      <c r="B234" s="387">
        <f t="shared" si="5"/>
        <v>213</v>
      </c>
      <c r="C234" s="388">
        <f t="shared" si="6"/>
        <v>52597</v>
      </c>
      <c r="D234" s="389">
        <f t="shared" si="7"/>
        <v>719633.08127823367</v>
      </c>
      <c r="E234" s="389">
        <f t="shared" si="1"/>
        <v>4047.9360821900646</v>
      </c>
      <c r="F234" s="389">
        <f t="shared" si="2"/>
        <v>6342.4959592320884</v>
      </c>
      <c r="G234" s="389">
        <f t="shared" si="3"/>
        <v>713290.58531900158</v>
      </c>
      <c r="H234" s="389">
        <f t="shared" si="4"/>
        <v>1419026.2411477894</v>
      </c>
      <c r="I234" s="363"/>
      <c r="J234" s="363"/>
      <c r="K234" s="363"/>
      <c r="L234" s="363"/>
      <c r="M234" s="363"/>
      <c r="N234" s="363"/>
      <c r="O234" s="363"/>
      <c r="P234" s="363"/>
      <c r="Q234" s="363"/>
      <c r="R234" s="363"/>
      <c r="S234" s="363"/>
      <c r="T234" s="363"/>
      <c r="U234" s="363"/>
      <c r="V234" s="363"/>
      <c r="W234" s="363"/>
      <c r="X234" s="363"/>
      <c r="Y234" s="363"/>
      <c r="Z234" s="363"/>
    </row>
    <row r="235" spans="1:26" ht="13.5" customHeight="1" x14ac:dyDescent="0.2">
      <c r="A235" s="386">
        <f t="shared" si="0"/>
        <v>18</v>
      </c>
      <c r="B235" s="387">
        <f t="shared" si="5"/>
        <v>214</v>
      </c>
      <c r="C235" s="388">
        <f t="shared" si="6"/>
        <v>52628</v>
      </c>
      <c r="D235" s="389">
        <f t="shared" si="7"/>
        <v>713290.58531900158</v>
      </c>
      <c r="E235" s="389">
        <f t="shared" si="1"/>
        <v>4012.2595424193842</v>
      </c>
      <c r="F235" s="389">
        <f t="shared" si="2"/>
        <v>6378.1724990027687</v>
      </c>
      <c r="G235" s="389">
        <f t="shared" si="3"/>
        <v>706912.4128199988</v>
      </c>
      <c r="H235" s="389">
        <f t="shared" si="4"/>
        <v>1423038.5006902087</v>
      </c>
      <c r="I235" s="363"/>
      <c r="J235" s="363"/>
      <c r="K235" s="363"/>
      <c r="L235" s="363"/>
      <c r="M235" s="363"/>
      <c r="N235" s="363"/>
      <c r="O235" s="363"/>
      <c r="P235" s="363"/>
      <c r="Q235" s="363"/>
      <c r="R235" s="363"/>
      <c r="S235" s="363"/>
      <c r="T235" s="363"/>
      <c r="U235" s="363"/>
      <c r="V235" s="363"/>
      <c r="W235" s="363"/>
      <c r="X235" s="363"/>
      <c r="Y235" s="363"/>
      <c r="Z235" s="363"/>
    </row>
    <row r="236" spans="1:26" ht="13.5" customHeight="1" x14ac:dyDescent="0.2">
      <c r="A236" s="386">
        <f t="shared" si="0"/>
        <v>18</v>
      </c>
      <c r="B236" s="387">
        <f t="shared" si="5"/>
        <v>215</v>
      </c>
      <c r="C236" s="388">
        <f t="shared" si="6"/>
        <v>52657</v>
      </c>
      <c r="D236" s="389">
        <f t="shared" si="7"/>
        <v>706912.4128199988</v>
      </c>
      <c r="E236" s="389">
        <f t="shared" si="1"/>
        <v>3976.3823221124935</v>
      </c>
      <c r="F236" s="389">
        <f t="shared" si="2"/>
        <v>6414.0497193096598</v>
      </c>
      <c r="G236" s="389">
        <f t="shared" si="3"/>
        <v>700498.36310068914</v>
      </c>
      <c r="H236" s="389">
        <f t="shared" si="4"/>
        <v>1427014.8830123213</v>
      </c>
      <c r="I236" s="363"/>
      <c r="J236" s="363"/>
      <c r="K236" s="363"/>
      <c r="L236" s="363"/>
      <c r="M236" s="363"/>
      <c r="N236" s="363"/>
      <c r="O236" s="363"/>
      <c r="P236" s="363"/>
      <c r="Q236" s="363"/>
      <c r="R236" s="363"/>
      <c r="S236" s="363"/>
      <c r="T236" s="363"/>
      <c r="U236" s="363"/>
      <c r="V236" s="363"/>
      <c r="W236" s="363"/>
      <c r="X236" s="363"/>
      <c r="Y236" s="363"/>
      <c r="Z236" s="363"/>
    </row>
    <row r="237" spans="1:26" ht="13.5" customHeight="1" x14ac:dyDescent="0.2">
      <c r="A237" s="386">
        <f t="shared" si="0"/>
        <v>18</v>
      </c>
      <c r="B237" s="387">
        <f t="shared" si="5"/>
        <v>216</v>
      </c>
      <c r="C237" s="388">
        <f t="shared" si="6"/>
        <v>52688</v>
      </c>
      <c r="D237" s="389">
        <f t="shared" si="7"/>
        <v>700498.36310068914</v>
      </c>
      <c r="E237" s="389">
        <f t="shared" si="1"/>
        <v>3940.3032924413765</v>
      </c>
      <c r="F237" s="389">
        <f t="shared" si="2"/>
        <v>6450.1287489807764</v>
      </c>
      <c r="G237" s="389">
        <f t="shared" si="3"/>
        <v>694048.23435170832</v>
      </c>
      <c r="H237" s="389">
        <f t="shared" si="4"/>
        <v>1430955.1863047627</v>
      </c>
      <c r="I237" s="363"/>
      <c r="J237" s="363"/>
      <c r="K237" s="363"/>
      <c r="L237" s="363"/>
      <c r="M237" s="363"/>
      <c r="N237" s="363"/>
      <c r="O237" s="363"/>
      <c r="P237" s="363"/>
      <c r="Q237" s="363"/>
      <c r="R237" s="363"/>
      <c r="S237" s="363"/>
      <c r="T237" s="363"/>
      <c r="U237" s="363"/>
      <c r="V237" s="363"/>
      <c r="W237" s="363"/>
      <c r="X237" s="363"/>
      <c r="Y237" s="363"/>
      <c r="Z237" s="363"/>
    </row>
    <row r="238" spans="1:26" ht="13.5" customHeight="1" x14ac:dyDescent="0.2">
      <c r="A238" s="386">
        <f t="shared" si="0"/>
        <v>19</v>
      </c>
      <c r="B238" s="387">
        <f t="shared" si="5"/>
        <v>217</v>
      </c>
      <c r="C238" s="388">
        <f t="shared" si="6"/>
        <v>52718</v>
      </c>
      <c r="D238" s="389">
        <f t="shared" si="7"/>
        <v>694048.23435170832</v>
      </c>
      <c r="E238" s="389">
        <f t="shared" si="1"/>
        <v>3904.0213182283592</v>
      </c>
      <c r="F238" s="389">
        <f t="shared" si="2"/>
        <v>6486.4107231937942</v>
      </c>
      <c r="G238" s="389">
        <f t="shared" si="3"/>
        <v>687561.82362851454</v>
      </c>
      <c r="H238" s="389">
        <f t="shared" si="4"/>
        <v>1434859.2076229912</v>
      </c>
      <c r="I238" s="363"/>
      <c r="J238" s="363"/>
      <c r="K238" s="363"/>
      <c r="L238" s="363"/>
      <c r="M238" s="363"/>
      <c r="N238" s="363"/>
      <c r="O238" s="363"/>
      <c r="P238" s="363"/>
      <c r="Q238" s="363"/>
      <c r="R238" s="363"/>
      <c r="S238" s="363"/>
      <c r="T238" s="363"/>
      <c r="U238" s="363"/>
      <c r="V238" s="363"/>
      <c r="W238" s="363"/>
      <c r="X238" s="363"/>
      <c r="Y238" s="363"/>
      <c r="Z238" s="363"/>
    </row>
    <row r="239" spans="1:26" ht="13.5" customHeight="1" x14ac:dyDescent="0.2">
      <c r="A239" s="386">
        <f t="shared" si="0"/>
        <v>19</v>
      </c>
      <c r="B239" s="387">
        <f t="shared" si="5"/>
        <v>218</v>
      </c>
      <c r="C239" s="388">
        <f t="shared" si="6"/>
        <v>52749</v>
      </c>
      <c r="D239" s="389">
        <f t="shared" si="7"/>
        <v>687561.82362851454</v>
      </c>
      <c r="E239" s="389">
        <f t="shared" si="1"/>
        <v>3867.5352579103946</v>
      </c>
      <c r="F239" s="389">
        <f t="shared" si="2"/>
        <v>6522.8967835117583</v>
      </c>
      <c r="G239" s="389">
        <f t="shared" si="3"/>
        <v>681038.9268450028</v>
      </c>
      <c r="H239" s="389">
        <f t="shared" si="4"/>
        <v>1438726.7428809016</v>
      </c>
      <c r="I239" s="363"/>
      <c r="J239" s="363"/>
      <c r="K239" s="363"/>
      <c r="L239" s="363"/>
      <c r="M239" s="363"/>
      <c r="N239" s="363"/>
      <c r="O239" s="363"/>
      <c r="P239" s="363"/>
      <c r="Q239" s="363"/>
      <c r="R239" s="363"/>
      <c r="S239" s="363"/>
      <c r="T239" s="363"/>
      <c r="U239" s="363"/>
      <c r="V239" s="363"/>
      <c r="W239" s="363"/>
      <c r="X239" s="363"/>
      <c r="Y239" s="363"/>
      <c r="Z239" s="363"/>
    </row>
    <row r="240" spans="1:26" ht="13.5" customHeight="1" x14ac:dyDescent="0.2">
      <c r="A240" s="386">
        <f t="shared" si="0"/>
        <v>19</v>
      </c>
      <c r="B240" s="387">
        <f t="shared" si="5"/>
        <v>219</v>
      </c>
      <c r="C240" s="388">
        <f t="shared" si="6"/>
        <v>52779</v>
      </c>
      <c r="D240" s="389">
        <f t="shared" si="7"/>
        <v>681038.9268450028</v>
      </c>
      <c r="E240" s="389">
        <f t="shared" si="1"/>
        <v>3830.8439635031409</v>
      </c>
      <c r="F240" s="389">
        <f t="shared" si="2"/>
        <v>6559.588077919012</v>
      </c>
      <c r="G240" s="389">
        <f t="shared" si="3"/>
        <v>674479.33876708383</v>
      </c>
      <c r="H240" s="389">
        <f t="shared" si="4"/>
        <v>1442557.5868444047</v>
      </c>
      <c r="I240" s="363"/>
      <c r="J240" s="363"/>
      <c r="K240" s="363"/>
      <c r="L240" s="363"/>
      <c r="M240" s="363"/>
      <c r="N240" s="363"/>
      <c r="O240" s="363"/>
      <c r="P240" s="363"/>
      <c r="Q240" s="363"/>
      <c r="R240" s="363"/>
      <c r="S240" s="363"/>
      <c r="T240" s="363"/>
      <c r="U240" s="363"/>
      <c r="V240" s="363"/>
      <c r="W240" s="363"/>
      <c r="X240" s="363"/>
      <c r="Y240" s="363"/>
      <c r="Z240" s="363"/>
    </row>
    <row r="241" spans="1:26" ht="13.5" customHeight="1" x14ac:dyDescent="0.2">
      <c r="A241" s="386">
        <f t="shared" si="0"/>
        <v>19</v>
      </c>
      <c r="B241" s="387">
        <f t="shared" si="5"/>
        <v>220</v>
      </c>
      <c r="C241" s="388">
        <f t="shared" si="6"/>
        <v>52810</v>
      </c>
      <c r="D241" s="389">
        <f t="shared" si="7"/>
        <v>674479.33876708383</v>
      </c>
      <c r="E241" s="389">
        <f t="shared" si="1"/>
        <v>3793.9462805648468</v>
      </c>
      <c r="F241" s="389">
        <f t="shared" si="2"/>
        <v>6596.4857608573056</v>
      </c>
      <c r="G241" s="389">
        <f t="shared" si="3"/>
        <v>667882.85300622648</v>
      </c>
      <c r="H241" s="389">
        <f t="shared" si="4"/>
        <v>1446351.5331249696</v>
      </c>
      <c r="I241" s="363"/>
      <c r="J241" s="363"/>
      <c r="K241" s="363"/>
      <c r="L241" s="363"/>
      <c r="M241" s="363"/>
      <c r="N241" s="363"/>
      <c r="O241" s="363"/>
      <c r="P241" s="363"/>
      <c r="Q241" s="363"/>
      <c r="R241" s="363"/>
      <c r="S241" s="363"/>
      <c r="T241" s="363"/>
      <c r="U241" s="363"/>
      <c r="V241" s="363"/>
      <c r="W241" s="363"/>
      <c r="X241" s="363"/>
      <c r="Y241" s="363"/>
      <c r="Z241" s="363"/>
    </row>
    <row r="242" spans="1:26" ht="13.5" customHeight="1" x14ac:dyDescent="0.2">
      <c r="A242" s="386">
        <f t="shared" si="0"/>
        <v>19</v>
      </c>
      <c r="B242" s="387">
        <f t="shared" si="5"/>
        <v>221</v>
      </c>
      <c r="C242" s="388">
        <f t="shared" si="6"/>
        <v>52841</v>
      </c>
      <c r="D242" s="389">
        <f t="shared" si="7"/>
        <v>667882.85300622648</v>
      </c>
      <c r="E242" s="389">
        <f t="shared" si="1"/>
        <v>3756.841048160024</v>
      </c>
      <c r="F242" s="389">
        <f t="shared" si="2"/>
        <v>6633.5909932621289</v>
      </c>
      <c r="G242" s="389">
        <f t="shared" si="3"/>
        <v>661249.26201296435</v>
      </c>
      <c r="H242" s="389">
        <f t="shared" si="4"/>
        <v>1450108.3741731297</v>
      </c>
      <c r="I242" s="363"/>
      <c r="J242" s="363"/>
      <c r="K242" s="363"/>
      <c r="L242" s="363"/>
      <c r="M242" s="363"/>
      <c r="N242" s="363"/>
      <c r="O242" s="363"/>
      <c r="P242" s="363"/>
      <c r="Q242" s="363"/>
      <c r="R242" s="363"/>
      <c r="S242" s="363"/>
      <c r="T242" s="363"/>
      <c r="U242" s="363"/>
      <c r="V242" s="363"/>
      <c r="W242" s="363"/>
      <c r="X242" s="363"/>
      <c r="Y242" s="363"/>
      <c r="Z242" s="363"/>
    </row>
    <row r="243" spans="1:26" ht="13.5" customHeight="1" x14ac:dyDescent="0.2">
      <c r="A243" s="386">
        <f t="shared" si="0"/>
        <v>19</v>
      </c>
      <c r="B243" s="387">
        <f t="shared" si="5"/>
        <v>222</v>
      </c>
      <c r="C243" s="388">
        <f t="shared" si="6"/>
        <v>52871</v>
      </c>
      <c r="D243" s="389">
        <f t="shared" si="7"/>
        <v>661249.26201296435</v>
      </c>
      <c r="E243" s="389">
        <f t="shared" si="1"/>
        <v>3719.5270988229245</v>
      </c>
      <c r="F243" s="389">
        <f t="shared" si="2"/>
        <v>6670.9049425992289</v>
      </c>
      <c r="G243" s="389">
        <f t="shared" si="3"/>
        <v>654578.35707036511</v>
      </c>
      <c r="H243" s="389">
        <f t="shared" si="4"/>
        <v>1453827.9012719525</v>
      </c>
      <c r="I243" s="363"/>
      <c r="J243" s="363"/>
      <c r="K243" s="363"/>
      <c r="L243" s="363"/>
      <c r="M243" s="363"/>
      <c r="N243" s="363"/>
      <c r="O243" s="363"/>
      <c r="P243" s="363"/>
      <c r="Q243" s="363"/>
      <c r="R243" s="363"/>
      <c r="S243" s="363"/>
      <c r="T243" s="363"/>
      <c r="U243" s="363"/>
      <c r="V243" s="363"/>
      <c r="W243" s="363"/>
      <c r="X243" s="363"/>
      <c r="Y243" s="363"/>
      <c r="Z243" s="363"/>
    </row>
    <row r="244" spans="1:26" ht="13.5" customHeight="1" x14ac:dyDescent="0.2">
      <c r="A244" s="386">
        <f t="shared" si="0"/>
        <v>19</v>
      </c>
      <c r="B244" s="387">
        <f t="shared" si="5"/>
        <v>223</v>
      </c>
      <c r="C244" s="388">
        <f t="shared" si="6"/>
        <v>52902</v>
      </c>
      <c r="D244" s="389">
        <f t="shared" si="7"/>
        <v>654578.35707036511</v>
      </c>
      <c r="E244" s="389">
        <f t="shared" si="1"/>
        <v>3682.0032585208041</v>
      </c>
      <c r="F244" s="389">
        <f t="shared" si="2"/>
        <v>6708.4287829013483</v>
      </c>
      <c r="G244" s="389">
        <f t="shared" si="3"/>
        <v>647869.92828746373</v>
      </c>
      <c r="H244" s="389">
        <f t="shared" si="4"/>
        <v>1457509.9045304733</v>
      </c>
      <c r="I244" s="363"/>
      <c r="J244" s="363"/>
      <c r="K244" s="363"/>
      <c r="L244" s="363"/>
      <c r="M244" s="363"/>
      <c r="N244" s="363"/>
      <c r="O244" s="363"/>
      <c r="P244" s="363"/>
      <c r="Q244" s="363"/>
      <c r="R244" s="363"/>
      <c r="S244" s="363"/>
      <c r="T244" s="363"/>
      <c r="U244" s="363"/>
      <c r="V244" s="363"/>
      <c r="W244" s="363"/>
      <c r="X244" s="363"/>
      <c r="Y244" s="363"/>
      <c r="Z244" s="363"/>
    </row>
    <row r="245" spans="1:26" ht="13.5" customHeight="1" x14ac:dyDescent="0.2">
      <c r="A245" s="386">
        <f t="shared" si="0"/>
        <v>19</v>
      </c>
      <c r="B245" s="387">
        <f t="shared" si="5"/>
        <v>224</v>
      </c>
      <c r="C245" s="388">
        <f t="shared" si="6"/>
        <v>52932</v>
      </c>
      <c r="D245" s="389">
        <f t="shared" si="7"/>
        <v>647869.92828746373</v>
      </c>
      <c r="E245" s="389">
        <f t="shared" si="1"/>
        <v>3644.2683466169838</v>
      </c>
      <c r="F245" s="389">
        <f t="shared" si="2"/>
        <v>6746.1636948051691</v>
      </c>
      <c r="G245" s="389">
        <f t="shared" si="3"/>
        <v>641123.76459265861</v>
      </c>
      <c r="H245" s="389">
        <f t="shared" si="4"/>
        <v>1461154.1728770903</v>
      </c>
      <c r="I245" s="363"/>
      <c r="J245" s="363"/>
      <c r="K245" s="363"/>
      <c r="L245" s="363"/>
      <c r="M245" s="363"/>
      <c r="N245" s="363"/>
      <c r="O245" s="363"/>
      <c r="P245" s="363"/>
      <c r="Q245" s="363"/>
      <c r="R245" s="363"/>
      <c r="S245" s="363"/>
      <c r="T245" s="363"/>
      <c r="U245" s="363"/>
      <c r="V245" s="363"/>
      <c r="W245" s="363"/>
      <c r="X245" s="363"/>
      <c r="Y245" s="363"/>
      <c r="Z245" s="363"/>
    </row>
    <row r="246" spans="1:26" ht="13.5" customHeight="1" x14ac:dyDescent="0.2">
      <c r="A246" s="386">
        <f t="shared" si="0"/>
        <v>19</v>
      </c>
      <c r="B246" s="387">
        <f t="shared" si="5"/>
        <v>225</v>
      </c>
      <c r="C246" s="388">
        <f t="shared" si="6"/>
        <v>52963</v>
      </c>
      <c r="D246" s="389">
        <f t="shared" si="7"/>
        <v>641123.76459265861</v>
      </c>
      <c r="E246" s="389">
        <f t="shared" si="1"/>
        <v>3606.3211758337052</v>
      </c>
      <c r="F246" s="389">
        <f t="shared" si="2"/>
        <v>6784.1108655884473</v>
      </c>
      <c r="G246" s="389">
        <f t="shared" si="3"/>
        <v>634339.6537270702</v>
      </c>
      <c r="H246" s="389">
        <f t="shared" si="4"/>
        <v>1464760.494052924</v>
      </c>
      <c r="I246" s="363"/>
      <c r="J246" s="363"/>
      <c r="K246" s="363"/>
      <c r="L246" s="363"/>
      <c r="M246" s="363"/>
      <c r="N246" s="363"/>
      <c r="O246" s="363"/>
      <c r="P246" s="363"/>
      <c r="Q246" s="363"/>
      <c r="R246" s="363"/>
      <c r="S246" s="363"/>
      <c r="T246" s="363"/>
      <c r="U246" s="363"/>
      <c r="V246" s="363"/>
      <c r="W246" s="363"/>
      <c r="X246" s="363"/>
      <c r="Y246" s="363"/>
      <c r="Z246" s="363"/>
    </row>
    <row r="247" spans="1:26" ht="13.5" customHeight="1" x14ac:dyDescent="0.2">
      <c r="A247" s="386">
        <f t="shared" si="0"/>
        <v>19</v>
      </c>
      <c r="B247" s="387">
        <f t="shared" si="5"/>
        <v>226</v>
      </c>
      <c r="C247" s="388">
        <f t="shared" si="6"/>
        <v>52994</v>
      </c>
      <c r="D247" s="389">
        <f t="shared" si="7"/>
        <v>634339.6537270702</v>
      </c>
      <c r="E247" s="389">
        <f t="shared" si="1"/>
        <v>3568.1605522147697</v>
      </c>
      <c r="F247" s="389">
        <f t="shared" si="2"/>
        <v>6822.2714892073836</v>
      </c>
      <c r="G247" s="389">
        <f t="shared" si="3"/>
        <v>627517.3822378628</v>
      </c>
      <c r="H247" s="389">
        <f t="shared" si="4"/>
        <v>1468328.6546051388</v>
      </c>
      <c r="I247" s="363"/>
      <c r="J247" s="363"/>
      <c r="K247" s="363"/>
      <c r="L247" s="363"/>
      <c r="M247" s="363"/>
      <c r="N247" s="363"/>
      <c r="O247" s="363"/>
      <c r="P247" s="363"/>
      <c r="Q247" s="363"/>
      <c r="R247" s="363"/>
      <c r="S247" s="363"/>
      <c r="T247" s="363"/>
      <c r="U247" s="363"/>
      <c r="V247" s="363"/>
      <c r="W247" s="363"/>
      <c r="X247" s="363"/>
      <c r="Y247" s="363"/>
      <c r="Z247" s="363"/>
    </row>
    <row r="248" spans="1:26" ht="13.5" customHeight="1" x14ac:dyDescent="0.2">
      <c r="A248" s="386">
        <f t="shared" si="0"/>
        <v>19</v>
      </c>
      <c r="B248" s="387">
        <f t="shared" si="5"/>
        <v>227</v>
      </c>
      <c r="C248" s="388">
        <f t="shared" si="6"/>
        <v>53022</v>
      </c>
      <c r="D248" s="389">
        <f t="shared" si="7"/>
        <v>627517.3822378628</v>
      </c>
      <c r="E248" s="389">
        <f t="shared" si="1"/>
        <v>3529.7852750879788</v>
      </c>
      <c r="F248" s="389">
        <f t="shared" si="2"/>
        <v>6860.6467663341737</v>
      </c>
      <c r="G248" s="389">
        <f t="shared" si="3"/>
        <v>620656.73547152861</v>
      </c>
      <c r="H248" s="389">
        <f t="shared" si="4"/>
        <v>1471858.4398802267</v>
      </c>
      <c r="I248" s="363"/>
      <c r="J248" s="363"/>
      <c r="K248" s="363"/>
      <c r="L248" s="363"/>
      <c r="M248" s="363"/>
      <c r="N248" s="363"/>
      <c r="O248" s="363"/>
      <c r="P248" s="363"/>
      <c r="Q248" s="363"/>
      <c r="R248" s="363"/>
      <c r="S248" s="363"/>
      <c r="T248" s="363"/>
      <c r="U248" s="363"/>
      <c r="V248" s="363"/>
      <c r="W248" s="363"/>
      <c r="X248" s="363"/>
      <c r="Y248" s="363"/>
      <c r="Z248" s="363"/>
    </row>
    <row r="249" spans="1:26" ht="13.5" customHeight="1" x14ac:dyDescent="0.2">
      <c r="A249" s="386">
        <f t="shared" si="0"/>
        <v>19</v>
      </c>
      <c r="B249" s="387">
        <f t="shared" si="5"/>
        <v>228</v>
      </c>
      <c r="C249" s="388">
        <f t="shared" si="6"/>
        <v>53053</v>
      </c>
      <c r="D249" s="389">
        <f t="shared" si="7"/>
        <v>620656.73547152861</v>
      </c>
      <c r="E249" s="389">
        <f t="shared" si="1"/>
        <v>3491.1941370273489</v>
      </c>
      <c r="F249" s="389">
        <f t="shared" si="2"/>
        <v>6899.237904394804</v>
      </c>
      <c r="G249" s="389">
        <f t="shared" si="3"/>
        <v>613757.49756713375</v>
      </c>
      <c r="H249" s="389">
        <f t="shared" si="4"/>
        <v>1475349.634017254</v>
      </c>
      <c r="I249" s="363"/>
      <c r="J249" s="363"/>
      <c r="K249" s="363"/>
      <c r="L249" s="363"/>
      <c r="M249" s="363"/>
      <c r="N249" s="363"/>
      <c r="O249" s="363"/>
      <c r="P249" s="363"/>
      <c r="Q249" s="363"/>
      <c r="R249" s="363"/>
      <c r="S249" s="363"/>
      <c r="T249" s="363"/>
      <c r="U249" s="363"/>
      <c r="V249" s="363"/>
      <c r="W249" s="363"/>
      <c r="X249" s="363"/>
      <c r="Y249" s="363"/>
      <c r="Z249" s="363"/>
    </row>
    <row r="250" spans="1:26" ht="13.5" customHeight="1" x14ac:dyDescent="0.2">
      <c r="A250" s="386">
        <f t="shared" si="0"/>
        <v>20</v>
      </c>
      <c r="B250" s="387">
        <f t="shared" si="5"/>
        <v>229</v>
      </c>
      <c r="C250" s="388">
        <f t="shared" si="6"/>
        <v>53083</v>
      </c>
      <c r="D250" s="389">
        <f t="shared" si="7"/>
        <v>613757.49756713375</v>
      </c>
      <c r="E250" s="389">
        <f t="shared" si="1"/>
        <v>3452.3859238151276</v>
      </c>
      <c r="F250" s="389">
        <f t="shared" si="2"/>
        <v>6938.0461176070257</v>
      </c>
      <c r="G250" s="389">
        <f t="shared" si="3"/>
        <v>606819.45144952671</v>
      </c>
      <c r="H250" s="389">
        <f t="shared" si="4"/>
        <v>1478802.0199410692</v>
      </c>
      <c r="I250" s="363"/>
      <c r="J250" s="363"/>
      <c r="K250" s="363"/>
      <c r="L250" s="363"/>
      <c r="M250" s="363"/>
      <c r="N250" s="363"/>
      <c r="O250" s="363"/>
      <c r="P250" s="363"/>
      <c r="Q250" s="363"/>
      <c r="R250" s="363"/>
      <c r="S250" s="363"/>
      <c r="T250" s="363"/>
      <c r="U250" s="363"/>
      <c r="V250" s="363"/>
      <c r="W250" s="363"/>
      <c r="X250" s="363"/>
      <c r="Y250" s="363"/>
      <c r="Z250" s="363"/>
    </row>
    <row r="251" spans="1:26" ht="13.5" customHeight="1" x14ac:dyDescent="0.2">
      <c r="A251" s="386">
        <f t="shared" si="0"/>
        <v>20</v>
      </c>
      <c r="B251" s="387">
        <f t="shared" si="5"/>
        <v>230</v>
      </c>
      <c r="C251" s="388">
        <f t="shared" si="6"/>
        <v>53114</v>
      </c>
      <c r="D251" s="389">
        <f t="shared" si="7"/>
        <v>606819.45144952671</v>
      </c>
      <c r="E251" s="389">
        <f t="shared" si="1"/>
        <v>3413.3594144035883</v>
      </c>
      <c r="F251" s="389">
        <f t="shared" si="2"/>
        <v>6977.0726270185642</v>
      </c>
      <c r="G251" s="389">
        <f t="shared" si="3"/>
        <v>599842.37882250815</v>
      </c>
      <c r="H251" s="389">
        <f t="shared" si="4"/>
        <v>1482215.3793554727</v>
      </c>
      <c r="I251" s="363"/>
      <c r="J251" s="363"/>
      <c r="K251" s="363"/>
      <c r="L251" s="363"/>
      <c r="M251" s="363"/>
      <c r="N251" s="363"/>
      <c r="O251" s="363"/>
      <c r="P251" s="363"/>
      <c r="Q251" s="363"/>
      <c r="R251" s="363"/>
      <c r="S251" s="363"/>
      <c r="T251" s="363"/>
      <c r="U251" s="363"/>
      <c r="V251" s="363"/>
      <c r="W251" s="363"/>
      <c r="X251" s="363"/>
      <c r="Y251" s="363"/>
      <c r="Z251" s="363"/>
    </row>
    <row r="252" spans="1:26" ht="13.5" customHeight="1" x14ac:dyDescent="0.2">
      <c r="A252" s="386">
        <f t="shared" si="0"/>
        <v>20</v>
      </c>
      <c r="B252" s="387">
        <f t="shared" si="5"/>
        <v>231</v>
      </c>
      <c r="C252" s="388">
        <f t="shared" si="6"/>
        <v>53144</v>
      </c>
      <c r="D252" s="389">
        <f t="shared" si="7"/>
        <v>599842.37882250815</v>
      </c>
      <c r="E252" s="389">
        <f t="shared" si="1"/>
        <v>3374.1133808766085</v>
      </c>
      <c r="F252" s="389">
        <f t="shared" si="2"/>
        <v>7016.3186605455448</v>
      </c>
      <c r="G252" s="389">
        <f t="shared" si="3"/>
        <v>592826.06016196264</v>
      </c>
      <c r="H252" s="389">
        <f t="shared" si="4"/>
        <v>1485589.4927363493</v>
      </c>
      <c r="I252" s="363"/>
      <c r="J252" s="363"/>
      <c r="K252" s="363"/>
      <c r="L252" s="363"/>
      <c r="M252" s="363"/>
      <c r="N252" s="363"/>
      <c r="O252" s="363"/>
      <c r="P252" s="363"/>
      <c r="Q252" s="363"/>
      <c r="R252" s="363"/>
      <c r="S252" s="363"/>
      <c r="T252" s="363"/>
      <c r="U252" s="363"/>
      <c r="V252" s="363"/>
      <c r="W252" s="363"/>
      <c r="X252" s="363"/>
      <c r="Y252" s="363"/>
      <c r="Z252" s="363"/>
    </row>
    <row r="253" spans="1:26" ht="13.5" customHeight="1" x14ac:dyDescent="0.2">
      <c r="A253" s="386">
        <f t="shared" si="0"/>
        <v>20</v>
      </c>
      <c r="B253" s="387">
        <f t="shared" si="5"/>
        <v>232</v>
      </c>
      <c r="C253" s="388">
        <f t="shared" si="6"/>
        <v>53175</v>
      </c>
      <c r="D253" s="389">
        <f t="shared" si="7"/>
        <v>592826.06016196264</v>
      </c>
      <c r="E253" s="389">
        <f t="shared" si="1"/>
        <v>3334.6465884110403</v>
      </c>
      <c r="F253" s="389">
        <f t="shared" si="2"/>
        <v>7055.7854530111126</v>
      </c>
      <c r="G253" s="389">
        <f t="shared" si="3"/>
        <v>585770.27470895147</v>
      </c>
      <c r="H253" s="389">
        <f t="shared" si="4"/>
        <v>1488924.1393247603</v>
      </c>
      <c r="I253" s="363"/>
      <c r="J253" s="363"/>
      <c r="K253" s="363"/>
      <c r="L253" s="363"/>
      <c r="M253" s="363"/>
      <c r="N253" s="363"/>
      <c r="O253" s="363"/>
      <c r="P253" s="363"/>
      <c r="Q253" s="363"/>
      <c r="R253" s="363"/>
      <c r="S253" s="363"/>
      <c r="T253" s="363"/>
      <c r="U253" s="363"/>
      <c r="V253" s="363"/>
      <c r="W253" s="363"/>
      <c r="X253" s="363"/>
      <c r="Y253" s="363"/>
      <c r="Z253" s="363"/>
    </row>
    <row r="254" spans="1:26" ht="13.5" customHeight="1" x14ac:dyDescent="0.2">
      <c r="A254" s="386">
        <f t="shared" si="0"/>
        <v>20</v>
      </c>
      <c r="B254" s="387">
        <f t="shared" si="5"/>
        <v>233</v>
      </c>
      <c r="C254" s="388">
        <f t="shared" si="6"/>
        <v>53206</v>
      </c>
      <c r="D254" s="389">
        <f t="shared" si="7"/>
        <v>585770.27470895147</v>
      </c>
      <c r="E254" s="389">
        <f t="shared" si="1"/>
        <v>3294.9577952378527</v>
      </c>
      <c r="F254" s="389">
        <f t="shared" si="2"/>
        <v>7095.4742461842998</v>
      </c>
      <c r="G254" s="389">
        <f t="shared" si="3"/>
        <v>578674.80046276713</v>
      </c>
      <c r="H254" s="389">
        <f t="shared" si="4"/>
        <v>1492219.0971199982</v>
      </c>
      <c r="I254" s="363"/>
      <c r="J254" s="363"/>
      <c r="K254" s="363"/>
      <c r="L254" s="363"/>
      <c r="M254" s="363"/>
      <c r="N254" s="363"/>
      <c r="O254" s="363"/>
      <c r="P254" s="363"/>
      <c r="Q254" s="363"/>
      <c r="R254" s="363"/>
      <c r="S254" s="363"/>
      <c r="T254" s="363"/>
      <c r="U254" s="363"/>
      <c r="V254" s="363"/>
      <c r="W254" s="363"/>
      <c r="X254" s="363"/>
      <c r="Y254" s="363"/>
      <c r="Z254" s="363"/>
    </row>
    <row r="255" spans="1:26" ht="13.5" customHeight="1" x14ac:dyDescent="0.2">
      <c r="A255" s="386">
        <f t="shared" si="0"/>
        <v>20</v>
      </c>
      <c r="B255" s="387">
        <f t="shared" si="5"/>
        <v>234</v>
      </c>
      <c r="C255" s="388">
        <f t="shared" si="6"/>
        <v>53236</v>
      </c>
      <c r="D255" s="389">
        <f t="shared" si="7"/>
        <v>578674.80046276713</v>
      </c>
      <c r="E255" s="389">
        <f t="shared" si="1"/>
        <v>3255.0457526030655</v>
      </c>
      <c r="F255" s="389">
        <f t="shared" si="2"/>
        <v>7135.386288819087</v>
      </c>
      <c r="G255" s="389">
        <f t="shared" si="3"/>
        <v>571539.414173948</v>
      </c>
      <c r="H255" s="389">
        <f t="shared" si="4"/>
        <v>1495474.1428726013</v>
      </c>
      <c r="I255" s="363"/>
      <c r="J255" s="363"/>
      <c r="K255" s="363"/>
      <c r="L255" s="363"/>
      <c r="M255" s="363"/>
      <c r="N255" s="363"/>
      <c r="O255" s="363"/>
      <c r="P255" s="363"/>
      <c r="Q255" s="363"/>
      <c r="R255" s="363"/>
      <c r="S255" s="363"/>
      <c r="T255" s="363"/>
      <c r="U255" s="363"/>
      <c r="V255" s="363"/>
      <c r="W255" s="363"/>
      <c r="X255" s="363"/>
      <c r="Y255" s="363"/>
      <c r="Z255" s="363"/>
    </row>
    <row r="256" spans="1:26" ht="13.5" customHeight="1" x14ac:dyDescent="0.2">
      <c r="A256" s="386">
        <f t="shared" si="0"/>
        <v>20</v>
      </c>
      <c r="B256" s="387">
        <f t="shared" si="5"/>
        <v>235</v>
      </c>
      <c r="C256" s="388">
        <f t="shared" si="6"/>
        <v>53267</v>
      </c>
      <c r="D256" s="389">
        <f t="shared" si="7"/>
        <v>571539.414173948</v>
      </c>
      <c r="E256" s="389">
        <f t="shared" si="1"/>
        <v>3214.9092047284576</v>
      </c>
      <c r="F256" s="389">
        <f t="shared" si="2"/>
        <v>7175.5228366936954</v>
      </c>
      <c r="G256" s="389">
        <f t="shared" si="3"/>
        <v>564363.89133725432</v>
      </c>
      <c r="H256" s="389">
        <f t="shared" si="4"/>
        <v>1498689.0520773297</v>
      </c>
      <c r="I256" s="363"/>
      <c r="J256" s="363"/>
      <c r="K256" s="363"/>
      <c r="L256" s="363"/>
      <c r="M256" s="363"/>
      <c r="N256" s="363"/>
      <c r="O256" s="363"/>
      <c r="P256" s="363"/>
      <c r="Q256" s="363"/>
      <c r="R256" s="363"/>
      <c r="S256" s="363"/>
      <c r="T256" s="363"/>
      <c r="U256" s="363"/>
      <c r="V256" s="363"/>
      <c r="W256" s="363"/>
      <c r="X256" s="363"/>
      <c r="Y256" s="363"/>
      <c r="Z256" s="363"/>
    </row>
    <row r="257" spans="1:26" ht="13.5" customHeight="1" x14ac:dyDescent="0.2">
      <c r="A257" s="386">
        <f t="shared" si="0"/>
        <v>20</v>
      </c>
      <c r="B257" s="387">
        <f t="shared" si="5"/>
        <v>236</v>
      </c>
      <c r="C257" s="388">
        <f t="shared" si="6"/>
        <v>53297</v>
      </c>
      <c r="D257" s="389">
        <f t="shared" si="7"/>
        <v>564363.89133725432</v>
      </c>
      <c r="E257" s="389">
        <f t="shared" si="1"/>
        <v>3174.5468887720558</v>
      </c>
      <c r="F257" s="389">
        <f t="shared" si="2"/>
        <v>7215.8851526500966</v>
      </c>
      <c r="G257" s="389">
        <f t="shared" si="3"/>
        <v>557148.00618460425</v>
      </c>
      <c r="H257" s="389">
        <f t="shared" si="4"/>
        <v>1501863.5989661019</v>
      </c>
      <c r="I257" s="363"/>
      <c r="J257" s="363"/>
      <c r="K257" s="363"/>
      <c r="L257" s="363"/>
      <c r="M257" s="363"/>
      <c r="N257" s="363"/>
      <c r="O257" s="363"/>
      <c r="P257" s="363"/>
      <c r="Q257" s="363"/>
      <c r="R257" s="363"/>
      <c r="S257" s="363"/>
      <c r="T257" s="363"/>
      <c r="U257" s="363"/>
      <c r="V257" s="363"/>
      <c r="W257" s="363"/>
      <c r="X257" s="363"/>
      <c r="Y257" s="363"/>
      <c r="Z257" s="363"/>
    </row>
    <row r="258" spans="1:26" ht="13.5" customHeight="1" x14ac:dyDescent="0.2">
      <c r="A258" s="386">
        <f t="shared" si="0"/>
        <v>20</v>
      </c>
      <c r="B258" s="387">
        <f t="shared" si="5"/>
        <v>237</v>
      </c>
      <c r="C258" s="388">
        <f t="shared" si="6"/>
        <v>53328</v>
      </c>
      <c r="D258" s="389">
        <f t="shared" si="7"/>
        <v>557148.00618460425</v>
      </c>
      <c r="E258" s="389">
        <f t="shared" si="1"/>
        <v>3133.9575347883988</v>
      </c>
      <c r="F258" s="389">
        <f t="shared" si="2"/>
        <v>7256.4745066337546</v>
      </c>
      <c r="G258" s="389">
        <f t="shared" si="3"/>
        <v>549891.53167797055</v>
      </c>
      <c r="H258" s="389">
        <f t="shared" si="4"/>
        <v>1504997.5565008903</v>
      </c>
      <c r="I258" s="363"/>
      <c r="J258" s="363"/>
      <c r="K258" s="363"/>
      <c r="L258" s="363"/>
      <c r="M258" s="363"/>
      <c r="N258" s="363"/>
      <c r="O258" s="363"/>
      <c r="P258" s="363"/>
      <c r="Q258" s="363"/>
      <c r="R258" s="363"/>
      <c r="S258" s="363"/>
      <c r="T258" s="363"/>
      <c r="U258" s="363"/>
      <c r="V258" s="363"/>
      <c r="W258" s="363"/>
      <c r="X258" s="363"/>
      <c r="Y258" s="363"/>
      <c r="Z258" s="363"/>
    </row>
    <row r="259" spans="1:26" ht="13.5" customHeight="1" x14ac:dyDescent="0.2">
      <c r="A259" s="386">
        <f t="shared" si="0"/>
        <v>20</v>
      </c>
      <c r="B259" s="387">
        <f t="shared" si="5"/>
        <v>238</v>
      </c>
      <c r="C259" s="388">
        <f t="shared" si="6"/>
        <v>53359</v>
      </c>
      <c r="D259" s="389">
        <f t="shared" si="7"/>
        <v>549891.53167797055</v>
      </c>
      <c r="E259" s="389">
        <f t="shared" si="1"/>
        <v>3093.1398656885845</v>
      </c>
      <c r="F259" s="389">
        <f t="shared" si="2"/>
        <v>7297.292175733568</v>
      </c>
      <c r="G259" s="389">
        <f t="shared" si="3"/>
        <v>542594.23950223695</v>
      </c>
      <c r="H259" s="389">
        <f t="shared" si="4"/>
        <v>1508090.6963665788</v>
      </c>
      <c r="I259" s="363"/>
      <c r="J259" s="363"/>
      <c r="K259" s="363"/>
      <c r="L259" s="363"/>
      <c r="M259" s="363"/>
      <c r="N259" s="363"/>
      <c r="O259" s="363"/>
      <c r="P259" s="363"/>
      <c r="Q259" s="363"/>
      <c r="R259" s="363"/>
      <c r="S259" s="363"/>
      <c r="T259" s="363"/>
      <c r="U259" s="363"/>
      <c r="V259" s="363"/>
      <c r="W259" s="363"/>
      <c r="X259" s="363"/>
      <c r="Y259" s="363"/>
      <c r="Z259" s="363"/>
    </row>
    <row r="260" spans="1:26" ht="13.5" customHeight="1" x14ac:dyDescent="0.2">
      <c r="A260" s="386">
        <f t="shared" si="0"/>
        <v>20</v>
      </c>
      <c r="B260" s="387">
        <f t="shared" si="5"/>
        <v>239</v>
      </c>
      <c r="C260" s="388">
        <f t="shared" si="6"/>
        <v>53387</v>
      </c>
      <c r="D260" s="389">
        <f t="shared" si="7"/>
        <v>542594.23950223695</v>
      </c>
      <c r="E260" s="389">
        <f t="shared" si="1"/>
        <v>3052.0925972000828</v>
      </c>
      <c r="F260" s="389">
        <f t="shared" si="2"/>
        <v>7338.3394442220706</v>
      </c>
      <c r="G260" s="389">
        <f t="shared" si="3"/>
        <v>535255.9000580149</v>
      </c>
      <c r="H260" s="389">
        <f t="shared" si="4"/>
        <v>1511142.7889637789</v>
      </c>
      <c r="I260" s="363"/>
      <c r="J260" s="363"/>
      <c r="K260" s="363"/>
      <c r="L260" s="363"/>
      <c r="M260" s="363"/>
      <c r="N260" s="363"/>
      <c r="O260" s="363"/>
      <c r="P260" s="363"/>
      <c r="Q260" s="363"/>
      <c r="R260" s="363"/>
      <c r="S260" s="363"/>
      <c r="T260" s="363"/>
      <c r="U260" s="363"/>
      <c r="V260" s="363"/>
      <c r="W260" s="363"/>
      <c r="X260" s="363"/>
      <c r="Y260" s="363"/>
      <c r="Z260" s="363"/>
    </row>
    <row r="261" spans="1:26" ht="13.5" customHeight="1" x14ac:dyDescent="0.2">
      <c r="A261" s="386">
        <f t="shared" si="0"/>
        <v>20</v>
      </c>
      <c r="B261" s="387">
        <f t="shared" si="5"/>
        <v>240</v>
      </c>
      <c r="C261" s="388">
        <f t="shared" si="6"/>
        <v>53418</v>
      </c>
      <c r="D261" s="389">
        <f t="shared" si="7"/>
        <v>535255.9000580149</v>
      </c>
      <c r="E261" s="389">
        <f t="shared" si="1"/>
        <v>3010.8144378263337</v>
      </c>
      <c r="F261" s="389">
        <f t="shared" si="2"/>
        <v>7379.6176035958197</v>
      </c>
      <c r="G261" s="389">
        <f t="shared" si="3"/>
        <v>527876.28245441907</v>
      </c>
      <c r="H261" s="389">
        <f t="shared" si="4"/>
        <v>1514153.6034016053</v>
      </c>
      <c r="I261" s="363"/>
      <c r="J261" s="363"/>
      <c r="K261" s="363"/>
      <c r="L261" s="363"/>
      <c r="M261" s="363"/>
      <c r="N261" s="363"/>
      <c r="O261" s="363"/>
      <c r="P261" s="363"/>
      <c r="Q261" s="363"/>
      <c r="R261" s="363"/>
      <c r="S261" s="363"/>
      <c r="T261" s="363"/>
      <c r="U261" s="363"/>
      <c r="V261" s="363"/>
      <c r="W261" s="363"/>
      <c r="X261" s="363"/>
      <c r="Y261" s="363"/>
      <c r="Z261" s="363"/>
    </row>
    <row r="262" spans="1:26" ht="13.5" customHeight="1" x14ac:dyDescent="0.2">
      <c r="A262" s="386">
        <f t="shared" si="0"/>
        <v>21</v>
      </c>
      <c r="B262" s="387">
        <f t="shared" si="5"/>
        <v>241</v>
      </c>
      <c r="C262" s="388">
        <f t="shared" si="6"/>
        <v>53448</v>
      </c>
      <c r="D262" s="389">
        <f t="shared" si="7"/>
        <v>527876.28245441907</v>
      </c>
      <c r="E262" s="389">
        <f t="shared" si="1"/>
        <v>2969.3040888061073</v>
      </c>
      <c r="F262" s="389">
        <f t="shared" si="2"/>
        <v>7421.1279526160451</v>
      </c>
      <c r="G262" s="389">
        <f t="shared" si="3"/>
        <v>520455.15450180304</v>
      </c>
      <c r="H262" s="389">
        <f t="shared" si="4"/>
        <v>1517122.9074904113</v>
      </c>
      <c r="I262" s="363"/>
      <c r="J262" s="363"/>
      <c r="K262" s="363"/>
      <c r="L262" s="363"/>
      <c r="M262" s="363"/>
      <c r="N262" s="363"/>
      <c r="O262" s="363"/>
      <c r="P262" s="363"/>
      <c r="Q262" s="363"/>
      <c r="R262" s="363"/>
      <c r="S262" s="363"/>
      <c r="T262" s="363"/>
      <c r="U262" s="363"/>
      <c r="V262" s="363"/>
      <c r="W262" s="363"/>
      <c r="X262" s="363"/>
      <c r="Y262" s="363"/>
      <c r="Z262" s="363"/>
    </row>
    <row r="263" spans="1:26" ht="13.5" customHeight="1" x14ac:dyDescent="0.2">
      <c r="A263" s="386">
        <f t="shared" si="0"/>
        <v>21</v>
      </c>
      <c r="B263" s="387">
        <f t="shared" si="5"/>
        <v>242</v>
      </c>
      <c r="C263" s="388">
        <f t="shared" si="6"/>
        <v>53479</v>
      </c>
      <c r="D263" s="389">
        <f t="shared" si="7"/>
        <v>520455.15450180304</v>
      </c>
      <c r="E263" s="389">
        <f t="shared" si="1"/>
        <v>2927.560244072642</v>
      </c>
      <c r="F263" s="389">
        <f t="shared" si="2"/>
        <v>7462.8717973495113</v>
      </c>
      <c r="G263" s="389">
        <f t="shared" si="3"/>
        <v>512992.28270445351</v>
      </c>
      <c r="H263" s="389">
        <f t="shared" si="4"/>
        <v>1520050.467734484</v>
      </c>
      <c r="I263" s="363"/>
      <c r="J263" s="363"/>
      <c r="K263" s="363"/>
      <c r="L263" s="363"/>
      <c r="M263" s="363"/>
      <c r="N263" s="363"/>
      <c r="O263" s="363"/>
      <c r="P263" s="363"/>
      <c r="Q263" s="363"/>
      <c r="R263" s="363"/>
      <c r="S263" s="363"/>
      <c r="T263" s="363"/>
      <c r="U263" s="363"/>
      <c r="V263" s="363"/>
      <c r="W263" s="363"/>
      <c r="X263" s="363"/>
      <c r="Y263" s="363"/>
      <c r="Z263" s="363"/>
    </row>
    <row r="264" spans="1:26" ht="13.5" customHeight="1" x14ac:dyDescent="0.2">
      <c r="A264" s="386">
        <f t="shared" si="0"/>
        <v>21</v>
      </c>
      <c r="B264" s="387">
        <f t="shared" si="5"/>
        <v>243</v>
      </c>
      <c r="C264" s="388">
        <f t="shared" si="6"/>
        <v>53509</v>
      </c>
      <c r="D264" s="389">
        <f t="shared" si="7"/>
        <v>512992.28270445351</v>
      </c>
      <c r="E264" s="389">
        <f t="shared" si="1"/>
        <v>2885.581590212551</v>
      </c>
      <c r="F264" s="389">
        <f t="shared" si="2"/>
        <v>7504.8504512096024</v>
      </c>
      <c r="G264" s="389">
        <f t="shared" si="3"/>
        <v>505487.43225324393</v>
      </c>
      <c r="H264" s="389">
        <f t="shared" si="4"/>
        <v>1522936.0493246967</v>
      </c>
      <c r="I264" s="363"/>
      <c r="J264" s="363"/>
      <c r="K264" s="363"/>
      <c r="L264" s="363"/>
      <c r="M264" s="363"/>
      <c r="N264" s="363"/>
      <c r="O264" s="363"/>
      <c r="P264" s="363"/>
      <c r="Q264" s="363"/>
      <c r="R264" s="363"/>
      <c r="S264" s="363"/>
      <c r="T264" s="363"/>
      <c r="U264" s="363"/>
      <c r="V264" s="363"/>
      <c r="W264" s="363"/>
      <c r="X264" s="363"/>
      <c r="Y264" s="363"/>
      <c r="Z264" s="363"/>
    </row>
    <row r="265" spans="1:26" ht="13.5" customHeight="1" x14ac:dyDescent="0.2">
      <c r="A265" s="386">
        <f t="shared" si="0"/>
        <v>21</v>
      </c>
      <c r="B265" s="387">
        <f t="shared" si="5"/>
        <v>244</v>
      </c>
      <c r="C265" s="388">
        <f t="shared" si="6"/>
        <v>53540</v>
      </c>
      <c r="D265" s="389">
        <f t="shared" si="7"/>
        <v>505487.43225324393</v>
      </c>
      <c r="E265" s="389">
        <f t="shared" si="1"/>
        <v>2843.3668064244976</v>
      </c>
      <c r="F265" s="389">
        <f t="shared" si="2"/>
        <v>7547.0652349976554</v>
      </c>
      <c r="G265" s="389">
        <f t="shared" si="3"/>
        <v>497940.36701824627</v>
      </c>
      <c r="H265" s="389">
        <f t="shared" si="4"/>
        <v>1525779.4161311211</v>
      </c>
      <c r="I265" s="363"/>
      <c r="J265" s="363"/>
      <c r="K265" s="363"/>
      <c r="L265" s="363"/>
      <c r="M265" s="363"/>
      <c r="N265" s="363"/>
      <c r="O265" s="363"/>
      <c r="P265" s="363"/>
      <c r="Q265" s="363"/>
      <c r="R265" s="363"/>
      <c r="S265" s="363"/>
      <c r="T265" s="363"/>
      <c r="U265" s="363"/>
      <c r="V265" s="363"/>
      <c r="W265" s="363"/>
      <c r="X265" s="363"/>
      <c r="Y265" s="363"/>
      <c r="Z265" s="363"/>
    </row>
    <row r="266" spans="1:26" ht="13.5" customHeight="1" x14ac:dyDescent="0.2">
      <c r="A266" s="386">
        <f t="shared" si="0"/>
        <v>21</v>
      </c>
      <c r="B266" s="387">
        <f t="shared" si="5"/>
        <v>245</v>
      </c>
      <c r="C266" s="388">
        <f t="shared" si="6"/>
        <v>53571</v>
      </c>
      <c r="D266" s="389">
        <f t="shared" si="7"/>
        <v>497940.36701824627</v>
      </c>
      <c r="E266" s="389">
        <f t="shared" si="1"/>
        <v>2800.9145644776358</v>
      </c>
      <c r="F266" s="389">
        <f t="shared" si="2"/>
        <v>7589.5174769445166</v>
      </c>
      <c r="G266" s="389">
        <f t="shared" si="3"/>
        <v>490350.84954130172</v>
      </c>
      <c r="H266" s="389">
        <f t="shared" si="4"/>
        <v>1528580.3306955989</v>
      </c>
      <c r="I266" s="363"/>
      <c r="J266" s="363"/>
      <c r="K266" s="363"/>
      <c r="L266" s="363"/>
      <c r="M266" s="363"/>
      <c r="N266" s="363"/>
      <c r="O266" s="363"/>
      <c r="P266" s="363"/>
      <c r="Q266" s="363"/>
      <c r="R266" s="363"/>
      <c r="S266" s="363"/>
      <c r="T266" s="363"/>
      <c r="U266" s="363"/>
      <c r="V266" s="363"/>
      <c r="W266" s="363"/>
      <c r="X266" s="363"/>
      <c r="Y266" s="363"/>
      <c r="Z266" s="363"/>
    </row>
    <row r="267" spans="1:26" ht="13.5" customHeight="1" x14ac:dyDescent="0.2">
      <c r="A267" s="386">
        <f t="shared" si="0"/>
        <v>21</v>
      </c>
      <c r="B267" s="387">
        <f t="shared" si="5"/>
        <v>246</v>
      </c>
      <c r="C267" s="388">
        <f t="shared" si="6"/>
        <v>53601</v>
      </c>
      <c r="D267" s="389">
        <f t="shared" si="7"/>
        <v>490350.84954130172</v>
      </c>
      <c r="E267" s="389">
        <f t="shared" si="1"/>
        <v>2758.2235286698219</v>
      </c>
      <c r="F267" s="389">
        <f t="shared" si="2"/>
        <v>7632.2085127523314</v>
      </c>
      <c r="G267" s="389">
        <f t="shared" si="3"/>
        <v>482718.64102854941</v>
      </c>
      <c r="H267" s="389">
        <f t="shared" si="4"/>
        <v>1531338.5542242688</v>
      </c>
      <c r="I267" s="363"/>
      <c r="J267" s="363"/>
      <c r="K267" s="363"/>
      <c r="L267" s="363"/>
      <c r="M267" s="363"/>
      <c r="N267" s="363"/>
      <c r="O267" s="363"/>
      <c r="P267" s="363"/>
      <c r="Q267" s="363"/>
      <c r="R267" s="363"/>
      <c r="S267" s="363"/>
      <c r="T267" s="363"/>
      <c r="U267" s="363"/>
      <c r="V267" s="363"/>
      <c r="W267" s="363"/>
      <c r="X267" s="363"/>
      <c r="Y267" s="363"/>
      <c r="Z267" s="363"/>
    </row>
    <row r="268" spans="1:26" ht="13.5" customHeight="1" x14ac:dyDescent="0.2">
      <c r="A268" s="386">
        <f t="shared" si="0"/>
        <v>21</v>
      </c>
      <c r="B268" s="387">
        <f t="shared" si="5"/>
        <v>247</v>
      </c>
      <c r="C268" s="388">
        <f t="shared" si="6"/>
        <v>53632</v>
      </c>
      <c r="D268" s="389">
        <f t="shared" si="7"/>
        <v>482718.64102854941</v>
      </c>
      <c r="E268" s="389">
        <f t="shared" si="1"/>
        <v>2715.2923557855906</v>
      </c>
      <c r="F268" s="389">
        <f t="shared" si="2"/>
        <v>7675.1396856365627</v>
      </c>
      <c r="G268" s="389">
        <f t="shared" si="3"/>
        <v>475043.50134291284</v>
      </c>
      <c r="H268" s="389">
        <f t="shared" si="4"/>
        <v>1534053.8465800544</v>
      </c>
      <c r="I268" s="363"/>
      <c r="J268" s="363"/>
      <c r="K268" s="363"/>
      <c r="L268" s="363"/>
      <c r="M268" s="363"/>
      <c r="N268" s="363"/>
      <c r="O268" s="363"/>
      <c r="P268" s="363"/>
      <c r="Q268" s="363"/>
      <c r="R268" s="363"/>
      <c r="S268" s="363"/>
      <c r="T268" s="363"/>
      <c r="U268" s="363"/>
      <c r="V268" s="363"/>
      <c r="W268" s="363"/>
      <c r="X268" s="363"/>
      <c r="Y268" s="363"/>
      <c r="Z268" s="363"/>
    </row>
    <row r="269" spans="1:26" ht="13.5" customHeight="1" x14ac:dyDescent="0.2">
      <c r="A269" s="386">
        <f t="shared" si="0"/>
        <v>21</v>
      </c>
      <c r="B269" s="387">
        <f t="shared" si="5"/>
        <v>248</v>
      </c>
      <c r="C269" s="388">
        <f t="shared" si="6"/>
        <v>53662</v>
      </c>
      <c r="D269" s="389">
        <f t="shared" si="7"/>
        <v>475043.50134291284</v>
      </c>
      <c r="E269" s="389">
        <f t="shared" si="1"/>
        <v>2672.1196950538847</v>
      </c>
      <c r="F269" s="389">
        <f t="shared" si="2"/>
        <v>7718.3123463682678</v>
      </c>
      <c r="G269" s="389">
        <f t="shared" si="3"/>
        <v>467325.18899654457</v>
      </c>
      <c r="H269" s="389">
        <f t="shared" si="4"/>
        <v>1536725.9662751083</v>
      </c>
      <c r="I269" s="363"/>
      <c r="J269" s="363"/>
      <c r="K269" s="363"/>
      <c r="L269" s="363"/>
      <c r="M269" s="363"/>
      <c r="N269" s="363"/>
      <c r="O269" s="363"/>
      <c r="P269" s="363"/>
      <c r="Q269" s="363"/>
      <c r="R269" s="363"/>
      <c r="S269" s="363"/>
      <c r="T269" s="363"/>
      <c r="U269" s="363"/>
      <c r="V269" s="363"/>
      <c r="W269" s="363"/>
      <c r="X269" s="363"/>
      <c r="Y269" s="363"/>
      <c r="Z269" s="363"/>
    </row>
    <row r="270" spans="1:26" ht="13.5" customHeight="1" x14ac:dyDescent="0.2">
      <c r="A270" s="386">
        <f t="shared" si="0"/>
        <v>21</v>
      </c>
      <c r="B270" s="387">
        <f t="shared" si="5"/>
        <v>249</v>
      </c>
      <c r="C270" s="388">
        <f t="shared" si="6"/>
        <v>53693</v>
      </c>
      <c r="D270" s="389">
        <f t="shared" si="7"/>
        <v>467325.18899654457</v>
      </c>
      <c r="E270" s="389">
        <f t="shared" si="1"/>
        <v>2628.7041881055634</v>
      </c>
      <c r="F270" s="389">
        <f t="shared" si="2"/>
        <v>7761.72785331659</v>
      </c>
      <c r="G270" s="389">
        <f t="shared" si="3"/>
        <v>459563.46114322799</v>
      </c>
      <c r="H270" s="389">
        <f t="shared" si="4"/>
        <v>1539354.6704632139</v>
      </c>
      <c r="I270" s="363"/>
      <c r="J270" s="363"/>
      <c r="K270" s="363"/>
      <c r="L270" s="363"/>
      <c r="M270" s="363"/>
      <c r="N270" s="363"/>
      <c r="O270" s="363"/>
      <c r="P270" s="363"/>
      <c r="Q270" s="363"/>
      <c r="R270" s="363"/>
      <c r="S270" s="363"/>
      <c r="T270" s="363"/>
      <c r="U270" s="363"/>
      <c r="V270" s="363"/>
      <c r="W270" s="363"/>
      <c r="X270" s="363"/>
      <c r="Y270" s="363"/>
      <c r="Z270" s="363"/>
    </row>
    <row r="271" spans="1:26" ht="13.5" customHeight="1" x14ac:dyDescent="0.2">
      <c r="A271" s="386">
        <f t="shared" si="0"/>
        <v>21</v>
      </c>
      <c r="B271" s="387">
        <f t="shared" si="5"/>
        <v>250</v>
      </c>
      <c r="C271" s="388">
        <f t="shared" si="6"/>
        <v>53724</v>
      </c>
      <c r="D271" s="389">
        <f t="shared" si="7"/>
        <v>459563.46114322799</v>
      </c>
      <c r="E271" s="389">
        <f t="shared" si="1"/>
        <v>2585.0444689306573</v>
      </c>
      <c r="F271" s="389">
        <f t="shared" si="2"/>
        <v>7805.387572491496</v>
      </c>
      <c r="G271" s="389">
        <f t="shared" si="3"/>
        <v>451758.07357073651</v>
      </c>
      <c r="H271" s="389">
        <f t="shared" si="4"/>
        <v>1541939.7149321446</v>
      </c>
      <c r="I271" s="363"/>
      <c r="J271" s="363"/>
      <c r="K271" s="363"/>
      <c r="L271" s="363"/>
      <c r="M271" s="363"/>
      <c r="N271" s="363"/>
      <c r="O271" s="363"/>
      <c r="P271" s="363"/>
      <c r="Q271" s="363"/>
      <c r="R271" s="363"/>
      <c r="S271" s="363"/>
      <c r="T271" s="363"/>
      <c r="U271" s="363"/>
      <c r="V271" s="363"/>
      <c r="W271" s="363"/>
      <c r="X271" s="363"/>
      <c r="Y271" s="363"/>
      <c r="Z271" s="363"/>
    </row>
    <row r="272" spans="1:26" ht="13.5" customHeight="1" x14ac:dyDescent="0.2">
      <c r="A272" s="386">
        <f t="shared" si="0"/>
        <v>21</v>
      </c>
      <c r="B272" s="387">
        <f t="shared" si="5"/>
        <v>251</v>
      </c>
      <c r="C272" s="388">
        <f t="shared" si="6"/>
        <v>53752</v>
      </c>
      <c r="D272" s="389">
        <f t="shared" si="7"/>
        <v>451758.07357073651</v>
      </c>
      <c r="E272" s="389">
        <f t="shared" si="1"/>
        <v>2541.139163835393</v>
      </c>
      <c r="F272" s="389">
        <f t="shared" si="2"/>
        <v>7849.2928775867604</v>
      </c>
      <c r="G272" s="389">
        <f t="shared" si="3"/>
        <v>443908.78069314978</v>
      </c>
      <c r="H272" s="389">
        <f t="shared" si="4"/>
        <v>1544480.8540959801</v>
      </c>
      <c r="I272" s="363"/>
      <c r="J272" s="363"/>
      <c r="K272" s="363"/>
      <c r="L272" s="363"/>
      <c r="M272" s="363"/>
      <c r="N272" s="363"/>
      <c r="O272" s="363"/>
      <c r="P272" s="363"/>
      <c r="Q272" s="363"/>
      <c r="R272" s="363"/>
      <c r="S272" s="363"/>
      <c r="T272" s="363"/>
      <c r="U272" s="363"/>
      <c r="V272" s="363"/>
      <c r="W272" s="363"/>
      <c r="X272" s="363"/>
      <c r="Y272" s="363"/>
      <c r="Z272" s="363"/>
    </row>
    <row r="273" spans="1:26" ht="13.5" customHeight="1" x14ac:dyDescent="0.2">
      <c r="A273" s="386">
        <f t="shared" si="0"/>
        <v>21</v>
      </c>
      <c r="B273" s="387">
        <f t="shared" si="5"/>
        <v>252</v>
      </c>
      <c r="C273" s="388">
        <f t="shared" si="6"/>
        <v>53783</v>
      </c>
      <c r="D273" s="389">
        <f t="shared" si="7"/>
        <v>443908.78069314978</v>
      </c>
      <c r="E273" s="389">
        <f t="shared" si="1"/>
        <v>2496.9868913989676</v>
      </c>
      <c r="F273" s="389">
        <f t="shared" si="2"/>
        <v>7893.4451500231853</v>
      </c>
      <c r="G273" s="389">
        <f t="shared" si="3"/>
        <v>436015.33554312657</v>
      </c>
      <c r="H273" s="389">
        <f t="shared" si="4"/>
        <v>1546977.840987379</v>
      </c>
      <c r="I273" s="363"/>
      <c r="J273" s="363"/>
      <c r="K273" s="363"/>
      <c r="L273" s="363"/>
      <c r="M273" s="363"/>
      <c r="N273" s="363"/>
      <c r="O273" s="363"/>
      <c r="P273" s="363"/>
      <c r="Q273" s="363"/>
      <c r="R273" s="363"/>
      <c r="S273" s="363"/>
      <c r="T273" s="363"/>
      <c r="U273" s="363"/>
      <c r="V273" s="363"/>
      <c r="W273" s="363"/>
      <c r="X273" s="363"/>
      <c r="Y273" s="363"/>
      <c r="Z273" s="363"/>
    </row>
    <row r="274" spans="1:26" ht="13.5" customHeight="1" x14ac:dyDescent="0.2">
      <c r="A274" s="386">
        <f t="shared" si="0"/>
        <v>22</v>
      </c>
      <c r="B274" s="387">
        <f t="shared" si="5"/>
        <v>253</v>
      </c>
      <c r="C274" s="388">
        <f t="shared" si="6"/>
        <v>53813</v>
      </c>
      <c r="D274" s="389">
        <f t="shared" si="7"/>
        <v>436015.33554312657</v>
      </c>
      <c r="E274" s="389">
        <f t="shared" si="1"/>
        <v>2452.5862624300871</v>
      </c>
      <c r="F274" s="389">
        <f t="shared" si="2"/>
        <v>7937.8457789920658</v>
      </c>
      <c r="G274" s="389">
        <f t="shared" si="3"/>
        <v>428077.48976413452</v>
      </c>
      <c r="H274" s="389">
        <f t="shared" si="4"/>
        <v>1549430.427249809</v>
      </c>
      <c r="I274" s="363"/>
      <c r="J274" s="363"/>
      <c r="K274" s="363"/>
      <c r="L274" s="363"/>
      <c r="M274" s="363"/>
      <c r="N274" s="363"/>
      <c r="O274" s="363"/>
      <c r="P274" s="363"/>
      <c r="Q274" s="363"/>
      <c r="R274" s="363"/>
      <c r="S274" s="363"/>
      <c r="T274" s="363"/>
      <c r="U274" s="363"/>
      <c r="V274" s="363"/>
      <c r="W274" s="363"/>
      <c r="X274" s="363"/>
      <c r="Y274" s="363"/>
      <c r="Z274" s="363"/>
    </row>
    <row r="275" spans="1:26" ht="13.5" customHeight="1" x14ac:dyDescent="0.2">
      <c r="A275" s="386">
        <f t="shared" si="0"/>
        <v>22</v>
      </c>
      <c r="B275" s="387">
        <f t="shared" si="5"/>
        <v>254</v>
      </c>
      <c r="C275" s="388">
        <f t="shared" si="6"/>
        <v>53844</v>
      </c>
      <c r="D275" s="389">
        <f t="shared" si="7"/>
        <v>428077.48976413452</v>
      </c>
      <c r="E275" s="389">
        <f t="shared" si="1"/>
        <v>2407.9358799232568</v>
      </c>
      <c r="F275" s="389">
        <f t="shared" si="2"/>
        <v>7982.4961614988961</v>
      </c>
      <c r="G275" s="389">
        <f t="shared" si="3"/>
        <v>420094.99360263563</v>
      </c>
      <c r="H275" s="389">
        <f t="shared" si="4"/>
        <v>1551838.3631297322</v>
      </c>
      <c r="I275" s="363"/>
      <c r="J275" s="363"/>
      <c r="K275" s="363"/>
      <c r="L275" s="363"/>
      <c r="M275" s="363"/>
      <c r="N275" s="363"/>
      <c r="O275" s="363"/>
      <c r="P275" s="363"/>
      <c r="Q275" s="363"/>
      <c r="R275" s="363"/>
      <c r="S275" s="363"/>
      <c r="T275" s="363"/>
      <c r="U275" s="363"/>
      <c r="V275" s="363"/>
      <c r="W275" s="363"/>
      <c r="X275" s="363"/>
      <c r="Y275" s="363"/>
      <c r="Z275" s="363"/>
    </row>
    <row r="276" spans="1:26" ht="13.5" customHeight="1" x14ac:dyDescent="0.2">
      <c r="A276" s="386">
        <f t="shared" si="0"/>
        <v>22</v>
      </c>
      <c r="B276" s="387">
        <f t="shared" si="5"/>
        <v>255</v>
      </c>
      <c r="C276" s="388">
        <f t="shared" si="6"/>
        <v>53874</v>
      </c>
      <c r="D276" s="389">
        <f t="shared" si="7"/>
        <v>420094.99360263563</v>
      </c>
      <c r="E276" s="389">
        <f t="shared" si="1"/>
        <v>2363.0343390148255</v>
      </c>
      <c r="F276" s="389">
        <f t="shared" si="2"/>
        <v>8027.3977024073274</v>
      </c>
      <c r="G276" s="389">
        <f t="shared" si="3"/>
        <v>412067.59590022831</v>
      </c>
      <c r="H276" s="389">
        <f t="shared" si="4"/>
        <v>1554201.3974687471</v>
      </c>
      <c r="I276" s="363"/>
      <c r="J276" s="363"/>
      <c r="K276" s="363"/>
      <c r="L276" s="363"/>
      <c r="M276" s="363"/>
      <c r="N276" s="363"/>
      <c r="O276" s="363"/>
      <c r="P276" s="363"/>
      <c r="Q276" s="363"/>
      <c r="R276" s="363"/>
      <c r="S276" s="363"/>
      <c r="T276" s="363"/>
      <c r="U276" s="363"/>
      <c r="V276" s="363"/>
      <c r="W276" s="363"/>
      <c r="X276" s="363"/>
      <c r="Y276" s="363"/>
      <c r="Z276" s="363"/>
    </row>
    <row r="277" spans="1:26" ht="13.5" customHeight="1" x14ac:dyDescent="0.2">
      <c r="A277" s="386">
        <f t="shared" si="0"/>
        <v>22</v>
      </c>
      <c r="B277" s="387">
        <f t="shared" si="5"/>
        <v>256</v>
      </c>
      <c r="C277" s="388">
        <f t="shared" si="6"/>
        <v>53905</v>
      </c>
      <c r="D277" s="389">
        <f t="shared" si="7"/>
        <v>412067.59590022831</v>
      </c>
      <c r="E277" s="389">
        <f t="shared" si="1"/>
        <v>2317.8802269387843</v>
      </c>
      <c r="F277" s="389">
        <f t="shared" si="2"/>
        <v>8072.5518144833686</v>
      </c>
      <c r="G277" s="389">
        <f t="shared" si="3"/>
        <v>403995.04408574494</v>
      </c>
      <c r="H277" s="389">
        <f t="shared" si="4"/>
        <v>1556519.2776956859</v>
      </c>
      <c r="I277" s="363"/>
      <c r="J277" s="363"/>
      <c r="K277" s="363"/>
      <c r="L277" s="363"/>
      <c r="M277" s="363"/>
      <c r="N277" s="363"/>
      <c r="O277" s="363"/>
      <c r="P277" s="363"/>
      <c r="Q277" s="363"/>
      <c r="R277" s="363"/>
      <c r="S277" s="363"/>
      <c r="T277" s="363"/>
      <c r="U277" s="363"/>
      <c r="V277" s="363"/>
      <c r="W277" s="363"/>
      <c r="X277" s="363"/>
      <c r="Y277" s="363"/>
      <c r="Z277" s="363"/>
    </row>
    <row r="278" spans="1:26" ht="13.5" customHeight="1" x14ac:dyDescent="0.2">
      <c r="A278" s="386">
        <f t="shared" si="0"/>
        <v>22</v>
      </c>
      <c r="B278" s="387">
        <f t="shared" si="5"/>
        <v>257</v>
      </c>
      <c r="C278" s="388">
        <f t="shared" si="6"/>
        <v>53936</v>
      </c>
      <c r="D278" s="389">
        <f t="shared" si="7"/>
        <v>403995.04408574494</v>
      </c>
      <c r="E278" s="389">
        <f t="shared" si="1"/>
        <v>2272.4721229823153</v>
      </c>
      <c r="F278" s="389">
        <f t="shared" si="2"/>
        <v>8117.9599184398376</v>
      </c>
      <c r="G278" s="389">
        <f t="shared" si="3"/>
        <v>395877.08416730509</v>
      </c>
      <c r="H278" s="389">
        <f t="shared" si="4"/>
        <v>1558791.7498186682</v>
      </c>
      <c r="I278" s="363"/>
      <c r="J278" s="363"/>
      <c r="K278" s="363"/>
      <c r="L278" s="363"/>
      <c r="M278" s="363"/>
      <c r="N278" s="363"/>
      <c r="O278" s="363"/>
      <c r="P278" s="363"/>
      <c r="Q278" s="363"/>
      <c r="R278" s="363"/>
      <c r="S278" s="363"/>
      <c r="T278" s="363"/>
      <c r="U278" s="363"/>
      <c r="V278" s="363"/>
      <c r="W278" s="363"/>
      <c r="X278" s="363"/>
      <c r="Y278" s="363"/>
      <c r="Z278" s="363"/>
    </row>
    <row r="279" spans="1:26" ht="13.5" customHeight="1" x14ac:dyDescent="0.2">
      <c r="A279" s="386">
        <f t="shared" si="0"/>
        <v>22</v>
      </c>
      <c r="B279" s="387">
        <f t="shared" si="5"/>
        <v>258</v>
      </c>
      <c r="C279" s="388">
        <f t="shared" si="6"/>
        <v>53966</v>
      </c>
      <c r="D279" s="389">
        <f t="shared" si="7"/>
        <v>395877.08416730509</v>
      </c>
      <c r="E279" s="389">
        <f t="shared" si="1"/>
        <v>2226.8085984410914</v>
      </c>
      <c r="F279" s="389">
        <f t="shared" si="2"/>
        <v>8163.6234429810611</v>
      </c>
      <c r="G279" s="389">
        <f t="shared" si="3"/>
        <v>387713.46072432405</v>
      </c>
      <c r="H279" s="389">
        <f t="shared" si="4"/>
        <v>1561018.5584171093</v>
      </c>
      <c r="I279" s="363"/>
      <c r="J279" s="363"/>
      <c r="K279" s="363"/>
      <c r="L279" s="363"/>
      <c r="M279" s="363"/>
      <c r="N279" s="363"/>
      <c r="O279" s="363"/>
      <c r="P279" s="363"/>
      <c r="Q279" s="363"/>
      <c r="R279" s="363"/>
      <c r="S279" s="363"/>
      <c r="T279" s="363"/>
      <c r="U279" s="363"/>
      <c r="V279" s="363"/>
      <c r="W279" s="363"/>
      <c r="X279" s="363"/>
      <c r="Y279" s="363"/>
      <c r="Z279" s="363"/>
    </row>
    <row r="280" spans="1:26" ht="13.5" customHeight="1" x14ac:dyDescent="0.2">
      <c r="A280" s="386">
        <f t="shared" si="0"/>
        <v>22</v>
      </c>
      <c r="B280" s="387">
        <f t="shared" si="5"/>
        <v>259</v>
      </c>
      <c r="C280" s="388">
        <f t="shared" si="6"/>
        <v>53997</v>
      </c>
      <c r="D280" s="389">
        <f t="shared" si="7"/>
        <v>387713.46072432405</v>
      </c>
      <c r="E280" s="389">
        <f t="shared" si="1"/>
        <v>2180.888216574323</v>
      </c>
      <c r="F280" s="389">
        <f t="shared" si="2"/>
        <v>8209.5438248478295</v>
      </c>
      <c r="G280" s="389">
        <f t="shared" si="3"/>
        <v>379503.9168994762</v>
      </c>
      <c r="H280" s="389">
        <f t="shared" si="4"/>
        <v>1563199.4466336835</v>
      </c>
      <c r="I280" s="363"/>
      <c r="J280" s="363"/>
      <c r="K280" s="363"/>
      <c r="L280" s="363"/>
      <c r="M280" s="363"/>
      <c r="N280" s="363"/>
      <c r="O280" s="363"/>
      <c r="P280" s="363"/>
      <c r="Q280" s="363"/>
      <c r="R280" s="363"/>
      <c r="S280" s="363"/>
      <c r="T280" s="363"/>
      <c r="U280" s="363"/>
      <c r="V280" s="363"/>
      <c r="W280" s="363"/>
      <c r="X280" s="363"/>
      <c r="Y280" s="363"/>
      <c r="Z280" s="363"/>
    </row>
    <row r="281" spans="1:26" ht="13.5" customHeight="1" x14ac:dyDescent="0.2">
      <c r="A281" s="386">
        <f t="shared" si="0"/>
        <v>22</v>
      </c>
      <c r="B281" s="387">
        <f t="shared" si="5"/>
        <v>260</v>
      </c>
      <c r="C281" s="388">
        <f t="shared" si="6"/>
        <v>54027</v>
      </c>
      <c r="D281" s="389">
        <f t="shared" si="7"/>
        <v>379503.9168994762</v>
      </c>
      <c r="E281" s="389">
        <f t="shared" si="1"/>
        <v>2134.7095325595537</v>
      </c>
      <c r="F281" s="389">
        <f t="shared" si="2"/>
        <v>8255.7225088626001</v>
      </c>
      <c r="G281" s="389">
        <f t="shared" si="3"/>
        <v>371248.19439061359</v>
      </c>
      <c r="H281" s="389">
        <f t="shared" si="4"/>
        <v>1565334.1561662431</v>
      </c>
      <c r="I281" s="363"/>
      <c r="J281" s="363"/>
      <c r="K281" s="363"/>
      <c r="L281" s="363"/>
      <c r="M281" s="363"/>
      <c r="N281" s="363"/>
      <c r="O281" s="363"/>
      <c r="P281" s="363"/>
      <c r="Q281" s="363"/>
      <c r="R281" s="363"/>
      <c r="S281" s="363"/>
      <c r="T281" s="363"/>
      <c r="U281" s="363"/>
      <c r="V281" s="363"/>
      <c r="W281" s="363"/>
      <c r="X281" s="363"/>
      <c r="Y281" s="363"/>
      <c r="Z281" s="363"/>
    </row>
    <row r="282" spans="1:26" ht="13.5" customHeight="1" x14ac:dyDescent="0.2">
      <c r="A282" s="386">
        <f t="shared" si="0"/>
        <v>22</v>
      </c>
      <c r="B282" s="387">
        <f t="shared" si="5"/>
        <v>261</v>
      </c>
      <c r="C282" s="388">
        <f t="shared" si="6"/>
        <v>54058</v>
      </c>
      <c r="D282" s="389">
        <f t="shared" si="7"/>
        <v>371248.19439061359</v>
      </c>
      <c r="E282" s="389">
        <f t="shared" si="1"/>
        <v>2088.2710934472016</v>
      </c>
      <c r="F282" s="389">
        <f t="shared" si="2"/>
        <v>8302.1609479749513</v>
      </c>
      <c r="G282" s="389">
        <f t="shared" si="3"/>
        <v>362946.03344263864</v>
      </c>
      <c r="H282" s="389">
        <f t="shared" si="4"/>
        <v>1567422.4272596904</v>
      </c>
      <c r="I282" s="363"/>
      <c r="J282" s="363"/>
      <c r="K282" s="363"/>
      <c r="L282" s="363"/>
      <c r="M282" s="363"/>
      <c r="N282" s="363"/>
      <c r="O282" s="363"/>
      <c r="P282" s="363"/>
      <c r="Q282" s="363"/>
      <c r="R282" s="363"/>
      <c r="S282" s="363"/>
      <c r="T282" s="363"/>
      <c r="U282" s="363"/>
      <c r="V282" s="363"/>
      <c r="W282" s="363"/>
      <c r="X282" s="363"/>
      <c r="Y282" s="363"/>
      <c r="Z282" s="363"/>
    </row>
    <row r="283" spans="1:26" ht="13.5" customHeight="1" x14ac:dyDescent="0.2">
      <c r="A283" s="386">
        <f t="shared" si="0"/>
        <v>22</v>
      </c>
      <c r="B283" s="387">
        <f t="shared" si="5"/>
        <v>262</v>
      </c>
      <c r="C283" s="388">
        <f t="shared" si="6"/>
        <v>54089</v>
      </c>
      <c r="D283" s="389">
        <f t="shared" si="7"/>
        <v>362946.03344263864</v>
      </c>
      <c r="E283" s="389">
        <f t="shared" si="1"/>
        <v>2041.5714381148425</v>
      </c>
      <c r="F283" s="389">
        <f t="shared" si="2"/>
        <v>8348.8606033073102</v>
      </c>
      <c r="G283" s="389">
        <f t="shared" si="3"/>
        <v>354597.17283933132</v>
      </c>
      <c r="H283" s="389">
        <f t="shared" si="4"/>
        <v>1569463.9986978052</v>
      </c>
      <c r="I283" s="363"/>
      <c r="J283" s="363"/>
      <c r="K283" s="363"/>
      <c r="L283" s="363"/>
      <c r="M283" s="363"/>
      <c r="N283" s="363"/>
      <c r="O283" s="363"/>
      <c r="P283" s="363"/>
      <c r="Q283" s="363"/>
      <c r="R283" s="363"/>
      <c r="S283" s="363"/>
      <c r="T283" s="363"/>
      <c r="U283" s="363"/>
      <c r="V283" s="363"/>
      <c r="W283" s="363"/>
      <c r="X283" s="363"/>
      <c r="Y283" s="363"/>
      <c r="Z283" s="363"/>
    </row>
    <row r="284" spans="1:26" ht="13.5" customHeight="1" x14ac:dyDescent="0.2">
      <c r="A284" s="386">
        <f t="shared" si="0"/>
        <v>22</v>
      </c>
      <c r="B284" s="387">
        <f t="shared" si="5"/>
        <v>263</v>
      </c>
      <c r="C284" s="388">
        <f t="shared" si="6"/>
        <v>54118</v>
      </c>
      <c r="D284" s="389">
        <f t="shared" si="7"/>
        <v>354597.17283933132</v>
      </c>
      <c r="E284" s="389">
        <f t="shared" si="1"/>
        <v>1994.6090972212387</v>
      </c>
      <c r="F284" s="389">
        <f t="shared" si="2"/>
        <v>8395.8229442009142</v>
      </c>
      <c r="G284" s="389">
        <f t="shared" si="3"/>
        <v>346201.34989513044</v>
      </c>
      <c r="H284" s="389">
        <f t="shared" si="4"/>
        <v>1571458.6077950264</v>
      </c>
      <c r="I284" s="363"/>
      <c r="J284" s="363"/>
      <c r="K284" s="363"/>
      <c r="L284" s="363"/>
      <c r="M284" s="363"/>
      <c r="N284" s="363"/>
      <c r="O284" s="363"/>
      <c r="P284" s="363"/>
      <c r="Q284" s="363"/>
      <c r="R284" s="363"/>
      <c r="S284" s="363"/>
      <c r="T284" s="363"/>
      <c r="U284" s="363"/>
      <c r="V284" s="363"/>
      <c r="W284" s="363"/>
      <c r="X284" s="363"/>
      <c r="Y284" s="363"/>
      <c r="Z284" s="363"/>
    </row>
    <row r="285" spans="1:26" ht="13.5" customHeight="1" x14ac:dyDescent="0.2">
      <c r="A285" s="386">
        <f t="shared" si="0"/>
        <v>22</v>
      </c>
      <c r="B285" s="387">
        <f t="shared" si="5"/>
        <v>264</v>
      </c>
      <c r="C285" s="388">
        <f t="shared" si="6"/>
        <v>54149</v>
      </c>
      <c r="D285" s="389">
        <f t="shared" si="7"/>
        <v>346201.34989513044</v>
      </c>
      <c r="E285" s="389">
        <f t="shared" si="1"/>
        <v>1947.3825931601089</v>
      </c>
      <c r="F285" s="389">
        <f t="shared" si="2"/>
        <v>8443.0494482620434</v>
      </c>
      <c r="G285" s="389">
        <f t="shared" si="3"/>
        <v>337758.30044686841</v>
      </c>
      <c r="H285" s="389">
        <f t="shared" si="4"/>
        <v>1573405.9903881864</v>
      </c>
      <c r="I285" s="363"/>
      <c r="J285" s="363"/>
      <c r="K285" s="363"/>
      <c r="L285" s="363"/>
      <c r="M285" s="363"/>
      <c r="N285" s="363"/>
      <c r="O285" s="363"/>
      <c r="P285" s="363"/>
      <c r="Q285" s="363"/>
      <c r="R285" s="363"/>
      <c r="S285" s="363"/>
      <c r="T285" s="363"/>
      <c r="U285" s="363"/>
      <c r="V285" s="363"/>
      <c r="W285" s="363"/>
      <c r="X285" s="363"/>
      <c r="Y285" s="363"/>
      <c r="Z285" s="363"/>
    </row>
    <row r="286" spans="1:26" ht="13.5" customHeight="1" x14ac:dyDescent="0.2">
      <c r="A286" s="386">
        <f t="shared" si="0"/>
        <v>23</v>
      </c>
      <c r="B286" s="387">
        <f t="shared" si="5"/>
        <v>265</v>
      </c>
      <c r="C286" s="388">
        <f t="shared" si="6"/>
        <v>54179</v>
      </c>
      <c r="D286" s="389">
        <f t="shared" si="7"/>
        <v>337758.30044686841</v>
      </c>
      <c r="E286" s="389">
        <f t="shared" si="1"/>
        <v>1899.890440013635</v>
      </c>
      <c r="F286" s="389">
        <f t="shared" si="2"/>
        <v>8490.5416014085185</v>
      </c>
      <c r="G286" s="389">
        <f t="shared" si="3"/>
        <v>329267.7588454599</v>
      </c>
      <c r="H286" s="389">
        <f t="shared" si="4"/>
        <v>1575305.8808282001</v>
      </c>
      <c r="I286" s="363"/>
      <c r="J286" s="363"/>
      <c r="K286" s="363"/>
      <c r="L286" s="363"/>
      <c r="M286" s="363"/>
      <c r="N286" s="363"/>
      <c r="O286" s="363"/>
      <c r="P286" s="363"/>
      <c r="Q286" s="363"/>
      <c r="R286" s="363"/>
      <c r="S286" s="363"/>
      <c r="T286" s="363"/>
      <c r="U286" s="363"/>
      <c r="V286" s="363"/>
      <c r="W286" s="363"/>
      <c r="X286" s="363"/>
      <c r="Y286" s="363"/>
      <c r="Z286" s="363"/>
    </row>
    <row r="287" spans="1:26" ht="13.5" customHeight="1" x14ac:dyDescent="0.2">
      <c r="A287" s="386">
        <f t="shared" si="0"/>
        <v>23</v>
      </c>
      <c r="B287" s="387">
        <f t="shared" si="5"/>
        <v>266</v>
      </c>
      <c r="C287" s="388">
        <f t="shared" si="6"/>
        <v>54210</v>
      </c>
      <c r="D287" s="389">
        <f t="shared" si="7"/>
        <v>329267.7588454599</v>
      </c>
      <c r="E287" s="389">
        <f t="shared" si="1"/>
        <v>1852.1311435057121</v>
      </c>
      <c r="F287" s="389">
        <f t="shared" si="2"/>
        <v>8538.3008979164406</v>
      </c>
      <c r="G287" s="389">
        <f t="shared" si="3"/>
        <v>320729.45794754347</v>
      </c>
      <c r="H287" s="389">
        <f t="shared" si="4"/>
        <v>1577158.0119717058</v>
      </c>
      <c r="I287" s="363"/>
      <c r="J287" s="363"/>
      <c r="K287" s="363"/>
      <c r="L287" s="363"/>
      <c r="M287" s="363"/>
      <c r="N287" s="363"/>
      <c r="O287" s="363"/>
      <c r="P287" s="363"/>
      <c r="Q287" s="363"/>
      <c r="R287" s="363"/>
      <c r="S287" s="363"/>
      <c r="T287" s="363"/>
      <c r="U287" s="363"/>
      <c r="V287" s="363"/>
      <c r="W287" s="363"/>
      <c r="X287" s="363"/>
      <c r="Y287" s="363"/>
      <c r="Z287" s="363"/>
    </row>
    <row r="288" spans="1:26" ht="13.5" customHeight="1" x14ac:dyDescent="0.2">
      <c r="A288" s="386">
        <f t="shared" si="0"/>
        <v>23</v>
      </c>
      <c r="B288" s="387">
        <f t="shared" si="5"/>
        <v>267</v>
      </c>
      <c r="C288" s="388">
        <f t="shared" si="6"/>
        <v>54240</v>
      </c>
      <c r="D288" s="389">
        <f t="shared" si="7"/>
        <v>320729.45794754347</v>
      </c>
      <c r="E288" s="389">
        <f t="shared" si="1"/>
        <v>1804.1032009549319</v>
      </c>
      <c r="F288" s="389">
        <f t="shared" si="2"/>
        <v>8586.3288404672203</v>
      </c>
      <c r="G288" s="389">
        <f t="shared" si="3"/>
        <v>312143.12910707627</v>
      </c>
      <c r="H288" s="389">
        <f t="shared" si="4"/>
        <v>1578962.1151726607</v>
      </c>
      <c r="I288" s="363"/>
      <c r="J288" s="363"/>
      <c r="K288" s="363"/>
      <c r="L288" s="363"/>
      <c r="M288" s="363"/>
      <c r="N288" s="363"/>
      <c r="O288" s="363"/>
      <c r="P288" s="363"/>
      <c r="Q288" s="363"/>
      <c r="R288" s="363"/>
      <c r="S288" s="363"/>
      <c r="T288" s="363"/>
      <c r="U288" s="363"/>
      <c r="V288" s="363"/>
      <c r="W288" s="363"/>
      <c r="X288" s="363"/>
      <c r="Y288" s="363"/>
      <c r="Z288" s="363"/>
    </row>
    <row r="289" spans="1:26" ht="13.5" customHeight="1" x14ac:dyDescent="0.2">
      <c r="A289" s="386">
        <f t="shared" si="0"/>
        <v>23</v>
      </c>
      <c r="B289" s="387">
        <f t="shared" si="5"/>
        <v>268</v>
      </c>
      <c r="C289" s="388">
        <f t="shared" si="6"/>
        <v>54271</v>
      </c>
      <c r="D289" s="389">
        <f t="shared" si="7"/>
        <v>312143.12910707627</v>
      </c>
      <c r="E289" s="389">
        <f t="shared" si="1"/>
        <v>1755.8051012273042</v>
      </c>
      <c r="F289" s="389">
        <f t="shared" si="2"/>
        <v>8634.6269401948484</v>
      </c>
      <c r="G289" s="389">
        <f t="shared" si="3"/>
        <v>303508.5021668814</v>
      </c>
      <c r="H289" s="389">
        <f t="shared" si="4"/>
        <v>1580717.9202738879</v>
      </c>
      <c r="I289" s="363"/>
      <c r="J289" s="363"/>
      <c r="K289" s="363"/>
      <c r="L289" s="363"/>
      <c r="M289" s="363"/>
      <c r="N289" s="363"/>
      <c r="O289" s="363"/>
      <c r="P289" s="363"/>
      <c r="Q289" s="363"/>
      <c r="R289" s="363"/>
      <c r="S289" s="363"/>
      <c r="T289" s="363"/>
      <c r="U289" s="363"/>
      <c r="V289" s="363"/>
      <c r="W289" s="363"/>
      <c r="X289" s="363"/>
      <c r="Y289" s="363"/>
      <c r="Z289" s="363"/>
    </row>
    <row r="290" spans="1:26" ht="13.5" customHeight="1" x14ac:dyDescent="0.2">
      <c r="A290" s="386">
        <f t="shared" si="0"/>
        <v>23</v>
      </c>
      <c r="B290" s="387">
        <f t="shared" si="5"/>
        <v>269</v>
      </c>
      <c r="C290" s="388">
        <f t="shared" si="6"/>
        <v>54302</v>
      </c>
      <c r="D290" s="389">
        <f t="shared" si="7"/>
        <v>303508.5021668814</v>
      </c>
      <c r="E290" s="389">
        <f t="shared" si="1"/>
        <v>1707.235324688708</v>
      </c>
      <c r="F290" s="389">
        <f t="shared" si="2"/>
        <v>8683.1967167334442</v>
      </c>
      <c r="G290" s="389">
        <f t="shared" si="3"/>
        <v>294825.30545014795</v>
      </c>
      <c r="H290" s="389">
        <f t="shared" si="4"/>
        <v>1582425.1555985766</v>
      </c>
      <c r="I290" s="363"/>
      <c r="J290" s="363"/>
      <c r="K290" s="363"/>
      <c r="L290" s="363"/>
      <c r="M290" s="363"/>
      <c r="N290" s="363"/>
      <c r="O290" s="363"/>
      <c r="P290" s="363"/>
      <c r="Q290" s="363"/>
      <c r="R290" s="363"/>
      <c r="S290" s="363"/>
      <c r="T290" s="363"/>
      <c r="U290" s="363"/>
      <c r="V290" s="363"/>
      <c r="W290" s="363"/>
      <c r="X290" s="363"/>
      <c r="Y290" s="363"/>
      <c r="Z290" s="363"/>
    </row>
    <row r="291" spans="1:26" ht="13.5" customHeight="1" x14ac:dyDescent="0.2">
      <c r="A291" s="386">
        <f t="shared" si="0"/>
        <v>23</v>
      </c>
      <c r="B291" s="387">
        <f t="shared" si="5"/>
        <v>270</v>
      </c>
      <c r="C291" s="388">
        <f t="shared" si="6"/>
        <v>54332</v>
      </c>
      <c r="D291" s="389">
        <f t="shared" si="7"/>
        <v>294825.30545014795</v>
      </c>
      <c r="E291" s="389">
        <f t="shared" si="1"/>
        <v>1658.3923431570822</v>
      </c>
      <c r="F291" s="389">
        <f t="shared" si="2"/>
        <v>8732.0396982650709</v>
      </c>
      <c r="G291" s="389">
        <f t="shared" si="3"/>
        <v>286093.26575188286</v>
      </c>
      <c r="H291" s="389">
        <f t="shared" si="4"/>
        <v>1584083.5479417336</v>
      </c>
      <c r="I291" s="363"/>
      <c r="J291" s="363"/>
      <c r="K291" s="363"/>
      <c r="L291" s="363"/>
      <c r="M291" s="363"/>
      <c r="N291" s="363"/>
      <c r="O291" s="363"/>
      <c r="P291" s="363"/>
      <c r="Q291" s="363"/>
      <c r="R291" s="363"/>
      <c r="S291" s="363"/>
      <c r="T291" s="363"/>
      <c r="U291" s="363"/>
      <c r="V291" s="363"/>
      <c r="W291" s="363"/>
      <c r="X291" s="363"/>
      <c r="Y291" s="363"/>
      <c r="Z291" s="363"/>
    </row>
    <row r="292" spans="1:26" ht="13.5" customHeight="1" x14ac:dyDescent="0.2">
      <c r="A292" s="386">
        <f t="shared" si="0"/>
        <v>23</v>
      </c>
      <c r="B292" s="387">
        <f t="shared" si="5"/>
        <v>271</v>
      </c>
      <c r="C292" s="388">
        <f t="shared" si="6"/>
        <v>54363</v>
      </c>
      <c r="D292" s="389">
        <f t="shared" si="7"/>
        <v>286093.26575188286</v>
      </c>
      <c r="E292" s="389">
        <f t="shared" si="1"/>
        <v>1609.2746198543412</v>
      </c>
      <c r="F292" s="389">
        <f t="shared" si="2"/>
        <v>8781.157421567812</v>
      </c>
      <c r="G292" s="389">
        <f t="shared" si="3"/>
        <v>277312.10833031504</v>
      </c>
      <c r="H292" s="389">
        <f t="shared" si="4"/>
        <v>1585692.8225615879</v>
      </c>
      <c r="I292" s="363"/>
      <c r="J292" s="363"/>
      <c r="K292" s="363"/>
      <c r="L292" s="363"/>
      <c r="M292" s="363"/>
      <c r="N292" s="363"/>
      <c r="O292" s="363"/>
      <c r="P292" s="363"/>
      <c r="Q292" s="363"/>
      <c r="R292" s="363"/>
      <c r="S292" s="363"/>
      <c r="T292" s="363"/>
      <c r="U292" s="363"/>
      <c r="V292" s="363"/>
      <c r="W292" s="363"/>
      <c r="X292" s="363"/>
      <c r="Y292" s="363"/>
      <c r="Z292" s="363"/>
    </row>
    <row r="293" spans="1:26" ht="13.5" customHeight="1" x14ac:dyDescent="0.2">
      <c r="A293" s="386">
        <f t="shared" si="0"/>
        <v>23</v>
      </c>
      <c r="B293" s="387">
        <f t="shared" si="5"/>
        <v>272</v>
      </c>
      <c r="C293" s="388">
        <f t="shared" si="6"/>
        <v>54393</v>
      </c>
      <c r="D293" s="389">
        <f t="shared" si="7"/>
        <v>277312.10833031504</v>
      </c>
      <c r="E293" s="389">
        <f t="shared" si="1"/>
        <v>1559.8806093580222</v>
      </c>
      <c r="F293" s="389">
        <f t="shared" si="2"/>
        <v>8830.5514320641305</v>
      </c>
      <c r="G293" s="389">
        <f t="shared" si="3"/>
        <v>268481.55689825088</v>
      </c>
      <c r="H293" s="389">
        <f t="shared" si="4"/>
        <v>1587252.7031709459</v>
      </c>
      <c r="I293" s="363"/>
      <c r="J293" s="363"/>
      <c r="K293" s="363"/>
      <c r="L293" s="363"/>
      <c r="M293" s="363"/>
      <c r="N293" s="363"/>
      <c r="O293" s="363"/>
      <c r="P293" s="363"/>
      <c r="Q293" s="363"/>
      <c r="R293" s="363"/>
      <c r="S293" s="363"/>
      <c r="T293" s="363"/>
      <c r="U293" s="363"/>
      <c r="V293" s="363"/>
      <c r="W293" s="363"/>
      <c r="X293" s="363"/>
      <c r="Y293" s="363"/>
      <c r="Z293" s="363"/>
    </row>
    <row r="294" spans="1:26" ht="13.5" customHeight="1" x14ac:dyDescent="0.2">
      <c r="A294" s="386">
        <f t="shared" si="0"/>
        <v>23</v>
      </c>
      <c r="B294" s="387">
        <f t="shared" si="5"/>
        <v>273</v>
      </c>
      <c r="C294" s="388">
        <f t="shared" si="6"/>
        <v>54424</v>
      </c>
      <c r="D294" s="389">
        <f t="shared" si="7"/>
        <v>268481.55689825088</v>
      </c>
      <c r="E294" s="389">
        <f t="shared" si="1"/>
        <v>1510.2087575526614</v>
      </c>
      <c r="F294" s="389">
        <f t="shared" si="2"/>
        <v>8880.2232838694908</v>
      </c>
      <c r="G294" s="389">
        <f t="shared" si="3"/>
        <v>259601.33361438138</v>
      </c>
      <c r="H294" s="389">
        <f t="shared" si="4"/>
        <v>1588762.9119284984</v>
      </c>
      <c r="I294" s="363"/>
      <c r="J294" s="363"/>
      <c r="K294" s="363"/>
      <c r="L294" s="363"/>
      <c r="M294" s="363"/>
      <c r="N294" s="363"/>
      <c r="O294" s="363"/>
      <c r="P294" s="363"/>
      <c r="Q294" s="363"/>
      <c r="R294" s="363"/>
      <c r="S294" s="363"/>
      <c r="T294" s="363"/>
      <c r="U294" s="363"/>
      <c r="V294" s="363"/>
      <c r="W294" s="363"/>
      <c r="X294" s="363"/>
      <c r="Y294" s="363"/>
      <c r="Z294" s="363"/>
    </row>
    <row r="295" spans="1:26" ht="13.5" customHeight="1" x14ac:dyDescent="0.2">
      <c r="A295" s="386">
        <f t="shared" si="0"/>
        <v>23</v>
      </c>
      <c r="B295" s="387">
        <f t="shared" si="5"/>
        <v>274</v>
      </c>
      <c r="C295" s="388">
        <f t="shared" si="6"/>
        <v>54455</v>
      </c>
      <c r="D295" s="389">
        <f t="shared" si="7"/>
        <v>259601.33361438138</v>
      </c>
      <c r="E295" s="389">
        <f t="shared" si="1"/>
        <v>1460.2575015808952</v>
      </c>
      <c r="F295" s="389">
        <f t="shared" si="2"/>
        <v>8930.1745398412568</v>
      </c>
      <c r="G295" s="389">
        <f t="shared" si="3"/>
        <v>250671.15907454013</v>
      </c>
      <c r="H295" s="389">
        <f t="shared" si="4"/>
        <v>1590223.1694300794</v>
      </c>
      <c r="I295" s="363"/>
      <c r="J295" s="363"/>
      <c r="K295" s="363"/>
      <c r="L295" s="363"/>
      <c r="M295" s="363"/>
      <c r="N295" s="363"/>
      <c r="O295" s="363"/>
      <c r="P295" s="363"/>
      <c r="Q295" s="363"/>
      <c r="R295" s="363"/>
      <c r="S295" s="363"/>
      <c r="T295" s="363"/>
      <c r="U295" s="363"/>
      <c r="V295" s="363"/>
      <c r="W295" s="363"/>
      <c r="X295" s="363"/>
      <c r="Y295" s="363"/>
      <c r="Z295" s="363"/>
    </row>
    <row r="296" spans="1:26" ht="13.5" customHeight="1" x14ac:dyDescent="0.2">
      <c r="A296" s="386">
        <f t="shared" si="0"/>
        <v>23</v>
      </c>
      <c r="B296" s="387">
        <f t="shared" si="5"/>
        <v>275</v>
      </c>
      <c r="C296" s="388">
        <f t="shared" si="6"/>
        <v>54483</v>
      </c>
      <c r="D296" s="389">
        <f t="shared" si="7"/>
        <v>250671.15907454013</v>
      </c>
      <c r="E296" s="389">
        <f t="shared" si="1"/>
        <v>1410.0252697942885</v>
      </c>
      <c r="F296" s="389">
        <f t="shared" si="2"/>
        <v>8980.4067716278641</v>
      </c>
      <c r="G296" s="389">
        <f t="shared" si="3"/>
        <v>241690.75230291227</v>
      </c>
      <c r="H296" s="389">
        <f t="shared" si="4"/>
        <v>1591633.1946998737</v>
      </c>
      <c r="I296" s="363"/>
      <c r="J296" s="363"/>
      <c r="K296" s="363"/>
      <c r="L296" s="363"/>
      <c r="M296" s="363"/>
      <c r="N296" s="363"/>
      <c r="O296" s="363"/>
      <c r="P296" s="363"/>
      <c r="Q296" s="363"/>
      <c r="R296" s="363"/>
      <c r="S296" s="363"/>
      <c r="T296" s="363"/>
      <c r="U296" s="363"/>
      <c r="V296" s="363"/>
      <c r="W296" s="363"/>
      <c r="X296" s="363"/>
      <c r="Y296" s="363"/>
      <c r="Z296" s="363"/>
    </row>
    <row r="297" spans="1:26" ht="13.5" customHeight="1" x14ac:dyDescent="0.2">
      <c r="A297" s="386">
        <f t="shared" si="0"/>
        <v>23</v>
      </c>
      <c r="B297" s="387">
        <f t="shared" si="5"/>
        <v>276</v>
      </c>
      <c r="C297" s="388">
        <f t="shared" si="6"/>
        <v>54514</v>
      </c>
      <c r="D297" s="389">
        <f t="shared" si="7"/>
        <v>241690.75230291227</v>
      </c>
      <c r="E297" s="389">
        <f t="shared" si="1"/>
        <v>1359.5104817038816</v>
      </c>
      <c r="F297" s="389">
        <f t="shared" si="2"/>
        <v>9030.921559718272</v>
      </c>
      <c r="G297" s="389">
        <f t="shared" si="3"/>
        <v>232659.830743194</v>
      </c>
      <c r="H297" s="389">
        <f t="shared" si="4"/>
        <v>1592992.7051815775</v>
      </c>
      <c r="I297" s="363"/>
      <c r="J297" s="363"/>
      <c r="K297" s="363"/>
      <c r="L297" s="363"/>
      <c r="M297" s="363"/>
      <c r="N297" s="363"/>
      <c r="O297" s="363"/>
      <c r="P297" s="363"/>
      <c r="Q297" s="363"/>
      <c r="R297" s="363"/>
      <c r="S297" s="363"/>
      <c r="T297" s="363"/>
      <c r="U297" s="363"/>
      <c r="V297" s="363"/>
      <c r="W297" s="363"/>
      <c r="X297" s="363"/>
      <c r="Y297" s="363"/>
      <c r="Z297" s="363"/>
    </row>
    <row r="298" spans="1:26" ht="13.5" customHeight="1" x14ac:dyDescent="0.2">
      <c r="A298" s="386">
        <f t="shared" si="0"/>
        <v>24</v>
      </c>
      <c r="B298" s="387">
        <f t="shared" si="5"/>
        <v>277</v>
      </c>
      <c r="C298" s="388">
        <f t="shared" si="6"/>
        <v>54544</v>
      </c>
      <c r="D298" s="389">
        <f t="shared" si="7"/>
        <v>232659.830743194</v>
      </c>
      <c r="E298" s="389">
        <f t="shared" si="1"/>
        <v>1308.7115479304664</v>
      </c>
      <c r="F298" s="389">
        <f t="shared" si="2"/>
        <v>9081.7204934916863</v>
      </c>
      <c r="G298" s="389">
        <f t="shared" si="3"/>
        <v>223578.11024970232</v>
      </c>
      <c r="H298" s="389">
        <f t="shared" si="4"/>
        <v>1594301.416729508</v>
      </c>
      <c r="I298" s="363"/>
      <c r="J298" s="363"/>
      <c r="K298" s="363"/>
      <c r="L298" s="363"/>
      <c r="M298" s="363"/>
      <c r="N298" s="363"/>
      <c r="O298" s="363"/>
      <c r="P298" s="363"/>
      <c r="Q298" s="363"/>
      <c r="R298" s="363"/>
      <c r="S298" s="363"/>
      <c r="T298" s="363"/>
      <c r="U298" s="363"/>
      <c r="V298" s="363"/>
      <c r="W298" s="363"/>
      <c r="X298" s="363"/>
      <c r="Y298" s="363"/>
      <c r="Z298" s="363"/>
    </row>
    <row r="299" spans="1:26" ht="13.5" customHeight="1" x14ac:dyDescent="0.2">
      <c r="A299" s="386">
        <f t="shared" si="0"/>
        <v>24</v>
      </c>
      <c r="B299" s="387">
        <f t="shared" si="5"/>
        <v>278</v>
      </c>
      <c r="C299" s="388">
        <f t="shared" si="6"/>
        <v>54575</v>
      </c>
      <c r="D299" s="389">
        <f t="shared" si="7"/>
        <v>223578.11024970232</v>
      </c>
      <c r="E299" s="389">
        <f t="shared" si="1"/>
        <v>1257.6268701545757</v>
      </c>
      <c r="F299" s="389">
        <f t="shared" si="2"/>
        <v>9132.805171267577</v>
      </c>
      <c r="G299" s="389">
        <f t="shared" si="3"/>
        <v>214445.30507843476</v>
      </c>
      <c r="H299" s="389">
        <f t="shared" si="4"/>
        <v>1595559.0435996626</v>
      </c>
      <c r="I299" s="363"/>
      <c r="J299" s="363"/>
      <c r="K299" s="363"/>
      <c r="L299" s="363"/>
      <c r="M299" s="363"/>
      <c r="N299" s="363"/>
      <c r="O299" s="363"/>
      <c r="P299" s="363"/>
      <c r="Q299" s="363"/>
      <c r="R299" s="363"/>
      <c r="S299" s="363"/>
      <c r="T299" s="363"/>
      <c r="U299" s="363"/>
      <c r="V299" s="363"/>
      <c r="W299" s="363"/>
      <c r="X299" s="363"/>
      <c r="Y299" s="363"/>
      <c r="Z299" s="363"/>
    </row>
    <row r="300" spans="1:26" ht="13.5" customHeight="1" x14ac:dyDescent="0.2">
      <c r="A300" s="386">
        <f t="shared" si="0"/>
        <v>24</v>
      </c>
      <c r="B300" s="387">
        <f t="shared" si="5"/>
        <v>279</v>
      </c>
      <c r="C300" s="388">
        <f t="shared" si="6"/>
        <v>54605</v>
      </c>
      <c r="D300" s="389">
        <f t="shared" si="7"/>
        <v>214445.30507843476</v>
      </c>
      <c r="E300" s="389">
        <f t="shared" si="1"/>
        <v>1206.2548410661955</v>
      </c>
      <c r="F300" s="389">
        <f t="shared" si="2"/>
        <v>9184.1772003559581</v>
      </c>
      <c r="G300" s="389">
        <f t="shared" si="3"/>
        <v>205261.12787807881</v>
      </c>
      <c r="H300" s="389">
        <f t="shared" si="4"/>
        <v>1596765.2984407288</v>
      </c>
      <c r="I300" s="363"/>
      <c r="J300" s="363"/>
      <c r="K300" s="363"/>
      <c r="L300" s="363"/>
      <c r="M300" s="363"/>
      <c r="N300" s="363"/>
      <c r="O300" s="363"/>
      <c r="P300" s="363"/>
      <c r="Q300" s="363"/>
      <c r="R300" s="363"/>
      <c r="S300" s="363"/>
      <c r="T300" s="363"/>
      <c r="U300" s="363"/>
      <c r="V300" s="363"/>
      <c r="W300" s="363"/>
      <c r="X300" s="363"/>
      <c r="Y300" s="363"/>
      <c r="Z300" s="363"/>
    </row>
    <row r="301" spans="1:26" ht="13.5" customHeight="1" x14ac:dyDescent="0.2">
      <c r="A301" s="386">
        <f t="shared" si="0"/>
        <v>24</v>
      </c>
      <c r="B301" s="387">
        <f t="shared" si="5"/>
        <v>280</v>
      </c>
      <c r="C301" s="388">
        <f t="shared" si="6"/>
        <v>54636</v>
      </c>
      <c r="D301" s="389">
        <f t="shared" si="7"/>
        <v>205261.12787807881</v>
      </c>
      <c r="E301" s="389">
        <f t="shared" si="1"/>
        <v>1154.5938443141933</v>
      </c>
      <c r="F301" s="389">
        <f t="shared" si="2"/>
        <v>9235.8381971079598</v>
      </c>
      <c r="G301" s="389">
        <f t="shared" si="3"/>
        <v>196025.28968097086</v>
      </c>
      <c r="H301" s="389">
        <f t="shared" si="4"/>
        <v>1597919.8922850429</v>
      </c>
      <c r="I301" s="363"/>
      <c r="J301" s="363"/>
      <c r="K301" s="363"/>
      <c r="L301" s="363"/>
      <c r="M301" s="363"/>
      <c r="N301" s="363"/>
      <c r="O301" s="363"/>
      <c r="P301" s="363"/>
      <c r="Q301" s="363"/>
      <c r="R301" s="363"/>
      <c r="S301" s="363"/>
      <c r="T301" s="363"/>
      <c r="U301" s="363"/>
      <c r="V301" s="363"/>
      <c r="W301" s="363"/>
      <c r="X301" s="363"/>
      <c r="Y301" s="363"/>
      <c r="Z301" s="363"/>
    </row>
    <row r="302" spans="1:26" ht="13.5" customHeight="1" x14ac:dyDescent="0.2">
      <c r="A302" s="386">
        <f t="shared" si="0"/>
        <v>24</v>
      </c>
      <c r="B302" s="387">
        <f t="shared" si="5"/>
        <v>281</v>
      </c>
      <c r="C302" s="388">
        <f t="shared" si="6"/>
        <v>54667</v>
      </c>
      <c r="D302" s="389">
        <f t="shared" si="7"/>
        <v>196025.28968097086</v>
      </c>
      <c r="E302" s="389">
        <f t="shared" si="1"/>
        <v>1102.6422544554612</v>
      </c>
      <c r="F302" s="389">
        <f t="shared" si="2"/>
        <v>9287.7897869666922</v>
      </c>
      <c r="G302" s="389">
        <f t="shared" si="3"/>
        <v>186737.49989400417</v>
      </c>
      <c r="H302" s="389">
        <f t="shared" si="4"/>
        <v>1599022.5345394984</v>
      </c>
      <c r="I302" s="363"/>
      <c r="J302" s="363"/>
      <c r="K302" s="363"/>
      <c r="L302" s="363"/>
      <c r="M302" s="363"/>
      <c r="N302" s="363"/>
      <c r="O302" s="363"/>
      <c r="P302" s="363"/>
      <c r="Q302" s="363"/>
      <c r="R302" s="363"/>
      <c r="S302" s="363"/>
      <c r="T302" s="363"/>
      <c r="U302" s="363"/>
      <c r="V302" s="363"/>
      <c r="W302" s="363"/>
      <c r="X302" s="363"/>
      <c r="Y302" s="363"/>
      <c r="Z302" s="363"/>
    </row>
    <row r="303" spans="1:26" ht="13.5" customHeight="1" x14ac:dyDescent="0.2">
      <c r="A303" s="386">
        <f t="shared" si="0"/>
        <v>24</v>
      </c>
      <c r="B303" s="387">
        <f t="shared" si="5"/>
        <v>282</v>
      </c>
      <c r="C303" s="388">
        <f t="shared" si="6"/>
        <v>54697</v>
      </c>
      <c r="D303" s="389">
        <f t="shared" si="7"/>
        <v>186737.49989400417</v>
      </c>
      <c r="E303" s="389">
        <f t="shared" si="1"/>
        <v>1050.3984369037735</v>
      </c>
      <c r="F303" s="389">
        <f t="shared" si="2"/>
        <v>9340.0336045183794</v>
      </c>
      <c r="G303" s="389">
        <f t="shared" si="3"/>
        <v>177397.4662894858</v>
      </c>
      <c r="H303" s="389">
        <f t="shared" si="4"/>
        <v>1600072.9329764021</v>
      </c>
      <c r="I303" s="363"/>
      <c r="J303" s="363"/>
      <c r="K303" s="363"/>
      <c r="L303" s="363"/>
      <c r="M303" s="363"/>
      <c r="N303" s="363"/>
      <c r="O303" s="363"/>
      <c r="P303" s="363"/>
      <c r="Q303" s="363"/>
      <c r="R303" s="363"/>
      <c r="S303" s="363"/>
      <c r="T303" s="363"/>
      <c r="U303" s="363"/>
      <c r="V303" s="363"/>
      <c r="W303" s="363"/>
      <c r="X303" s="363"/>
      <c r="Y303" s="363"/>
      <c r="Z303" s="363"/>
    </row>
    <row r="304" spans="1:26" ht="13.5" customHeight="1" x14ac:dyDescent="0.2">
      <c r="A304" s="386">
        <f t="shared" si="0"/>
        <v>24</v>
      </c>
      <c r="B304" s="387">
        <f t="shared" si="5"/>
        <v>283</v>
      </c>
      <c r="C304" s="388">
        <f t="shared" si="6"/>
        <v>54728</v>
      </c>
      <c r="D304" s="389">
        <f t="shared" si="7"/>
        <v>177397.4662894858</v>
      </c>
      <c r="E304" s="389">
        <f t="shared" si="1"/>
        <v>997.86074787835776</v>
      </c>
      <c r="F304" s="389">
        <f t="shared" si="2"/>
        <v>9392.571293543795</v>
      </c>
      <c r="G304" s="389">
        <f t="shared" si="3"/>
        <v>168004.89499594201</v>
      </c>
      <c r="H304" s="389">
        <f t="shared" si="4"/>
        <v>1601070.7937242805</v>
      </c>
      <c r="I304" s="363"/>
      <c r="J304" s="363"/>
      <c r="K304" s="363"/>
      <c r="L304" s="363"/>
      <c r="M304" s="363"/>
      <c r="N304" s="363"/>
      <c r="O304" s="363"/>
      <c r="P304" s="363"/>
      <c r="Q304" s="363"/>
      <c r="R304" s="363"/>
      <c r="S304" s="363"/>
      <c r="T304" s="363"/>
      <c r="U304" s="363"/>
      <c r="V304" s="363"/>
      <c r="W304" s="363"/>
      <c r="X304" s="363"/>
      <c r="Y304" s="363"/>
      <c r="Z304" s="363"/>
    </row>
    <row r="305" spans="1:26" ht="13.5" customHeight="1" x14ac:dyDescent="0.2">
      <c r="A305" s="386">
        <f t="shared" si="0"/>
        <v>24</v>
      </c>
      <c r="B305" s="387">
        <f t="shared" si="5"/>
        <v>284</v>
      </c>
      <c r="C305" s="388">
        <f t="shared" si="6"/>
        <v>54758</v>
      </c>
      <c r="D305" s="389">
        <f t="shared" si="7"/>
        <v>168004.89499594201</v>
      </c>
      <c r="E305" s="389">
        <f t="shared" si="1"/>
        <v>945.02753435217392</v>
      </c>
      <c r="F305" s="389">
        <f t="shared" si="2"/>
        <v>9445.4045070699794</v>
      </c>
      <c r="G305" s="389">
        <f t="shared" si="3"/>
        <v>158559.49048887205</v>
      </c>
      <c r="H305" s="389">
        <f t="shared" si="4"/>
        <v>1602015.8212586327</v>
      </c>
      <c r="I305" s="363"/>
      <c r="J305" s="363"/>
      <c r="K305" s="363"/>
      <c r="L305" s="363"/>
      <c r="M305" s="363"/>
      <c r="N305" s="363"/>
      <c r="O305" s="363"/>
      <c r="P305" s="363"/>
      <c r="Q305" s="363"/>
      <c r="R305" s="363"/>
      <c r="S305" s="363"/>
      <c r="T305" s="363"/>
      <c r="U305" s="363"/>
      <c r="V305" s="363"/>
      <c r="W305" s="363"/>
      <c r="X305" s="363"/>
      <c r="Y305" s="363"/>
      <c r="Z305" s="363"/>
    </row>
    <row r="306" spans="1:26" ht="13.5" customHeight="1" x14ac:dyDescent="0.2">
      <c r="A306" s="386">
        <f t="shared" si="0"/>
        <v>24</v>
      </c>
      <c r="B306" s="387">
        <f t="shared" si="5"/>
        <v>285</v>
      </c>
      <c r="C306" s="388">
        <f t="shared" si="6"/>
        <v>54789</v>
      </c>
      <c r="D306" s="389">
        <f t="shared" si="7"/>
        <v>158559.49048887205</v>
      </c>
      <c r="E306" s="389">
        <f t="shared" si="1"/>
        <v>891.89713399990535</v>
      </c>
      <c r="F306" s="389">
        <f t="shared" si="2"/>
        <v>9498.5349074222468</v>
      </c>
      <c r="G306" s="389">
        <f t="shared" si="3"/>
        <v>149060.95558144979</v>
      </c>
      <c r="H306" s="389">
        <f t="shared" si="4"/>
        <v>1602907.7183926327</v>
      </c>
      <c r="I306" s="363"/>
      <c r="J306" s="363"/>
      <c r="K306" s="363"/>
      <c r="L306" s="363"/>
      <c r="M306" s="363"/>
      <c r="N306" s="363"/>
      <c r="O306" s="363"/>
      <c r="P306" s="363"/>
      <c r="Q306" s="363"/>
      <c r="R306" s="363"/>
      <c r="S306" s="363"/>
      <c r="T306" s="363"/>
      <c r="U306" s="363"/>
      <c r="V306" s="363"/>
      <c r="W306" s="363"/>
      <c r="X306" s="363"/>
      <c r="Y306" s="363"/>
      <c r="Z306" s="363"/>
    </row>
    <row r="307" spans="1:26" ht="13.5" customHeight="1" x14ac:dyDescent="0.2">
      <c r="A307" s="386">
        <f t="shared" si="0"/>
        <v>24</v>
      </c>
      <c r="B307" s="387">
        <f t="shared" si="5"/>
        <v>286</v>
      </c>
      <c r="C307" s="388">
        <f t="shared" si="6"/>
        <v>54820</v>
      </c>
      <c r="D307" s="389">
        <f t="shared" si="7"/>
        <v>149060.95558144979</v>
      </c>
      <c r="E307" s="389">
        <f t="shared" si="1"/>
        <v>838.46787514565506</v>
      </c>
      <c r="F307" s="389">
        <f t="shared" si="2"/>
        <v>9551.9641662764971</v>
      </c>
      <c r="G307" s="389">
        <f t="shared" si="3"/>
        <v>139508.99141517328</v>
      </c>
      <c r="H307" s="389">
        <f t="shared" si="4"/>
        <v>1603746.1862677783</v>
      </c>
      <c r="I307" s="363"/>
      <c r="J307" s="363"/>
      <c r="K307" s="363"/>
      <c r="L307" s="363"/>
      <c r="M307" s="363"/>
      <c r="N307" s="363"/>
      <c r="O307" s="363"/>
      <c r="P307" s="363"/>
      <c r="Q307" s="363"/>
      <c r="R307" s="363"/>
      <c r="S307" s="363"/>
      <c r="T307" s="363"/>
      <c r="U307" s="363"/>
      <c r="V307" s="363"/>
      <c r="W307" s="363"/>
      <c r="X307" s="363"/>
      <c r="Y307" s="363"/>
      <c r="Z307" s="363"/>
    </row>
    <row r="308" spans="1:26" ht="13.5" customHeight="1" x14ac:dyDescent="0.2">
      <c r="A308" s="386">
        <f t="shared" si="0"/>
        <v>24</v>
      </c>
      <c r="B308" s="387">
        <f t="shared" si="5"/>
        <v>287</v>
      </c>
      <c r="C308" s="388">
        <f t="shared" si="6"/>
        <v>54848</v>
      </c>
      <c r="D308" s="389">
        <f t="shared" si="7"/>
        <v>139508.99141517328</v>
      </c>
      <c r="E308" s="389">
        <f t="shared" si="1"/>
        <v>784.73807671034967</v>
      </c>
      <c r="F308" s="389">
        <f t="shared" si="2"/>
        <v>9605.6939647118033</v>
      </c>
      <c r="G308" s="389">
        <f t="shared" si="3"/>
        <v>129903.29745046148</v>
      </c>
      <c r="H308" s="389">
        <f t="shared" si="4"/>
        <v>1604530.9243444887</v>
      </c>
      <c r="I308" s="363"/>
      <c r="J308" s="363"/>
      <c r="K308" s="363"/>
      <c r="L308" s="363"/>
      <c r="M308" s="363"/>
      <c r="N308" s="363"/>
      <c r="O308" s="363"/>
      <c r="P308" s="363"/>
      <c r="Q308" s="363"/>
      <c r="R308" s="363"/>
      <c r="S308" s="363"/>
      <c r="T308" s="363"/>
      <c r="U308" s="363"/>
      <c r="V308" s="363"/>
      <c r="W308" s="363"/>
      <c r="X308" s="363"/>
      <c r="Y308" s="363"/>
      <c r="Z308" s="363"/>
    </row>
    <row r="309" spans="1:26" ht="13.5" customHeight="1" x14ac:dyDescent="0.2">
      <c r="A309" s="386">
        <f t="shared" si="0"/>
        <v>24</v>
      </c>
      <c r="B309" s="387">
        <f t="shared" si="5"/>
        <v>288</v>
      </c>
      <c r="C309" s="388">
        <f t="shared" si="6"/>
        <v>54879</v>
      </c>
      <c r="D309" s="389">
        <f t="shared" si="7"/>
        <v>129903.29745046148</v>
      </c>
      <c r="E309" s="389">
        <f t="shared" si="1"/>
        <v>730.70604815884587</v>
      </c>
      <c r="F309" s="389">
        <f t="shared" si="2"/>
        <v>9659.7259932633078</v>
      </c>
      <c r="G309" s="389">
        <f t="shared" si="3"/>
        <v>120243.57145719818</v>
      </c>
      <c r="H309" s="389">
        <f t="shared" si="4"/>
        <v>1605261.6303926476</v>
      </c>
      <c r="I309" s="363"/>
      <c r="J309" s="363"/>
      <c r="K309" s="363"/>
      <c r="L309" s="363"/>
      <c r="M309" s="363"/>
      <c r="N309" s="363"/>
      <c r="O309" s="363"/>
      <c r="P309" s="363"/>
      <c r="Q309" s="363"/>
      <c r="R309" s="363"/>
      <c r="S309" s="363"/>
      <c r="T309" s="363"/>
      <c r="U309" s="363"/>
      <c r="V309" s="363"/>
      <c r="W309" s="363"/>
      <c r="X309" s="363"/>
      <c r="Y309" s="363"/>
      <c r="Z309" s="363"/>
    </row>
    <row r="310" spans="1:26" ht="13.5" customHeight="1" x14ac:dyDescent="0.2">
      <c r="A310" s="386">
        <f t="shared" si="0"/>
        <v>25</v>
      </c>
      <c r="B310" s="387">
        <f t="shared" si="5"/>
        <v>289</v>
      </c>
      <c r="C310" s="388">
        <f t="shared" si="6"/>
        <v>54909</v>
      </c>
      <c r="D310" s="389">
        <f t="shared" si="7"/>
        <v>120243.57145719818</v>
      </c>
      <c r="E310" s="389">
        <f t="shared" si="1"/>
        <v>676.37008944673983</v>
      </c>
      <c r="F310" s="389">
        <f t="shared" si="2"/>
        <v>9714.0619519754127</v>
      </c>
      <c r="G310" s="389">
        <f t="shared" si="3"/>
        <v>110529.50950522277</v>
      </c>
      <c r="H310" s="389">
        <f t="shared" si="4"/>
        <v>1605938.0004820942</v>
      </c>
      <c r="I310" s="363"/>
      <c r="J310" s="363"/>
      <c r="K310" s="363"/>
      <c r="L310" s="363"/>
      <c r="M310" s="363"/>
      <c r="N310" s="363"/>
      <c r="O310" s="363"/>
      <c r="P310" s="363"/>
      <c r="Q310" s="363"/>
      <c r="R310" s="363"/>
      <c r="S310" s="363"/>
      <c r="T310" s="363"/>
      <c r="U310" s="363"/>
      <c r="V310" s="363"/>
      <c r="W310" s="363"/>
      <c r="X310" s="363"/>
      <c r="Y310" s="363"/>
      <c r="Z310" s="363"/>
    </row>
    <row r="311" spans="1:26" ht="13.5" customHeight="1" x14ac:dyDescent="0.2">
      <c r="A311" s="386">
        <f t="shared" si="0"/>
        <v>25</v>
      </c>
      <c r="B311" s="387">
        <f t="shared" si="5"/>
        <v>290</v>
      </c>
      <c r="C311" s="388">
        <f t="shared" si="6"/>
        <v>54940</v>
      </c>
      <c r="D311" s="389">
        <f t="shared" si="7"/>
        <v>110529.50950522277</v>
      </c>
      <c r="E311" s="389">
        <f t="shared" si="1"/>
        <v>621.7284909668781</v>
      </c>
      <c r="F311" s="389">
        <f t="shared" si="2"/>
        <v>9768.703550455275</v>
      </c>
      <c r="G311" s="389">
        <f t="shared" si="3"/>
        <v>100760.80595476749</v>
      </c>
      <c r="H311" s="389">
        <f t="shared" si="4"/>
        <v>1606559.7289730611</v>
      </c>
      <c r="I311" s="363"/>
      <c r="J311" s="363"/>
      <c r="K311" s="363"/>
      <c r="L311" s="363"/>
      <c r="M311" s="363"/>
      <c r="N311" s="363"/>
      <c r="O311" s="363"/>
      <c r="P311" s="363"/>
      <c r="Q311" s="363"/>
      <c r="R311" s="363"/>
      <c r="S311" s="363"/>
      <c r="T311" s="363"/>
      <c r="U311" s="363"/>
      <c r="V311" s="363"/>
      <c r="W311" s="363"/>
      <c r="X311" s="363"/>
      <c r="Y311" s="363"/>
      <c r="Z311" s="363"/>
    </row>
    <row r="312" spans="1:26" ht="13.5" customHeight="1" x14ac:dyDescent="0.2">
      <c r="A312" s="386">
        <f t="shared" si="0"/>
        <v>25</v>
      </c>
      <c r="B312" s="387">
        <f t="shared" si="5"/>
        <v>291</v>
      </c>
      <c r="C312" s="388">
        <f t="shared" si="6"/>
        <v>54970</v>
      </c>
      <c r="D312" s="389">
        <f t="shared" si="7"/>
        <v>100760.80595476749</v>
      </c>
      <c r="E312" s="389">
        <f t="shared" si="1"/>
        <v>566.77953349556719</v>
      </c>
      <c r="F312" s="389">
        <f t="shared" si="2"/>
        <v>9823.6525079265848</v>
      </c>
      <c r="G312" s="389">
        <f t="shared" si="3"/>
        <v>90937.153446840908</v>
      </c>
      <c r="H312" s="389">
        <f t="shared" si="4"/>
        <v>1607126.5085065567</v>
      </c>
      <c r="I312" s="363"/>
      <c r="J312" s="363"/>
      <c r="K312" s="363"/>
      <c r="L312" s="363"/>
      <c r="M312" s="363"/>
      <c r="N312" s="363"/>
      <c r="O312" s="363"/>
      <c r="P312" s="363"/>
      <c r="Q312" s="363"/>
      <c r="R312" s="363"/>
      <c r="S312" s="363"/>
      <c r="T312" s="363"/>
      <c r="U312" s="363"/>
      <c r="V312" s="363"/>
      <c r="W312" s="363"/>
      <c r="X312" s="363"/>
      <c r="Y312" s="363"/>
      <c r="Z312" s="363"/>
    </row>
    <row r="313" spans="1:26" ht="13.5" customHeight="1" x14ac:dyDescent="0.2">
      <c r="A313" s="386">
        <f t="shared" si="0"/>
        <v>25</v>
      </c>
      <c r="B313" s="387">
        <f t="shared" si="5"/>
        <v>292</v>
      </c>
      <c r="C313" s="388">
        <f t="shared" si="6"/>
        <v>55001</v>
      </c>
      <c r="D313" s="389">
        <f t="shared" si="7"/>
        <v>90937.153446840908</v>
      </c>
      <c r="E313" s="389">
        <f t="shared" si="1"/>
        <v>511.52148813848015</v>
      </c>
      <c r="F313" s="389">
        <f t="shared" si="2"/>
        <v>9878.9105532836729</v>
      </c>
      <c r="G313" s="389">
        <f t="shared" si="3"/>
        <v>81058.242893557239</v>
      </c>
      <c r="H313" s="389">
        <f t="shared" si="4"/>
        <v>1607638.0299946952</v>
      </c>
      <c r="I313" s="363"/>
      <c r="J313" s="363"/>
      <c r="K313" s="363"/>
      <c r="L313" s="363"/>
      <c r="M313" s="363"/>
      <c r="N313" s="363"/>
      <c r="O313" s="363"/>
      <c r="P313" s="363"/>
      <c r="Q313" s="363"/>
      <c r="R313" s="363"/>
      <c r="S313" s="363"/>
      <c r="T313" s="363"/>
      <c r="U313" s="363"/>
      <c r="V313" s="363"/>
      <c r="W313" s="363"/>
      <c r="X313" s="363"/>
      <c r="Y313" s="363"/>
      <c r="Z313" s="363"/>
    </row>
    <row r="314" spans="1:26" ht="13.5" customHeight="1" x14ac:dyDescent="0.2">
      <c r="A314" s="386">
        <f t="shared" si="0"/>
        <v>25</v>
      </c>
      <c r="B314" s="387">
        <f t="shared" si="5"/>
        <v>293</v>
      </c>
      <c r="C314" s="388">
        <f t="shared" si="6"/>
        <v>55032</v>
      </c>
      <c r="D314" s="389">
        <f t="shared" si="7"/>
        <v>81058.242893557239</v>
      </c>
      <c r="E314" s="389">
        <f t="shared" si="1"/>
        <v>455.9526162762595</v>
      </c>
      <c r="F314" s="389">
        <f t="shared" si="2"/>
        <v>9934.4794251458934</v>
      </c>
      <c r="G314" s="389">
        <f t="shared" si="3"/>
        <v>71123.763468411344</v>
      </c>
      <c r="H314" s="389">
        <f t="shared" si="4"/>
        <v>1608093.9826109714</v>
      </c>
      <c r="I314" s="363"/>
      <c r="J314" s="363"/>
      <c r="K314" s="363"/>
      <c r="L314" s="363"/>
      <c r="M314" s="363"/>
      <c r="N314" s="363"/>
      <c r="O314" s="363"/>
      <c r="P314" s="363"/>
      <c r="Q314" s="363"/>
      <c r="R314" s="363"/>
      <c r="S314" s="363"/>
      <c r="T314" s="363"/>
      <c r="U314" s="363"/>
      <c r="V314" s="363"/>
      <c r="W314" s="363"/>
      <c r="X314" s="363"/>
      <c r="Y314" s="363"/>
      <c r="Z314" s="363"/>
    </row>
    <row r="315" spans="1:26" ht="13.5" customHeight="1" x14ac:dyDescent="0.2">
      <c r="A315" s="386">
        <f t="shared" si="0"/>
        <v>25</v>
      </c>
      <c r="B315" s="387">
        <f t="shared" si="5"/>
        <v>294</v>
      </c>
      <c r="C315" s="388">
        <f t="shared" si="6"/>
        <v>55062</v>
      </c>
      <c r="D315" s="389">
        <f t="shared" si="7"/>
        <v>71123.763468411344</v>
      </c>
      <c r="E315" s="389">
        <f t="shared" si="1"/>
        <v>400.07116950981384</v>
      </c>
      <c r="F315" s="389">
        <f t="shared" si="2"/>
        <v>9990.3608719123386</v>
      </c>
      <c r="G315" s="389">
        <f t="shared" si="3"/>
        <v>61133.402596499007</v>
      </c>
      <c r="H315" s="389">
        <f t="shared" si="4"/>
        <v>1608494.0537804812</v>
      </c>
      <c r="I315" s="363"/>
      <c r="J315" s="363"/>
      <c r="K315" s="363"/>
      <c r="L315" s="363"/>
      <c r="M315" s="363"/>
      <c r="N315" s="363"/>
      <c r="O315" s="363"/>
      <c r="P315" s="363"/>
      <c r="Q315" s="363"/>
      <c r="R315" s="363"/>
      <c r="S315" s="363"/>
      <c r="T315" s="363"/>
      <c r="U315" s="363"/>
      <c r="V315" s="363"/>
      <c r="W315" s="363"/>
      <c r="X315" s="363"/>
      <c r="Y315" s="363"/>
      <c r="Z315" s="363"/>
    </row>
    <row r="316" spans="1:26" ht="13.5" customHeight="1" x14ac:dyDescent="0.2">
      <c r="A316" s="386">
        <f t="shared" si="0"/>
        <v>25</v>
      </c>
      <c r="B316" s="387">
        <f t="shared" si="5"/>
        <v>295</v>
      </c>
      <c r="C316" s="388">
        <f t="shared" si="6"/>
        <v>55093</v>
      </c>
      <c r="D316" s="389">
        <f t="shared" si="7"/>
        <v>61133.402596499007</v>
      </c>
      <c r="E316" s="389">
        <f t="shared" si="1"/>
        <v>343.87538960530696</v>
      </c>
      <c r="F316" s="389">
        <f t="shared" si="2"/>
        <v>10046.556651816845</v>
      </c>
      <c r="G316" s="389">
        <f t="shared" si="3"/>
        <v>51086.845944682165</v>
      </c>
      <c r="H316" s="389">
        <f t="shared" si="4"/>
        <v>1608837.9291700865</v>
      </c>
      <c r="I316" s="363"/>
      <c r="J316" s="363"/>
      <c r="K316" s="363"/>
      <c r="L316" s="363"/>
      <c r="M316" s="363"/>
      <c r="N316" s="363"/>
      <c r="O316" s="363"/>
      <c r="P316" s="363"/>
      <c r="Q316" s="363"/>
      <c r="R316" s="363"/>
      <c r="S316" s="363"/>
      <c r="T316" s="363"/>
      <c r="U316" s="363"/>
      <c r="V316" s="363"/>
      <c r="W316" s="363"/>
      <c r="X316" s="363"/>
      <c r="Y316" s="363"/>
      <c r="Z316" s="363"/>
    </row>
    <row r="317" spans="1:26" ht="13.5" customHeight="1" x14ac:dyDescent="0.2">
      <c r="A317" s="386">
        <f t="shared" si="0"/>
        <v>25</v>
      </c>
      <c r="B317" s="387">
        <f t="shared" si="5"/>
        <v>296</v>
      </c>
      <c r="C317" s="388">
        <f t="shared" si="6"/>
        <v>55123</v>
      </c>
      <c r="D317" s="389">
        <f t="shared" si="7"/>
        <v>51086.845944682165</v>
      </c>
      <c r="E317" s="389">
        <f t="shared" si="1"/>
        <v>287.36350843883719</v>
      </c>
      <c r="F317" s="389">
        <f t="shared" si="2"/>
        <v>10103.068532983316</v>
      </c>
      <c r="G317" s="389">
        <f t="shared" si="3"/>
        <v>40983.777411698851</v>
      </c>
      <c r="H317" s="389">
        <f t="shared" si="4"/>
        <v>1609125.2926785254</v>
      </c>
      <c r="I317" s="363"/>
      <c r="J317" s="363"/>
      <c r="K317" s="363"/>
      <c r="L317" s="363"/>
      <c r="M317" s="363"/>
      <c r="N317" s="363"/>
      <c r="O317" s="363"/>
      <c r="P317" s="363"/>
      <c r="Q317" s="363"/>
      <c r="R317" s="363"/>
      <c r="S317" s="363"/>
      <c r="T317" s="363"/>
      <c r="U317" s="363"/>
      <c r="V317" s="363"/>
      <c r="W317" s="363"/>
      <c r="X317" s="363"/>
      <c r="Y317" s="363"/>
      <c r="Z317" s="363"/>
    </row>
    <row r="318" spans="1:26" ht="13.5" customHeight="1" x14ac:dyDescent="0.2">
      <c r="A318" s="386">
        <f t="shared" si="0"/>
        <v>25</v>
      </c>
      <c r="B318" s="387">
        <f t="shared" si="5"/>
        <v>297</v>
      </c>
      <c r="C318" s="388">
        <f t="shared" si="6"/>
        <v>55154</v>
      </c>
      <c r="D318" s="389">
        <f t="shared" si="7"/>
        <v>40983.777411698851</v>
      </c>
      <c r="E318" s="389">
        <f t="shared" si="1"/>
        <v>230.53374794080605</v>
      </c>
      <c r="F318" s="389">
        <f t="shared" si="2"/>
        <v>10159.898293481347</v>
      </c>
      <c r="G318" s="389">
        <f t="shared" si="3"/>
        <v>30823.879118217505</v>
      </c>
      <c r="H318" s="389">
        <f t="shared" si="4"/>
        <v>1609355.8264264662</v>
      </c>
      <c r="I318" s="363"/>
      <c r="J318" s="363"/>
      <c r="K318" s="363"/>
      <c r="L318" s="363"/>
      <c r="M318" s="363"/>
      <c r="N318" s="363"/>
      <c r="O318" s="363"/>
      <c r="P318" s="363"/>
      <c r="Q318" s="363"/>
      <c r="R318" s="363"/>
      <c r="S318" s="363"/>
      <c r="T318" s="363"/>
      <c r="U318" s="363"/>
      <c r="V318" s="363"/>
      <c r="W318" s="363"/>
      <c r="X318" s="363"/>
      <c r="Y318" s="363"/>
      <c r="Z318" s="363"/>
    </row>
    <row r="319" spans="1:26" ht="13.5" customHeight="1" x14ac:dyDescent="0.2">
      <c r="A319" s="386">
        <f t="shared" si="0"/>
        <v>25</v>
      </c>
      <c r="B319" s="387">
        <f t="shared" si="5"/>
        <v>298</v>
      </c>
      <c r="C319" s="388">
        <f t="shared" si="6"/>
        <v>55185</v>
      </c>
      <c r="D319" s="389">
        <f t="shared" si="7"/>
        <v>30823.879118217505</v>
      </c>
      <c r="E319" s="389">
        <f t="shared" si="1"/>
        <v>173.38432003997346</v>
      </c>
      <c r="F319" s="389">
        <f t="shared" si="2"/>
        <v>10217.04772138218</v>
      </c>
      <c r="G319" s="389">
        <f t="shared" si="3"/>
        <v>20606.831396835325</v>
      </c>
      <c r="H319" s="389">
        <f t="shared" si="4"/>
        <v>1609529.2107465062</v>
      </c>
      <c r="I319" s="363"/>
      <c r="J319" s="363"/>
      <c r="K319" s="363"/>
      <c r="L319" s="363"/>
      <c r="M319" s="363"/>
      <c r="N319" s="363"/>
      <c r="O319" s="363"/>
      <c r="P319" s="363"/>
      <c r="Q319" s="363"/>
      <c r="R319" s="363"/>
      <c r="S319" s="363"/>
      <c r="T319" s="363"/>
      <c r="U319" s="363"/>
      <c r="V319" s="363"/>
      <c r="W319" s="363"/>
      <c r="X319" s="363"/>
      <c r="Y319" s="363"/>
      <c r="Z319" s="363"/>
    </row>
    <row r="320" spans="1:26" ht="13.5" customHeight="1" x14ac:dyDescent="0.2">
      <c r="A320" s="386">
        <f t="shared" si="0"/>
        <v>25</v>
      </c>
      <c r="B320" s="387">
        <f t="shared" si="5"/>
        <v>299</v>
      </c>
      <c r="C320" s="388">
        <f t="shared" si="6"/>
        <v>55213</v>
      </c>
      <c r="D320" s="389">
        <f t="shared" si="7"/>
        <v>20606.831396835325</v>
      </c>
      <c r="E320" s="389">
        <f t="shared" si="1"/>
        <v>115.9134266071987</v>
      </c>
      <c r="F320" s="389">
        <f t="shared" si="2"/>
        <v>10274.518614814955</v>
      </c>
      <c r="G320" s="389">
        <f t="shared" si="3"/>
        <v>10332.31278202037</v>
      </c>
      <c r="H320" s="389">
        <f t="shared" si="4"/>
        <v>1609645.1241731134</v>
      </c>
      <c r="I320" s="363"/>
      <c r="J320" s="363"/>
      <c r="K320" s="363"/>
      <c r="L320" s="363"/>
      <c r="M320" s="363"/>
      <c r="N320" s="363"/>
      <c r="O320" s="363"/>
      <c r="P320" s="363"/>
      <c r="Q320" s="363"/>
      <c r="R320" s="363"/>
      <c r="S320" s="363"/>
      <c r="T320" s="363"/>
      <c r="U320" s="363"/>
      <c r="V320" s="363"/>
      <c r="W320" s="363"/>
      <c r="X320" s="363"/>
      <c r="Y320" s="363"/>
      <c r="Z320" s="363"/>
    </row>
    <row r="321" spans="1:26" ht="13.5" customHeight="1" x14ac:dyDescent="0.2">
      <c r="A321" s="386">
        <f t="shared" si="0"/>
        <v>25</v>
      </c>
      <c r="B321" s="387">
        <f t="shared" si="5"/>
        <v>300</v>
      </c>
      <c r="C321" s="388">
        <f t="shared" si="6"/>
        <v>55244</v>
      </c>
      <c r="D321" s="389">
        <f t="shared" si="7"/>
        <v>10332.31278202037</v>
      </c>
      <c r="E321" s="389">
        <f t="shared" si="1"/>
        <v>58.119259398864585</v>
      </c>
      <c r="F321" s="389">
        <f t="shared" si="2"/>
        <v>10332.312782023288</v>
      </c>
      <c r="G321" s="389">
        <f t="shared" si="3"/>
        <v>-2.9176590032875538E-9</v>
      </c>
      <c r="H321" s="389">
        <f t="shared" si="4"/>
        <v>1609703.2434325123</v>
      </c>
      <c r="I321" s="363"/>
      <c r="J321" s="363"/>
      <c r="K321" s="363"/>
      <c r="L321" s="363"/>
      <c r="M321" s="363"/>
      <c r="N321" s="363"/>
      <c r="O321" s="363"/>
      <c r="P321" s="363"/>
      <c r="Q321" s="363"/>
      <c r="R321" s="363"/>
      <c r="S321" s="363"/>
      <c r="T321" s="363"/>
      <c r="U321" s="363"/>
      <c r="V321" s="363"/>
      <c r="W321" s="363"/>
      <c r="X321" s="363"/>
      <c r="Y321" s="363"/>
      <c r="Z321" s="363"/>
    </row>
    <row r="322" spans="1:26" ht="13.5" customHeight="1" x14ac:dyDescent="0.2">
      <c r="A322" s="386">
        <f t="shared" si="0"/>
        <v>26</v>
      </c>
      <c r="B322" s="387">
        <f t="shared" si="5"/>
        <v>301</v>
      </c>
      <c r="C322" s="388">
        <f t="shared" si="6"/>
        <v>55274</v>
      </c>
      <c r="D322" s="389">
        <f t="shared" si="7"/>
        <v>-2.9176590032875538E-9</v>
      </c>
      <c r="E322" s="389">
        <f t="shared" si="1"/>
        <v>-1.6411831893492492E-11</v>
      </c>
      <c r="F322" s="389">
        <f t="shared" si="2"/>
        <v>10390.432041422169</v>
      </c>
      <c r="G322" s="389">
        <f t="shared" si="3"/>
        <v>-10390.432041425087</v>
      </c>
      <c r="H322" s="389">
        <f t="shared" si="4"/>
        <v>1609703.2434325123</v>
      </c>
      <c r="I322" s="363"/>
      <c r="J322" s="363"/>
      <c r="K322" s="363"/>
      <c r="L322" s="363"/>
      <c r="M322" s="363"/>
      <c r="N322" s="363"/>
      <c r="O322" s="363"/>
      <c r="P322" s="363"/>
      <c r="Q322" s="363"/>
      <c r="R322" s="363"/>
      <c r="S322" s="363"/>
      <c r="T322" s="363"/>
      <c r="U322" s="363"/>
      <c r="V322" s="363"/>
      <c r="W322" s="363"/>
      <c r="X322" s="363"/>
      <c r="Y322" s="363"/>
      <c r="Z322" s="363"/>
    </row>
    <row r="323" spans="1:26" ht="13.5" customHeight="1" x14ac:dyDescent="0.2">
      <c r="A323" s="386">
        <f t="shared" si="0"/>
        <v>26</v>
      </c>
      <c r="B323" s="387">
        <f t="shared" si="5"/>
        <v>302</v>
      </c>
      <c r="C323" s="388">
        <f t="shared" si="6"/>
        <v>55305</v>
      </c>
      <c r="D323" s="389">
        <f t="shared" si="7"/>
        <v>-10390.432041425087</v>
      </c>
      <c r="E323" s="389">
        <f t="shared" si="1"/>
        <v>-58.446180233016122</v>
      </c>
      <c r="F323" s="389">
        <f t="shared" si="2"/>
        <v>10448.87822165517</v>
      </c>
      <c r="G323" s="389">
        <f t="shared" si="3"/>
        <v>-20839.310263080257</v>
      </c>
      <c r="H323" s="389">
        <f t="shared" si="4"/>
        <v>1609644.7972522792</v>
      </c>
      <c r="I323" s="363"/>
      <c r="J323" s="363"/>
      <c r="K323" s="363"/>
      <c r="L323" s="363"/>
      <c r="M323" s="363"/>
      <c r="N323" s="363"/>
      <c r="O323" s="363"/>
      <c r="P323" s="363"/>
      <c r="Q323" s="363"/>
      <c r="R323" s="363"/>
      <c r="S323" s="363"/>
      <c r="T323" s="363"/>
      <c r="U323" s="363"/>
      <c r="V323" s="363"/>
      <c r="W323" s="363"/>
      <c r="X323" s="363"/>
      <c r="Y323" s="363"/>
      <c r="Z323" s="363"/>
    </row>
    <row r="324" spans="1:26" ht="13.5" customHeight="1" x14ac:dyDescent="0.2">
      <c r="A324" s="386">
        <f t="shared" si="0"/>
        <v>26</v>
      </c>
      <c r="B324" s="387">
        <f t="shared" si="5"/>
        <v>303</v>
      </c>
      <c r="C324" s="388">
        <f t="shared" si="6"/>
        <v>55335</v>
      </c>
      <c r="D324" s="389">
        <f t="shared" si="7"/>
        <v>-20839.310263080257</v>
      </c>
      <c r="E324" s="389">
        <f t="shared" si="1"/>
        <v>-117.22112022982645</v>
      </c>
      <c r="F324" s="389">
        <f t="shared" si="2"/>
        <v>10507.653161651979</v>
      </c>
      <c r="G324" s="389">
        <f t="shared" si="3"/>
        <v>-31346.963424732236</v>
      </c>
      <c r="H324" s="389">
        <f t="shared" si="4"/>
        <v>1609527.5761320493</v>
      </c>
      <c r="I324" s="363"/>
      <c r="J324" s="363"/>
      <c r="K324" s="363"/>
      <c r="L324" s="363"/>
      <c r="M324" s="363"/>
      <c r="N324" s="363"/>
      <c r="O324" s="363"/>
      <c r="P324" s="363"/>
      <c r="Q324" s="363"/>
      <c r="R324" s="363"/>
      <c r="S324" s="363"/>
      <c r="T324" s="363"/>
      <c r="U324" s="363"/>
      <c r="V324" s="363"/>
      <c r="W324" s="363"/>
      <c r="X324" s="363"/>
      <c r="Y324" s="363"/>
      <c r="Z324" s="363"/>
    </row>
    <row r="325" spans="1:26" ht="13.5" customHeight="1" x14ac:dyDescent="0.2">
      <c r="A325" s="386">
        <f t="shared" si="0"/>
        <v>26</v>
      </c>
      <c r="B325" s="387">
        <f t="shared" si="5"/>
        <v>304</v>
      </c>
      <c r="C325" s="388">
        <f t="shared" si="6"/>
        <v>55366</v>
      </c>
      <c r="D325" s="389">
        <f t="shared" si="7"/>
        <v>-31346.963424732236</v>
      </c>
      <c r="E325" s="389">
        <f t="shared" si="1"/>
        <v>-176.32666926411886</v>
      </c>
      <c r="F325" s="389">
        <f t="shared" si="2"/>
        <v>10566.758710686272</v>
      </c>
      <c r="G325" s="389">
        <f t="shared" si="3"/>
        <v>-41913.722135418509</v>
      </c>
      <c r="H325" s="389">
        <f t="shared" si="4"/>
        <v>1609351.2494627852</v>
      </c>
      <c r="I325" s="363"/>
      <c r="J325" s="363"/>
      <c r="K325" s="363"/>
      <c r="L325" s="363"/>
      <c r="M325" s="363"/>
      <c r="N325" s="363"/>
      <c r="O325" s="363"/>
      <c r="P325" s="363"/>
      <c r="Q325" s="363"/>
      <c r="R325" s="363"/>
      <c r="S325" s="363"/>
      <c r="T325" s="363"/>
      <c r="U325" s="363"/>
      <c r="V325" s="363"/>
      <c r="W325" s="363"/>
      <c r="X325" s="363"/>
      <c r="Y325" s="363"/>
      <c r="Z325" s="363"/>
    </row>
    <row r="326" spans="1:26" ht="13.5" customHeight="1" x14ac:dyDescent="0.2">
      <c r="A326" s="386">
        <f t="shared" si="0"/>
        <v>26</v>
      </c>
      <c r="B326" s="387">
        <f t="shared" si="5"/>
        <v>305</v>
      </c>
      <c r="C326" s="388">
        <f t="shared" si="6"/>
        <v>55397</v>
      </c>
      <c r="D326" s="389">
        <f t="shared" si="7"/>
        <v>-41913.722135418509</v>
      </c>
      <c r="E326" s="389">
        <f t="shared" si="1"/>
        <v>-235.76468701172914</v>
      </c>
      <c r="F326" s="389">
        <f t="shared" si="2"/>
        <v>10626.196728433883</v>
      </c>
      <c r="G326" s="389">
        <f t="shared" si="3"/>
        <v>-52539.918863852392</v>
      </c>
      <c r="H326" s="389">
        <f t="shared" si="4"/>
        <v>1609115.4847757735</v>
      </c>
      <c r="I326" s="363"/>
      <c r="J326" s="363"/>
      <c r="K326" s="363"/>
      <c r="L326" s="363"/>
      <c r="M326" s="363"/>
      <c r="N326" s="363"/>
      <c r="O326" s="363"/>
      <c r="P326" s="363"/>
      <c r="Q326" s="363"/>
      <c r="R326" s="363"/>
      <c r="S326" s="363"/>
      <c r="T326" s="363"/>
      <c r="U326" s="363"/>
      <c r="V326" s="363"/>
      <c r="W326" s="363"/>
      <c r="X326" s="363"/>
      <c r="Y326" s="363"/>
      <c r="Z326" s="363"/>
    </row>
    <row r="327" spans="1:26" ht="13.5" customHeight="1" x14ac:dyDescent="0.2">
      <c r="A327" s="386">
        <f t="shared" si="0"/>
        <v>26</v>
      </c>
      <c r="B327" s="387">
        <f t="shared" si="5"/>
        <v>306</v>
      </c>
      <c r="C327" s="388">
        <f t="shared" si="6"/>
        <v>55427</v>
      </c>
      <c r="D327" s="389">
        <f t="shared" si="7"/>
        <v>-52539.918863852392</v>
      </c>
      <c r="E327" s="389">
        <f t="shared" si="1"/>
        <v>-295.53704360916976</v>
      </c>
      <c r="F327" s="389">
        <f t="shared" si="2"/>
        <v>10685.969085031322</v>
      </c>
      <c r="G327" s="389">
        <f t="shared" si="3"/>
        <v>-63225.887948883712</v>
      </c>
      <c r="H327" s="389">
        <f t="shared" si="4"/>
        <v>1608819.9477321643</v>
      </c>
      <c r="I327" s="363"/>
      <c r="J327" s="363"/>
      <c r="K327" s="363"/>
      <c r="L327" s="363"/>
      <c r="M327" s="363"/>
      <c r="N327" s="363"/>
      <c r="O327" s="363"/>
      <c r="P327" s="363"/>
      <c r="Q327" s="363"/>
      <c r="R327" s="363"/>
      <c r="S327" s="363"/>
      <c r="T327" s="363"/>
      <c r="U327" s="363"/>
      <c r="V327" s="363"/>
      <c r="W327" s="363"/>
      <c r="X327" s="363"/>
      <c r="Y327" s="363"/>
      <c r="Z327" s="363"/>
    </row>
    <row r="328" spans="1:26" ht="13.5" customHeight="1" x14ac:dyDescent="0.2">
      <c r="A328" s="386">
        <f t="shared" si="0"/>
        <v>26</v>
      </c>
      <c r="B328" s="387">
        <f t="shared" si="5"/>
        <v>307</v>
      </c>
      <c r="C328" s="388">
        <f t="shared" si="6"/>
        <v>55458</v>
      </c>
      <c r="D328" s="389">
        <f t="shared" si="7"/>
        <v>-63225.887948883712</v>
      </c>
      <c r="E328" s="389">
        <f t="shared" si="1"/>
        <v>-355.64561971247093</v>
      </c>
      <c r="F328" s="389">
        <f t="shared" si="2"/>
        <v>10746.077661134625</v>
      </c>
      <c r="G328" s="389">
        <f t="shared" si="3"/>
        <v>-73971.965610018335</v>
      </c>
      <c r="H328" s="389">
        <f t="shared" si="4"/>
        <v>1608464.3021124518</v>
      </c>
      <c r="I328" s="363"/>
      <c r="J328" s="363"/>
      <c r="K328" s="363"/>
      <c r="L328" s="363"/>
      <c r="M328" s="363"/>
      <c r="N328" s="363"/>
      <c r="O328" s="363"/>
      <c r="P328" s="363"/>
      <c r="Q328" s="363"/>
      <c r="R328" s="363"/>
      <c r="S328" s="363"/>
      <c r="T328" s="363"/>
      <c r="U328" s="363"/>
      <c r="V328" s="363"/>
      <c r="W328" s="363"/>
      <c r="X328" s="363"/>
      <c r="Y328" s="363"/>
      <c r="Z328" s="363"/>
    </row>
    <row r="329" spans="1:26" ht="13.5" customHeight="1" x14ac:dyDescent="0.2">
      <c r="A329" s="386">
        <f t="shared" si="0"/>
        <v>26</v>
      </c>
      <c r="B329" s="387">
        <f t="shared" si="5"/>
        <v>308</v>
      </c>
      <c r="C329" s="388">
        <f t="shared" si="6"/>
        <v>55488</v>
      </c>
      <c r="D329" s="389">
        <f t="shared" si="7"/>
        <v>-73971.965610018335</v>
      </c>
      <c r="E329" s="389">
        <f t="shared" si="1"/>
        <v>-416.09230655635315</v>
      </c>
      <c r="F329" s="389">
        <f t="shared" si="2"/>
        <v>10806.524347978506</v>
      </c>
      <c r="G329" s="389">
        <f t="shared" si="3"/>
        <v>-84778.489957996848</v>
      </c>
      <c r="H329" s="389">
        <f t="shared" si="4"/>
        <v>1608048.2098058953</v>
      </c>
      <c r="I329" s="363"/>
      <c r="J329" s="363"/>
      <c r="K329" s="363"/>
      <c r="L329" s="363"/>
      <c r="M329" s="363"/>
      <c r="N329" s="363"/>
      <c r="O329" s="363"/>
      <c r="P329" s="363"/>
      <c r="Q329" s="363"/>
      <c r="R329" s="363"/>
      <c r="S329" s="363"/>
      <c r="T329" s="363"/>
      <c r="U329" s="363"/>
      <c r="V329" s="363"/>
      <c r="W329" s="363"/>
      <c r="X329" s="363"/>
      <c r="Y329" s="363"/>
      <c r="Z329" s="363"/>
    </row>
    <row r="330" spans="1:26" ht="13.5" customHeight="1" x14ac:dyDescent="0.2">
      <c r="A330" s="386">
        <f t="shared" si="0"/>
        <v>26</v>
      </c>
      <c r="B330" s="387">
        <f t="shared" si="5"/>
        <v>309</v>
      </c>
      <c r="C330" s="388">
        <f t="shared" si="6"/>
        <v>55519</v>
      </c>
      <c r="D330" s="389">
        <f t="shared" si="7"/>
        <v>-84778.489957996848</v>
      </c>
      <c r="E330" s="389">
        <f t="shared" si="1"/>
        <v>-476.87900601373229</v>
      </c>
      <c r="F330" s="389">
        <f t="shared" si="2"/>
        <v>10867.311047435885</v>
      </c>
      <c r="G330" s="389">
        <f t="shared" si="3"/>
        <v>-95645.801005432731</v>
      </c>
      <c r="H330" s="389">
        <f t="shared" si="4"/>
        <v>1607571.3307998816</v>
      </c>
      <c r="I330" s="363"/>
      <c r="J330" s="363"/>
      <c r="K330" s="363"/>
      <c r="L330" s="363"/>
      <c r="M330" s="363"/>
      <c r="N330" s="363"/>
      <c r="O330" s="363"/>
      <c r="P330" s="363"/>
      <c r="Q330" s="363"/>
      <c r="R330" s="363"/>
      <c r="S330" s="363"/>
      <c r="T330" s="363"/>
      <c r="U330" s="363"/>
      <c r="V330" s="363"/>
      <c r="W330" s="363"/>
      <c r="X330" s="363"/>
      <c r="Y330" s="363"/>
      <c r="Z330" s="363"/>
    </row>
    <row r="331" spans="1:26" ht="13.5" customHeight="1" x14ac:dyDescent="0.2">
      <c r="A331" s="386">
        <f t="shared" si="0"/>
        <v>26</v>
      </c>
      <c r="B331" s="387">
        <f t="shared" si="5"/>
        <v>310</v>
      </c>
      <c r="C331" s="388">
        <f t="shared" si="6"/>
        <v>55550</v>
      </c>
      <c r="D331" s="389">
        <f t="shared" si="7"/>
        <v>-95645.801005432731</v>
      </c>
      <c r="E331" s="389">
        <f t="shared" si="1"/>
        <v>-538.00763065555918</v>
      </c>
      <c r="F331" s="389">
        <f t="shared" si="2"/>
        <v>10928.439672077711</v>
      </c>
      <c r="G331" s="389">
        <f t="shared" si="3"/>
        <v>-106574.24067751045</v>
      </c>
      <c r="H331" s="389">
        <f t="shared" si="4"/>
        <v>1607033.3231692261</v>
      </c>
      <c r="I331" s="363"/>
      <c r="J331" s="363"/>
      <c r="K331" s="363"/>
      <c r="L331" s="363"/>
      <c r="M331" s="363"/>
      <c r="N331" s="363"/>
      <c r="O331" s="363"/>
      <c r="P331" s="363"/>
      <c r="Q331" s="363"/>
      <c r="R331" s="363"/>
      <c r="S331" s="363"/>
      <c r="T331" s="363"/>
      <c r="U331" s="363"/>
      <c r="V331" s="363"/>
      <c r="W331" s="363"/>
      <c r="X331" s="363"/>
      <c r="Y331" s="363"/>
      <c r="Z331" s="363"/>
    </row>
    <row r="332" spans="1:26" ht="13.5" customHeight="1" x14ac:dyDescent="0.2">
      <c r="A332" s="386">
        <f t="shared" si="0"/>
        <v>26</v>
      </c>
      <c r="B332" s="387">
        <f t="shared" si="5"/>
        <v>311</v>
      </c>
      <c r="C332" s="388">
        <f t="shared" si="6"/>
        <v>55579</v>
      </c>
      <c r="D332" s="389">
        <f t="shared" si="7"/>
        <v>-106574.24067751045</v>
      </c>
      <c r="E332" s="389">
        <f t="shared" si="1"/>
        <v>-599.4801038109963</v>
      </c>
      <c r="F332" s="389">
        <f t="shared" si="2"/>
        <v>10989.912145233149</v>
      </c>
      <c r="G332" s="389">
        <f t="shared" si="3"/>
        <v>-117564.15282274359</v>
      </c>
      <c r="H332" s="389">
        <f t="shared" si="4"/>
        <v>1606433.843065415</v>
      </c>
      <c r="I332" s="363"/>
      <c r="J332" s="363"/>
      <c r="K332" s="363"/>
      <c r="L332" s="363"/>
      <c r="M332" s="363"/>
      <c r="N332" s="363"/>
      <c r="O332" s="363"/>
      <c r="P332" s="363"/>
      <c r="Q332" s="363"/>
      <c r="R332" s="363"/>
      <c r="S332" s="363"/>
      <c r="T332" s="363"/>
      <c r="U332" s="363"/>
      <c r="V332" s="363"/>
      <c r="W332" s="363"/>
      <c r="X332" s="363"/>
      <c r="Y332" s="363"/>
      <c r="Z332" s="363"/>
    </row>
    <row r="333" spans="1:26" ht="13.5" customHeight="1" x14ac:dyDescent="0.2">
      <c r="A333" s="386">
        <f t="shared" si="0"/>
        <v>26</v>
      </c>
      <c r="B333" s="387">
        <f t="shared" si="5"/>
        <v>312</v>
      </c>
      <c r="C333" s="388">
        <f t="shared" si="6"/>
        <v>55610</v>
      </c>
      <c r="D333" s="389">
        <f t="shared" si="7"/>
        <v>-117564.15282274359</v>
      </c>
      <c r="E333" s="389">
        <f t="shared" si="1"/>
        <v>-661.29835962793277</v>
      </c>
      <c r="F333" s="389">
        <f t="shared" si="2"/>
        <v>11051.730401050085</v>
      </c>
      <c r="G333" s="389">
        <f t="shared" si="3"/>
        <v>-128615.88322379367</v>
      </c>
      <c r="H333" s="389">
        <f t="shared" si="4"/>
        <v>1605772.5447057872</v>
      </c>
      <c r="I333" s="363"/>
      <c r="J333" s="363"/>
      <c r="K333" s="363"/>
      <c r="L333" s="363"/>
      <c r="M333" s="363"/>
      <c r="N333" s="363"/>
      <c r="O333" s="363"/>
      <c r="P333" s="363"/>
      <c r="Q333" s="363"/>
      <c r="R333" s="363"/>
      <c r="S333" s="363"/>
      <c r="T333" s="363"/>
      <c r="U333" s="363"/>
      <c r="V333" s="363"/>
      <c r="W333" s="363"/>
      <c r="X333" s="363"/>
      <c r="Y333" s="363"/>
      <c r="Z333" s="363"/>
    </row>
    <row r="334" spans="1:26" ht="13.5" customHeight="1" x14ac:dyDescent="0.2">
      <c r="A334" s="386">
        <f t="shared" si="0"/>
        <v>27</v>
      </c>
      <c r="B334" s="387">
        <f t="shared" si="5"/>
        <v>313</v>
      </c>
      <c r="C334" s="388">
        <f t="shared" si="6"/>
        <v>55640</v>
      </c>
      <c r="D334" s="389">
        <f t="shared" si="7"/>
        <v>-128615.88322379367</v>
      </c>
      <c r="E334" s="389">
        <f t="shared" si="1"/>
        <v>-723.46434313383952</v>
      </c>
      <c r="F334" s="389">
        <f t="shared" si="2"/>
        <v>11113.896384555992</v>
      </c>
      <c r="G334" s="389">
        <f t="shared" si="3"/>
        <v>-139729.77960834967</v>
      </c>
      <c r="H334" s="389">
        <f t="shared" si="4"/>
        <v>1605049.0803626534</v>
      </c>
      <c r="I334" s="363"/>
      <c r="J334" s="363"/>
      <c r="K334" s="363"/>
      <c r="L334" s="363"/>
      <c r="M334" s="363"/>
      <c r="N334" s="363"/>
      <c r="O334" s="363"/>
      <c r="P334" s="363"/>
      <c r="Q334" s="363"/>
      <c r="R334" s="363"/>
      <c r="S334" s="363"/>
      <c r="T334" s="363"/>
      <c r="U334" s="363"/>
      <c r="V334" s="363"/>
      <c r="W334" s="363"/>
      <c r="X334" s="363"/>
      <c r="Y334" s="363"/>
      <c r="Z334" s="363"/>
    </row>
    <row r="335" spans="1:26" ht="13.5" customHeight="1" x14ac:dyDescent="0.2">
      <c r="A335" s="386">
        <f t="shared" si="0"/>
        <v>27</v>
      </c>
      <c r="B335" s="387">
        <f t="shared" si="5"/>
        <v>314</v>
      </c>
      <c r="C335" s="388">
        <f t="shared" si="6"/>
        <v>55671</v>
      </c>
      <c r="D335" s="389">
        <f t="shared" si="7"/>
        <v>-139729.77960834967</v>
      </c>
      <c r="E335" s="389">
        <f t="shared" si="1"/>
        <v>-785.98001029696695</v>
      </c>
      <c r="F335" s="389">
        <f t="shared" si="2"/>
        <v>11176.41205171912</v>
      </c>
      <c r="G335" s="389">
        <f t="shared" si="3"/>
        <v>-150906.19166006878</v>
      </c>
      <c r="H335" s="389">
        <f t="shared" si="4"/>
        <v>1604263.1003523564</v>
      </c>
      <c r="I335" s="363"/>
      <c r="J335" s="363"/>
      <c r="K335" s="363"/>
      <c r="L335" s="363"/>
      <c r="M335" s="363"/>
      <c r="N335" s="363"/>
      <c r="O335" s="363"/>
      <c r="P335" s="363"/>
      <c r="Q335" s="363"/>
      <c r="R335" s="363"/>
      <c r="S335" s="363"/>
      <c r="T335" s="363"/>
      <c r="U335" s="363"/>
      <c r="V335" s="363"/>
      <c r="W335" s="363"/>
      <c r="X335" s="363"/>
      <c r="Y335" s="363"/>
      <c r="Z335" s="363"/>
    </row>
    <row r="336" spans="1:26" ht="13.5" customHeight="1" x14ac:dyDescent="0.2">
      <c r="A336" s="386">
        <f t="shared" si="0"/>
        <v>27</v>
      </c>
      <c r="B336" s="387">
        <f t="shared" si="5"/>
        <v>315</v>
      </c>
      <c r="C336" s="388">
        <f t="shared" si="6"/>
        <v>55701</v>
      </c>
      <c r="D336" s="389">
        <f t="shared" si="7"/>
        <v>-150906.19166006878</v>
      </c>
      <c r="E336" s="389">
        <f t="shared" si="1"/>
        <v>-848.84732808788704</v>
      </c>
      <c r="F336" s="389">
        <f t="shared" si="2"/>
        <v>11239.279369510041</v>
      </c>
      <c r="G336" s="389">
        <f t="shared" si="3"/>
        <v>-162145.47102957882</v>
      </c>
      <c r="H336" s="389">
        <f t="shared" si="4"/>
        <v>1603414.2530242687</v>
      </c>
      <c r="I336" s="363"/>
      <c r="J336" s="363"/>
      <c r="K336" s="363"/>
      <c r="L336" s="363"/>
      <c r="M336" s="363"/>
      <c r="N336" s="363"/>
      <c r="O336" s="363"/>
      <c r="P336" s="363"/>
      <c r="Q336" s="363"/>
      <c r="R336" s="363"/>
      <c r="S336" s="363"/>
      <c r="T336" s="363"/>
      <c r="U336" s="363"/>
      <c r="V336" s="363"/>
      <c r="W336" s="363"/>
      <c r="X336" s="363"/>
      <c r="Y336" s="363"/>
      <c r="Z336" s="363"/>
    </row>
    <row r="337" spans="1:26" ht="13.5" customHeight="1" x14ac:dyDescent="0.2">
      <c r="A337" s="386">
        <f t="shared" si="0"/>
        <v>27</v>
      </c>
      <c r="B337" s="387">
        <f t="shared" si="5"/>
        <v>316</v>
      </c>
      <c r="C337" s="388">
        <f t="shared" si="6"/>
        <v>55732</v>
      </c>
      <c r="D337" s="389">
        <f t="shared" si="7"/>
        <v>-162145.47102957882</v>
      </c>
      <c r="E337" s="389">
        <f t="shared" si="1"/>
        <v>-912.06827454138102</v>
      </c>
      <c r="F337" s="389">
        <f t="shared" si="2"/>
        <v>11302.500315963534</v>
      </c>
      <c r="G337" s="389">
        <f t="shared" si="3"/>
        <v>-173447.97134554235</v>
      </c>
      <c r="H337" s="389">
        <f t="shared" si="4"/>
        <v>1602502.1847497274</v>
      </c>
      <c r="I337" s="363"/>
      <c r="J337" s="363"/>
      <c r="K337" s="363"/>
      <c r="L337" s="363"/>
      <c r="M337" s="363"/>
      <c r="N337" s="363"/>
      <c r="O337" s="363"/>
      <c r="P337" s="363"/>
      <c r="Q337" s="363"/>
      <c r="R337" s="363"/>
      <c r="S337" s="363"/>
      <c r="T337" s="363"/>
      <c r="U337" s="363"/>
      <c r="V337" s="363"/>
      <c r="W337" s="363"/>
      <c r="X337" s="363"/>
      <c r="Y337" s="363"/>
      <c r="Z337" s="363"/>
    </row>
    <row r="338" spans="1:26" ht="13.5" customHeight="1" x14ac:dyDescent="0.2">
      <c r="A338" s="386">
        <f t="shared" si="0"/>
        <v>27</v>
      </c>
      <c r="B338" s="387">
        <f t="shared" si="5"/>
        <v>317</v>
      </c>
      <c r="C338" s="388">
        <f t="shared" si="6"/>
        <v>55763</v>
      </c>
      <c r="D338" s="389">
        <f t="shared" si="7"/>
        <v>-173447.97134554235</v>
      </c>
      <c r="E338" s="389">
        <f t="shared" si="1"/>
        <v>-975.64483881867579</v>
      </c>
      <c r="F338" s="389">
        <f t="shared" si="2"/>
        <v>11366.076880240829</v>
      </c>
      <c r="G338" s="389">
        <f t="shared" si="3"/>
        <v>-184814.04822578319</v>
      </c>
      <c r="H338" s="389">
        <f t="shared" si="4"/>
        <v>1601526.5399109088</v>
      </c>
      <c r="I338" s="363"/>
      <c r="J338" s="363"/>
      <c r="K338" s="363"/>
      <c r="L338" s="363"/>
      <c r="M338" s="363"/>
      <c r="N338" s="363"/>
      <c r="O338" s="363"/>
      <c r="P338" s="363"/>
      <c r="Q338" s="363"/>
      <c r="R338" s="363"/>
      <c r="S338" s="363"/>
      <c r="T338" s="363"/>
      <c r="U338" s="363"/>
      <c r="V338" s="363"/>
      <c r="W338" s="363"/>
      <c r="X338" s="363"/>
      <c r="Y338" s="363"/>
      <c r="Z338" s="363"/>
    </row>
    <row r="339" spans="1:26" ht="13.5" customHeight="1" x14ac:dyDescent="0.2">
      <c r="A339" s="386">
        <f t="shared" si="0"/>
        <v>27</v>
      </c>
      <c r="B339" s="387">
        <f t="shared" si="5"/>
        <v>318</v>
      </c>
      <c r="C339" s="388">
        <f t="shared" si="6"/>
        <v>55793</v>
      </c>
      <c r="D339" s="389">
        <f t="shared" si="7"/>
        <v>-184814.04822578319</v>
      </c>
      <c r="E339" s="389">
        <f t="shared" si="1"/>
        <v>-1039.5790212700306</v>
      </c>
      <c r="F339" s="389">
        <f t="shared" si="2"/>
        <v>11430.011062692183</v>
      </c>
      <c r="G339" s="389">
        <f t="shared" si="3"/>
        <v>-196244.05928847537</v>
      </c>
      <c r="H339" s="389">
        <f t="shared" si="4"/>
        <v>1600486.9608896389</v>
      </c>
      <c r="I339" s="363"/>
      <c r="J339" s="363"/>
      <c r="K339" s="363"/>
      <c r="L339" s="363"/>
      <c r="M339" s="363"/>
      <c r="N339" s="363"/>
      <c r="O339" s="363"/>
      <c r="P339" s="363"/>
      <c r="Q339" s="363"/>
      <c r="R339" s="363"/>
      <c r="S339" s="363"/>
      <c r="T339" s="363"/>
      <c r="U339" s="363"/>
      <c r="V339" s="363"/>
      <c r="W339" s="363"/>
      <c r="X339" s="363"/>
      <c r="Y339" s="363"/>
      <c r="Z339" s="363"/>
    </row>
    <row r="340" spans="1:26" ht="13.5" customHeight="1" x14ac:dyDescent="0.2">
      <c r="A340" s="386">
        <f t="shared" si="0"/>
        <v>27</v>
      </c>
      <c r="B340" s="387">
        <f t="shared" si="5"/>
        <v>319</v>
      </c>
      <c r="C340" s="388">
        <f t="shared" si="6"/>
        <v>55824</v>
      </c>
      <c r="D340" s="389">
        <f t="shared" si="7"/>
        <v>-196244.05928847537</v>
      </c>
      <c r="E340" s="389">
        <f t="shared" si="1"/>
        <v>-1103.872833497674</v>
      </c>
      <c r="F340" s="389">
        <f t="shared" si="2"/>
        <v>11494.304874919828</v>
      </c>
      <c r="G340" s="389">
        <f t="shared" si="3"/>
        <v>-207738.36416339519</v>
      </c>
      <c r="H340" s="389">
        <f t="shared" si="4"/>
        <v>1599383.0880561413</v>
      </c>
      <c r="I340" s="363"/>
      <c r="J340" s="363"/>
      <c r="K340" s="363"/>
      <c r="L340" s="363"/>
      <c r="M340" s="363"/>
      <c r="N340" s="363"/>
      <c r="O340" s="363"/>
      <c r="P340" s="363"/>
      <c r="Q340" s="363"/>
      <c r="R340" s="363"/>
      <c r="S340" s="363"/>
      <c r="T340" s="363"/>
      <c r="U340" s="363"/>
      <c r="V340" s="363"/>
      <c r="W340" s="363"/>
      <c r="X340" s="363"/>
      <c r="Y340" s="363"/>
      <c r="Z340" s="363"/>
    </row>
    <row r="341" spans="1:26" ht="13.5" customHeight="1" x14ac:dyDescent="0.2">
      <c r="A341" s="386">
        <f t="shared" si="0"/>
        <v>27</v>
      </c>
      <c r="B341" s="387">
        <f t="shared" si="5"/>
        <v>320</v>
      </c>
      <c r="C341" s="388">
        <f t="shared" si="6"/>
        <v>55854</v>
      </c>
      <c r="D341" s="389">
        <f t="shared" si="7"/>
        <v>-207738.36416339519</v>
      </c>
      <c r="E341" s="389">
        <f t="shared" si="1"/>
        <v>-1168.5282984190981</v>
      </c>
      <c r="F341" s="389">
        <f t="shared" si="2"/>
        <v>11558.960339841251</v>
      </c>
      <c r="G341" s="389">
        <f t="shared" si="3"/>
        <v>-219297.32450323645</v>
      </c>
      <c r="H341" s="389">
        <f t="shared" si="4"/>
        <v>1598214.5597577221</v>
      </c>
      <c r="I341" s="363"/>
      <c r="J341" s="363"/>
      <c r="K341" s="363"/>
      <c r="L341" s="363"/>
      <c r="M341" s="363"/>
      <c r="N341" s="363"/>
      <c r="O341" s="363"/>
      <c r="P341" s="363"/>
      <c r="Q341" s="363"/>
      <c r="R341" s="363"/>
      <c r="S341" s="363"/>
      <c r="T341" s="363"/>
      <c r="U341" s="363"/>
      <c r="V341" s="363"/>
      <c r="W341" s="363"/>
      <c r="X341" s="363"/>
      <c r="Y341" s="363"/>
      <c r="Z341" s="363"/>
    </row>
    <row r="342" spans="1:26" ht="13.5" customHeight="1" x14ac:dyDescent="0.2">
      <c r="A342" s="386">
        <f t="shared" si="0"/>
        <v>27</v>
      </c>
      <c r="B342" s="387">
        <f t="shared" si="5"/>
        <v>321</v>
      </c>
      <c r="C342" s="388">
        <f t="shared" si="6"/>
        <v>55885</v>
      </c>
      <c r="D342" s="389">
        <f t="shared" si="7"/>
        <v>-219297.32450323645</v>
      </c>
      <c r="E342" s="389">
        <f t="shared" si="1"/>
        <v>-1233.5474503307053</v>
      </c>
      <c r="F342" s="389">
        <f t="shared" si="2"/>
        <v>11623.979491752858</v>
      </c>
      <c r="G342" s="389">
        <f t="shared" si="3"/>
        <v>-230921.30399498931</v>
      </c>
      <c r="H342" s="389">
        <f t="shared" si="4"/>
        <v>1596981.0123073913</v>
      </c>
      <c r="I342" s="363"/>
      <c r="J342" s="363"/>
      <c r="K342" s="363"/>
      <c r="L342" s="363"/>
      <c r="M342" s="363"/>
      <c r="N342" s="363"/>
      <c r="O342" s="363"/>
      <c r="P342" s="363"/>
      <c r="Q342" s="363"/>
      <c r="R342" s="363"/>
      <c r="S342" s="363"/>
      <c r="T342" s="363"/>
      <c r="U342" s="363"/>
      <c r="V342" s="363"/>
      <c r="W342" s="363"/>
      <c r="X342" s="363"/>
      <c r="Y342" s="363"/>
      <c r="Z342" s="363"/>
    </row>
    <row r="343" spans="1:26" ht="13.5" customHeight="1" x14ac:dyDescent="0.2">
      <c r="A343" s="386">
        <f t="shared" si="0"/>
        <v>27</v>
      </c>
      <c r="B343" s="387">
        <f t="shared" si="5"/>
        <v>322</v>
      </c>
      <c r="C343" s="388">
        <f t="shared" si="6"/>
        <v>55916</v>
      </c>
      <c r="D343" s="389">
        <f t="shared" si="7"/>
        <v>-230921.30399498931</v>
      </c>
      <c r="E343" s="389">
        <f t="shared" si="1"/>
        <v>-1298.932334971815</v>
      </c>
      <c r="F343" s="389">
        <f t="shared" si="2"/>
        <v>11689.364376393967</v>
      </c>
      <c r="G343" s="389">
        <f t="shared" si="3"/>
        <v>-242610.66837138328</v>
      </c>
      <c r="H343" s="389">
        <f t="shared" si="4"/>
        <v>1595682.0799724194</v>
      </c>
      <c r="I343" s="363"/>
      <c r="J343" s="363"/>
      <c r="K343" s="363"/>
      <c r="L343" s="363"/>
      <c r="M343" s="363"/>
      <c r="N343" s="363"/>
      <c r="O343" s="363"/>
      <c r="P343" s="363"/>
      <c r="Q343" s="363"/>
      <c r="R343" s="363"/>
      <c r="S343" s="363"/>
      <c r="T343" s="363"/>
      <c r="U343" s="363"/>
      <c r="V343" s="363"/>
      <c r="W343" s="363"/>
      <c r="X343" s="363"/>
      <c r="Y343" s="363"/>
      <c r="Z343" s="363"/>
    </row>
    <row r="344" spans="1:26" ht="13.5" customHeight="1" x14ac:dyDescent="0.2">
      <c r="A344" s="386">
        <f t="shared" si="0"/>
        <v>27</v>
      </c>
      <c r="B344" s="387">
        <f t="shared" si="5"/>
        <v>323</v>
      </c>
      <c r="C344" s="388">
        <f t="shared" si="6"/>
        <v>55944</v>
      </c>
      <c r="D344" s="389">
        <f t="shared" si="7"/>
        <v>-242610.66837138328</v>
      </c>
      <c r="E344" s="389">
        <f t="shared" si="1"/>
        <v>-1364.6850095890311</v>
      </c>
      <c r="F344" s="389">
        <f t="shared" si="2"/>
        <v>11755.117051011184</v>
      </c>
      <c r="G344" s="389">
        <f t="shared" si="3"/>
        <v>-254365.78542239446</v>
      </c>
      <c r="H344" s="389">
        <f t="shared" si="4"/>
        <v>1594317.3949628305</v>
      </c>
      <c r="I344" s="363"/>
      <c r="J344" s="363"/>
      <c r="K344" s="363"/>
      <c r="L344" s="363"/>
      <c r="M344" s="363"/>
      <c r="N344" s="363"/>
      <c r="O344" s="363"/>
      <c r="P344" s="363"/>
      <c r="Q344" s="363"/>
      <c r="R344" s="363"/>
      <c r="S344" s="363"/>
      <c r="T344" s="363"/>
      <c r="U344" s="363"/>
      <c r="V344" s="363"/>
      <c r="W344" s="363"/>
      <c r="X344" s="363"/>
      <c r="Y344" s="363"/>
      <c r="Z344" s="363"/>
    </row>
    <row r="345" spans="1:26" ht="13.5" customHeight="1" x14ac:dyDescent="0.2">
      <c r="A345" s="386">
        <f t="shared" si="0"/>
        <v>27</v>
      </c>
      <c r="B345" s="387">
        <f t="shared" si="5"/>
        <v>324</v>
      </c>
      <c r="C345" s="388">
        <f t="shared" si="6"/>
        <v>55975</v>
      </c>
      <c r="D345" s="389">
        <f t="shared" si="7"/>
        <v>-254365.78542239446</v>
      </c>
      <c r="E345" s="389">
        <f t="shared" si="1"/>
        <v>-1430.8075430009687</v>
      </c>
      <c r="F345" s="389">
        <f t="shared" si="2"/>
        <v>11821.239584423121</v>
      </c>
      <c r="G345" s="389">
        <f t="shared" si="3"/>
        <v>-266187.0250068176</v>
      </c>
      <c r="H345" s="389">
        <f t="shared" si="4"/>
        <v>1592886.5874198296</v>
      </c>
      <c r="I345" s="363"/>
      <c r="J345" s="363"/>
      <c r="K345" s="363"/>
      <c r="L345" s="363"/>
      <c r="M345" s="363"/>
      <c r="N345" s="363"/>
      <c r="O345" s="363"/>
      <c r="P345" s="363"/>
      <c r="Q345" s="363"/>
      <c r="R345" s="363"/>
      <c r="S345" s="363"/>
      <c r="T345" s="363"/>
      <c r="U345" s="363"/>
      <c r="V345" s="363"/>
      <c r="W345" s="363"/>
      <c r="X345" s="363"/>
      <c r="Y345" s="363"/>
      <c r="Z345" s="363"/>
    </row>
    <row r="346" spans="1:26" ht="13.5" customHeight="1" x14ac:dyDescent="0.2">
      <c r="A346" s="386">
        <f t="shared" si="0"/>
        <v>28</v>
      </c>
      <c r="B346" s="387">
        <f t="shared" si="5"/>
        <v>325</v>
      </c>
      <c r="C346" s="388">
        <f t="shared" si="6"/>
        <v>56005</v>
      </c>
      <c r="D346" s="389">
        <f t="shared" si="7"/>
        <v>-266187.0250068176</v>
      </c>
      <c r="E346" s="389">
        <f t="shared" si="1"/>
        <v>-1497.302015663349</v>
      </c>
      <c r="F346" s="389">
        <f t="shared" si="2"/>
        <v>11887.734057085501</v>
      </c>
      <c r="G346" s="389">
        <f t="shared" si="3"/>
        <v>-278074.75906390313</v>
      </c>
      <c r="H346" s="389">
        <f t="shared" si="4"/>
        <v>1591389.2854041662</v>
      </c>
      <c r="I346" s="363"/>
      <c r="J346" s="363"/>
      <c r="K346" s="363"/>
      <c r="L346" s="363"/>
      <c r="M346" s="363"/>
      <c r="N346" s="363"/>
      <c r="O346" s="363"/>
      <c r="P346" s="363"/>
      <c r="Q346" s="363"/>
      <c r="R346" s="363"/>
      <c r="S346" s="363"/>
      <c r="T346" s="363"/>
      <c r="U346" s="363"/>
      <c r="V346" s="363"/>
      <c r="W346" s="363"/>
      <c r="X346" s="363"/>
      <c r="Y346" s="363"/>
      <c r="Z346" s="363"/>
    </row>
    <row r="347" spans="1:26" ht="13.5" customHeight="1" x14ac:dyDescent="0.2">
      <c r="A347" s="386">
        <f t="shared" si="0"/>
        <v>28</v>
      </c>
      <c r="B347" s="387">
        <f t="shared" si="5"/>
        <v>326</v>
      </c>
      <c r="C347" s="388">
        <f t="shared" si="6"/>
        <v>56036</v>
      </c>
      <c r="D347" s="389">
        <f t="shared" si="7"/>
        <v>-278074.75906390313</v>
      </c>
      <c r="E347" s="389">
        <f t="shared" si="1"/>
        <v>-1564.1705197344552</v>
      </c>
      <c r="F347" s="389">
        <f t="shared" si="2"/>
        <v>11954.602561156607</v>
      </c>
      <c r="G347" s="389">
        <f t="shared" si="3"/>
        <v>-290029.36162505974</v>
      </c>
      <c r="H347" s="389">
        <f t="shared" si="4"/>
        <v>1589825.1148844317</v>
      </c>
      <c r="I347" s="363"/>
      <c r="J347" s="363"/>
      <c r="K347" s="363"/>
      <c r="L347" s="363"/>
      <c r="M347" s="363"/>
      <c r="N347" s="363"/>
      <c r="O347" s="363"/>
      <c r="P347" s="363"/>
      <c r="Q347" s="363"/>
      <c r="R347" s="363"/>
      <c r="S347" s="363"/>
      <c r="T347" s="363"/>
      <c r="U347" s="363"/>
      <c r="V347" s="363"/>
      <c r="W347" s="363"/>
      <c r="X347" s="363"/>
      <c r="Y347" s="363"/>
      <c r="Z347" s="363"/>
    </row>
    <row r="348" spans="1:26" ht="13.5" customHeight="1" x14ac:dyDescent="0.2">
      <c r="A348" s="386">
        <f t="shared" si="0"/>
        <v>28</v>
      </c>
      <c r="B348" s="387">
        <f t="shared" si="5"/>
        <v>327</v>
      </c>
      <c r="C348" s="388">
        <f t="shared" si="6"/>
        <v>56066</v>
      </c>
      <c r="D348" s="389">
        <f t="shared" si="7"/>
        <v>-290029.36162505974</v>
      </c>
      <c r="E348" s="389">
        <f t="shared" si="1"/>
        <v>-1631.4151591409611</v>
      </c>
      <c r="F348" s="389">
        <f t="shared" si="2"/>
        <v>12021.847200563114</v>
      </c>
      <c r="G348" s="389">
        <f t="shared" si="3"/>
        <v>-302051.20882562286</v>
      </c>
      <c r="H348" s="389">
        <f t="shared" si="4"/>
        <v>1588193.6997252908</v>
      </c>
      <c r="I348" s="363"/>
      <c r="J348" s="363"/>
      <c r="K348" s="363"/>
      <c r="L348" s="363"/>
      <c r="M348" s="363"/>
      <c r="N348" s="363"/>
      <c r="O348" s="363"/>
      <c r="P348" s="363"/>
      <c r="Q348" s="363"/>
      <c r="R348" s="363"/>
      <c r="S348" s="363"/>
      <c r="T348" s="363"/>
      <c r="U348" s="363"/>
      <c r="V348" s="363"/>
      <c r="W348" s="363"/>
      <c r="X348" s="363"/>
      <c r="Y348" s="363"/>
      <c r="Z348" s="363"/>
    </row>
    <row r="349" spans="1:26" ht="13.5" customHeight="1" x14ac:dyDescent="0.2">
      <c r="A349" s="386">
        <f t="shared" si="0"/>
        <v>28</v>
      </c>
      <c r="B349" s="387">
        <f t="shared" si="5"/>
        <v>328</v>
      </c>
      <c r="C349" s="388">
        <f t="shared" si="6"/>
        <v>56097</v>
      </c>
      <c r="D349" s="389">
        <f t="shared" si="7"/>
        <v>-302051.20882562286</v>
      </c>
      <c r="E349" s="389">
        <f t="shared" si="1"/>
        <v>-1699.0380496441287</v>
      </c>
      <c r="F349" s="389">
        <f t="shared" si="2"/>
        <v>12089.470091066281</v>
      </c>
      <c r="G349" s="389">
        <f t="shared" si="3"/>
        <v>-314140.67891668912</v>
      </c>
      <c r="H349" s="389">
        <f t="shared" si="4"/>
        <v>1586494.6616756467</v>
      </c>
      <c r="I349" s="363"/>
      <c r="J349" s="363"/>
      <c r="K349" s="363"/>
      <c r="L349" s="363"/>
      <c r="M349" s="363"/>
      <c r="N349" s="363"/>
      <c r="O349" s="363"/>
      <c r="P349" s="363"/>
      <c r="Q349" s="363"/>
      <c r="R349" s="363"/>
      <c r="S349" s="363"/>
      <c r="T349" s="363"/>
      <c r="U349" s="363"/>
      <c r="V349" s="363"/>
      <c r="W349" s="363"/>
      <c r="X349" s="363"/>
      <c r="Y349" s="363"/>
      <c r="Z349" s="363"/>
    </row>
    <row r="350" spans="1:26" ht="13.5" customHeight="1" x14ac:dyDescent="0.2">
      <c r="A350" s="386">
        <f t="shared" si="0"/>
        <v>28</v>
      </c>
      <c r="B350" s="387">
        <f t="shared" si="5"/>
        <v>329</v>
      </c>
      <c r="C350" s="388">
        <f t="shared" si="6"/>
        <v>56128</v>
      </c>
      <c r="D350" s="389">
        <f t="shared" si="7"/>
        <v>-314140.67891668912</v>
      </c>
      <c r="E350" s="389">
        <f t="shared" si="1"/>
        <v>-1767.0413189063765</v>
      </c>
      <c r="F350" s="389">
        <f t="shared" si="2"/>
        <v>12157.473360328529</v>
      </c>
      <c r="G350" s="389">
        <f t="shared" si="3"/>
        <v>-326298.15227701765</v>
      </c>
      <c r="H350" s="389">
        <f t="shared" si="4"/>
        <v>1584727.6203567402</v>
      </c>
      <c r="I350" s="363"/>
      <c r="J350" s="363"/>
      <c r="K350" s="363"/>
      <c r="L350" s="363"/>
      <c r="M350" s="363"/>
      <c r="N350" s="363"/>
      <c r="O350" s="363"/>
      <c r="P350" s="363"/>
      <c r="Q350" s="363"/>
      <c r="R350" s="363"/>
      <c r="S350" s="363"/>
      <c r="T350" s="363"/>
      <c r="U350" s="363"/>
      <c r="V350" s="363"/>
      <c r="W350" s="363"/>
      <c r="X350" s="363"/>
      <c r="Y350" s="363"/>
      <c r="Z350" s="363"/>
    </row>
    <row r="351" spans="1:26" ht="13.5" customHeight="1" x14ac:dyDescent="0.2">
      <c r="A351" s="386">
        <f t="shared" si="0"/>
        <v>28</v>
      </c>
      <c r="B351" s="387">
        <f t="shared" si="5"/>
        <v>330</v>
      </c>
      <c r="C351" s="388">
        <f t="shared" si="6"/>
        <v>56158</v>
      </c>
      <c r="D351" s="389">
        <f t="shared" si="7"/>
        <v>-326298.15227701765</v>
      </c>
      <c r="E351" s="389">
        <f t="shared" si="1"/>
        <v>-1835.4271065582243</v>
      </c>
      <c r="F351" s="389">
        <f t="shared" si="2"/>
        <v>12225.859147980376</v>
      </c>
      <c r="G351" s="389">
        <f t="shared" si="3"/>
        <v>-338524.01142499805</v>
      </c>
      <c r="H351" s="389">
        <f t="shared" si="4"/>
        <v>1582892.1932501821</v>
      </c>
      <c r="I351" s="363"/>
      <c r="J351" s="363"/>
      <c r="K351" s="363"/>
      <c r="L351" s="363"/>
      <c r="M351" s="363"/>
      <c r="N351" s="363"/>
      <c r="O351" s="363"/>
      <c r="P351" s="363"/>
      <c r="Q351" s="363"/>
      <c r="R351" s="363"/>
      <c r="S351" s="363"/>
      <c r="T351" s="363"/>
      <c r="U351" s="363"/>
      <c r="V351" s="363"/>
      <c r="W351" s="363"/>
      <c r="X351" s="363"/>
      <c r="Y351" s="363"/>
      <c r="Z351" s="363"/>
    </row>
    <row r="352" spans="1:26" ht="13.5" customHeight="1" x14ac:dyDescent="0.2">
      <c r="A352" s="386">
        <f t="shared" si="0"/>
        <v>28</v>
      </c>
      <c r="B352" s="387">
        <f t="shared" si="5"/>
        <v>331</v>
      </c>
      <c r="C352" s="388">
        <f t="shared" si="6"/>
        <v>56189</v>
      </c>
      <c r="D352" s="389">
        <f t="shared" si="7"/>
        <v>-338524.01142499805</v>
      </c>
      <c r="E352" s="389">
        <f t="shared" si="1"/>
        <v>-1904.1975642656141</v>
      </c>
      <c r="F352" s="389">
        <f t="shared" si="2"/>
        <v>12294.629605687767</v>
      </c>
      <c r="G352" s="389">
        <f t="shared" si="3"/>
        <v>-350818.6410306858</v>
      </c>
      <c r="H352" s="389">
        <f t="shared" si="4"/>
        <v>1580987.9956859164</v>
      </c>
      <c r="I352" s="363"/>
      <c r="J352" s="363"/>
      <c r="K352" s="363"/>
      <c r="L352" s="363"/>
      <c r="M352" s="363"/>
      <c r="N352" s="363"/>
      <c r="O352" s="363"/>
      <c r="P352" s="363"/>
      <c r="Q352" s="363"/>
      <c r="R352" s="363"/>
      <c r="S352" s="363"/>
      <c r="T352" s="363"/>
      <c r="U352" s="363"/>
      <c r="V352" s="363"/>
      <c r="W352" s="363"/>
      <c r="X352" s="363"/>
      <c r="Y352" s="363"/>
      <c r="Z352" s="363"/>
    </row>
    <row r="353" spans="1:26" ht="13.5" customHeight="1" x14ac:dyDescent="0.2">
      <c r="A353" s="386">
        <f t="shared" si="0"/>
        <v>28</v>
      </c>
      <c r="B353" s="387">
        <f t="shared" si="5"/>
        <v>332</v>
      </c>
      <c r="C353" s="388">
        <f t="shared" si="6"/>
        <v>56219</v>
      </c>
      <c r="D353" s="389">
        <f t="shared" si="7"/>
        <v>-350818.6410306858</v>
      </c>
      <c r="E353" s="389">
        <f t="shared" si="1"/>
        <v>-1973.3548557976076</v>
      </c>
      <c r="F353" s="389">
        <f t="shared" si="2"/>
        <v>12363.786897219761</v>
      </c>
      <c r="G353" s="389">
        <f t="shared" si="3"/>
        <v>-363182.42792790558</v>
      </c>
      <c r="H353" s="389">
        <f t="shared" si="4"/>
        <v>1579014.6408301187</v>
      </c>
      <c r="I353" s="363"/>
      <c r="J353" s="363"/>
      <c r="K353" s="363"/>
      <c r="L353" s="363"/>
      <c r="M353" s="363"/>
      <c r="N353" s="363"/>
      <c r="O353" s="363"/>
      <c r="P353" s="363"/>
      <c r="Q353" s="363"/>
      <c r="R353" s="363"/>
      <c r="S353" s="363"/>
      <c r="T353" s="363"/>
      <c r="U353" s="363"/>
      <c r="V353" s="363"/>
      <c r="W353" s="363"/>
      <c r="X353" s="363"/>
      <c r="Y353" s="363"/>
      <c r="Z353" s="363"/>
    </row>
    <row r="354" spans="1:26" ht="13.5" customHeight="1" x14ac:dyDescent="0.2">
      <c r="A354" s="386">
        <f t="shared" si="0"/>
        <v>28</v>
      </c>
      <c r="B354" s="387">
        <f t="shared" si="5"/>
        <v>333</v>
      </c>
      <c r="C354" s="388">
        <f t="shared" si="6"/>
        <v>56250</v>
      </c>
      <c r="D354" s="389">
        <f t="shared" si="7"/>
        <v>-363182.42792790558</v>
      </c>
      <c r="E354" s="389">
        <f t="shared" si="1"/>
        <v>-2042.9011570944692</v>
      </c>
      <c r="F354" s="389">
        <f t="shared" si="2"/>
        <v>12433.333198516622</v>
      </c>
      <c r="G354" s="389">
        <f t="shared" si="3"/>
        <v>-375615.76112642221</v>
      </c>
      <c r="H354" s="389">
        <f t="shared" si="4"/>
        <v>1576971.7396730243</v>
      </c>
      <c r="I354" s="363"/>
      <c r="J354" s="363"/>
      <c r="K354" s="363"/>
      <c r="L354" s="363"/>
      <c r="M354" s="363"/>
      <c r="N354" s="363"/>
      <c r="O354" s="363"/>
      <c r="P354" s="363"/>
      <c r="Q354" s="363"/>
      <c r="R354" s="363"/>
      <c r="S354" s="363"/>
      <c r="T354" s="363"/>
      <c r="U354" s="363"/>
      <c r="V354" s="363"/>
      <c r="W354" s="363"/>
      <c r="X354" s="363"/>
      <c r="Y354" s="363"/>
      <c r="Z354" s="363"/>
    </row>
    <row r="355" spans="1:26" ht="13.5" customHeight="1" x14ac:dyDescent="0.2">
      <c r="A355" s="386">
        <f t="shared" si="0"/>
        <v>28</v>
      </c>
      <c r="B355" s="387">
        <f t="shared" si="5"/>
        <v>334</v>
      </c>
      <c r="C355" s="388">
        <f t="shared" si="6"/>
        <v>56281</v>
      </c>
      <c r="D355" s="389">
        <f t="shared" si="7"/>
        <v>-375615.76112642221</v>
      </c>
      <c r="E355" s="389">
        <f t="shared" si="1"/>
        <v>-2112.838656336125</v>
      </c>
      <c r="F355" s="389">
        <f t="shared" si="2"/>
        <v>12503.270697758278</v>
      </c>
      <c r="G355" s="389">
        <f t="shared" si="3"/>
        <v>-388119.03182418051</v>
      </c>
      <c r="H355" s="389">
        <f t="shared" si="4"/>
        <v>1574858.9010166882</v>
      </c>
      <c r="I355" s="363"/>
      <c r="J355" s="363"/>
      <c r="K355" s="363"/>
      <c r="L355" s="363"/>
      <c r="M355" s="363"/>
      <c r="N355" s="363"/>
      <c r="O355" s="363"/>
      <c r="P355" s="363"/>
      <c r="Q355" s="363"/>
      <c r="R355" s="363"/>
      <c r="S355" s="363"/>
      <c r="T355" s="363"/>
      <c r="U355" s="363"/>
      <c r="V355" s="363"/>
      <c r="W355" s="363"/>
      <c r="X355" s="363"/>
      <c r="Y355" s="363"/>
      <c r="Z355" s="363"/>
    </row>
    <row r="356" spans="1:26" ht="13.5" customHeight="1" x14ac:dyDescent="0.2">
      <c r="A356" s="386">
        <f t="shared" si="0"/>
        <v>28</v>
      </c>
      <c r="B356" s="387">
        <f t="shared" si="5"/>
        <v>335</v>
      </c>
      <c r="C356" s="388">
        <f t="shared" si="6"/>
        <v>56309</v>
      </c>
      <c r="D356" s="389">
        <f t="shared" si="7"/>
        <v>-388119.03182418051</v>
      </c>
      <c r="E356" s="389">
        <f t="shared" si="1"/>
        <v>-2183.1695540110154</v>
      </c>
      <c r="F356" s="389">
        <f t="shared" si="2"/>
        <v>12573.601595433169</v>
      </c>
      <c r="G356" s="389">
        <f t="shared" si="3"/>
        <v>-400692.6334196137</v>
      </c>
      <c r="H356" s="389">
        <f t="shared" si="4"/>
        <v>1572675.7314626772</v>
      </c>
      <c r="I356" s="363"/>
      <c r="J356" s="363"/>
      <c r="K356" s="363"/>
      <c r="L356" s="363"/>
      <c r="M356" s="363"/>
      <c r="N356" s="363"/>
      <c r="O356" s="363"/>
      <c r="P356" s="363"/>
      <c r="Q356" s="363"/>
      <c r="R356" s="363"/>
      <c r="S356" s="363"/>
      <c r="T356" s="363"/>
      <c r="U356" s="363"/>
      <c r="V356" s="363"/>
      <c r="W356" s="363"/>
      <c r="X356" s="363"/>
      <c r="Y356" s="363"/>
      <c r="Z356" s="363"/>
    </row>
    <row r="357" spans="1:26" ht="13.5" customHeight="1" x14ac:dyDescent="0.2">
      <c r="A357" s="386">
        <f t="shared" si="0"/>
        <v>28</v>
      </c>
      <c r="B357" s="387">
        <f t="shared" si="5"/>
        <v>336</v>
      </c>
      <c r="C357" s="388">
        <f t="shared" si="6"/>
        <v>56340</v>
      </c>
      <c r="D357" s="389">
        <f t="shared" si="7"/>
        <v>-400692.6334196137</v>
      </c>
      <c r="E357" s="389">
        <f t="shared" si="1"/>
        <v>-2253.8960629853273</v>
      </c>
      <c r="F357" s="389">
        <f t="shared" si="2"/>
        <v>12644.328104407479</v>
      </c>
      <c r="G357" s="389">
        <f t="shared" si="3"/>
        <v>-413336.96152402117</v>
      </c>
      <c r="H357" s="389">
        <f t="shared" si="4"/>
        <v>1570421.8353996919</v>
      </c>
      <c r="I357" s="363"/>
      <c r="J357" s="363"/>
      <c r="K357" s="363"/>
      <c r="L357" s="363"/>
      <c r="M357" s="363"/>
      <c r="N357" s="363"/>
      <c r="O357" s="363"/>
      <c r="P357" s="363"/>
      <c r="Q357" s="363"/>
      <c r="R357" s="363"/>
      <c r="S357" s="363"/>
      <c r="T357" s="363"/>
      <c r="U357" s="363"/>
      <c r="V357" s="363"/>
      <c r="W357" s="363"/>
      <c r="X357" s="363"/>
      <c r="Y357" s="363"/>
      <c r="Z357" s="363"/>
    </row>
    <row r="358" spans="1:26" ht="13.5" customHeight="1" x14ac:dyDescent="0.2">
      <c r="A358" s="386">
        <f t="shared" si="0"/>
        <v>29</v>
      </c>
      <c r="B358" s="387">
        <f t="shared" si="5"/>
        <v>337</v>
      </c>
      <c r="C358" s="388">
        <f t="shared" si="6"/>
        <v>56370</v>
      </c>
      <c r="D358" s="389">
        <f t="shared" si="7"/>
        <v>-413336.96152402117</v>
      </c>
      <c r="E358" s="389">
        <f t="shared" si="1"/>
        <v>-2325.0204085726195</v>
      </c>
      <c r="F358" s="389">
        <f t="shared" si="2"/>
        <v>12715.452449994773</v>
      </c>
      <c r="G358" s="389">
        <f t="shared" si="3"/>
        <v>-426052.41397401597</v>
      </c>
      <c r="H358" s="389">
        <f t="shared" si="4"/>
        <v>1568096.8149911193</v>
      </c>
      <c r="I358" s="363"/>
      <c r="J358" s="363"/>
      <c r="K358" s="363"/>
      <c r="L358" s="363"/>
      <c r="M358" s="363"/>
      <c r="N358" s="363"/>
      <c r="O358" s="363"/>
      <c r="P358" s="363"/>
      <c r="Q358" s="363"/>
      <c r="R358" s="363"/>
      <c r="S358" s="363"/>
      <c r="T358" s="363"/>
      <c r="U358" s="363"/>
      <c r="V358" s="363"/>
      <c r="W358" s="363"/>
      <c r="X358" s="363"/>
      <c r="Y358" s="363"/>
      <c r="Z358" s="363"/>
    </row>
    <row r="359" spans="1:26" ht="13.5" customHeight="1" x14ac:dyDescent="0.2">
      <c r="A359" s="386">
        <f t="shared" si="0"/>
        <v>29</v>
      </c>
      <c r="B359" s="387">
        <f t="shared" si="5"/>
        <v>338</v>
      </c>
      <c r="C359" s="388">
        <f t="shared" si="6"/>
        <v>56401</v>
      </c>
      <c r="D359" s="389">
        <f t="shared" si="7"/>
        <v>-426052.41397401597</v>
      </c>
      <c r="E359" s="389">
        <f t="shared" si="1"/>
        <v>-2396.54482860384</v>
      </c>
      <c r="F359" s="389">
        <f t="shared" si="2"/>
        <v>12786.976870025992</v>
      </c>
      <c r="G359" s="389">
        <f t="shared" si="3"/>
        <v>-438839.39084404195</v>
      </c>
      <c r="H359" s="389">
        <f t="shared" si="4"/>
        <v>1565700.2701625156</v>
      </c>
      <c r="I359" s="363"/>
      <c r="J359" s="363"/>
      <c r="K359" s="363"/>
      <c r="L359" s="363"/>
      <c r="M359" s="363"/>
      <c r="N359" s="363"/>
      <c r="O359" s="363"/>
      <c r="P359" s="363"/>
      <c r="Q359" s="363"/>
      <c r="R359" s="363"/>
      <c r="S359" s="363"/>
      <c r="T359" s="363"/>
      <c r="U359" s="363"/>
      <c r="V359" s="363"/>
      <c r="W359" s="363"/>
      <c r="X359" s="363"/>
      <c r="Y359" s="363"/>
      <c r="Z359" s="363"/>
    </row>
    <row r="360" spans="1:26" ht="13.5" customHeight="1" x14ac:dyDescent="0.2">
      <c r="A360" s="386">
        <f t="shared" si="0"/>
        <v>29</v>
      </c>
      <c r="B360" s="387">
        <f t="shared" si="5"/>
        <v>339</v>
      </c>
      <c r="C360" s="388">
        <f t="shared" si="6"/>
        <v>56431</v>
      </c>
      <c r="D360" s="389">
        <f t="shared" si="7"/>
        <v>-438839.39084404195</v>
      </c>
      <c r="E360" s="389">
        <f t="shared" si="1"/>
        <v>-2468.4715734977362</v>
      </c>
      <c r="F360" s="389">
        <f t="shared" si="2"/>
        <v>12858.903614919889</v>
      </c>
      <c r="G360" s="389">
        <f t="shared" si="3"/>
        <v>-451698.29445896181</v>
      </c>
      <c r="H360" s="389">
        <f t="shared" si="4"/>
        <v>1563231.7985890179</v>
      </c>
      <c r="I360" s="363"/>
      <c r="J360" s="363"/>
      <c r="K360" s="363"/>
      <c r="L360" s="363"/>
      <c r="M360" s="363"/>
      <c r="N360" s="363"/>
      <c r="O360" s="363"/>
      <c r="P360" s="363"/>
      <c r="Q360" s="363"/>
      <c r="R360" s="363"/>
      <c r="S360" s="363"/>
      <c r="T360" s="363"/>
      <c r="U360" s="363"/>
      <c r="V360" s="363"/>
      <c r="W360" s="363"/>
      <c r="X360" s="363"/>
      <c r="Y360" s="363"/>
      <c r="Z360" s="363"/>
    </row>
    <row r="361" spans="1:26" ht="13.5" customHeight="1" x14ac:dyDescent="0.2">
      <c r="A361" s="386">
        <f t="shared" si="0"/>
        <v>29</v>
      </c>
      <c r="B361" s="387">
        <f t="shared" si="5"/>
        <v>340</v>
      </c>
      <c r="C361" s="388">
        <f t="shared" si="6"/>
        <v>56462</v>
      </c>
      <c r="D361" s="389">
        <f t="shared" si="7"/>
        <v>-451698.29445896181</v>
      </c>
      <c r="E361" s="389">
        <f t="shared" si="1"/>
        <v>-2540.8029063316603</v>
      </c>
      <c r="F361" s="389">
        <f t="shared" si="2"/>
        <v>12931.234947753814</v>
      </c>
      <c r="G361" s="389">
        <f t="shared" si="3"/>
        <v>-464629.52940671565</v>
      </c>
      <c r="H361" s="389">
        <f t="shared" si="4"/>
        <v>1560690.9956826863</v>
      </c>
      <c r="I361" s="363"/>
      <c r="J361" s="363"/>
      <c r="K361" s="363"/>
      <c r="L361" s="363"/>
      <c r="M361" s="363"/>
      <c r="N361" s="363"/>
      <c r="O361" s="363"/>
      <c r="P361" s="363"/>
      <c r="Q361" s="363"/>
      <c r="R361" s="363"/>
      <c r="S361" s="363"/>
      <c r="T361" s="363"/>
      <c r="U361" s="363"/>
      <c r="V361" s="363"/>
      <c r="W361" s="363"/>
      <c r="X361" s="363"/>
      <c r="Y361" s="363"/>
      <c r="Z361" s="363"/>
    </row>
    <row r="362" spans="1:26" ht="13.5" customHeight="1" x14ac:dyDescent="0.2">
      <c r="A362" s="386">
        <f t="shared" si="0"/>
        <v>29</v>
      </c>
      <c r="B362" s="387">
        <f t="shared" si="5"/>
        <v>341</v>
      </c>
      <c r="C362" s="388">
        <f t="shared" si="6"/>
        <v>56493</v>
      </c>
      <c r="D362" s="389">
        <f t="shared" si="7"/>
        <v>-464629.52940671565</v>
      </c>
      <c r="E362" s="389">
        <f t="shared" si="1"/>
        <v>-2613.5411029127758</v>
      </c>
      <c r="F362" s="389">
        <f t="shared" si="2"/>
        <v>13003.973144334928</v>
      </c>
      <c r="G362" s="389">
        <f t="shared" si="3"/>
        <v>-477633.50255105057</v>
      </c>
      <c r="H362" s="389">
        <f t="shared" si="4"/>
        <v>1558077.4545797736</v>
      </c>
      <c r="I362" s="363"/>
      <c r="J362" s="363"/>
      <c r="K362" s="363"/>
      <c r="L362" s="363"/>
      <c r="M362" s="363"/>
      <c r="N362" s="363"/>
      <c r="O362" s="363"/>
      <c r="P362" s="363"/>
      <c r="Q362" s="363"/>
      <c r="R362" s="363"/>
      <c r="S362" s="363"/>
      <c r="T362" s="363"/>
      <c r="U362" s="363"/>
      <c r="V362" s="363"/>
      <c r="W362" s="363"/>
      <c r="X362" s="363"/>
      <c r="Y362" s="363"/>
      <c r="Z362" s="363"/>
    </row>
    <row r="363" spans="1:26" ht="13.5" customHeight="1" x14ac:dyDescent="0.2">
      <c r="A363" s="386">
        <f t="shared" si="0"/>
        <v>29</v>
      </c>
      <c r="B363" s="387">
        <f t="shared" si="5"/>
        <v>342</v>
      </c>
      <c r="C363" s="388">
        <f t="shared" si="6"/>
        <v>56523</v>
      </c>
      <c r="D363" s="389">
        <f t="shared" si="7"/>
        <v>-477633.50255105057</v>
      </c>
      <c r="E363" s="389">
        <f t="shared" si="1"/>
        <v>-2686.6884518496595</v>
      </c>
      <c r="F363" s="389">
        <f t="shared" si="2"/>
        <v>13077.120493271812</v>
      </c>
      <c r="G363" s="389">
        <f t="shared" si="3"/>
        <v>-490710.62304432236</v>
      </c>
      <c r="H363" s="389">
        <f t="shared" si="4"/>
        <v>1555390.766127924</v>
      </c>
      <c r="I363" s="363"/>
      <c r="J363" s="363"/>
      <c r="K363" s="363"/>
      <c r="L363" s="363"/>
      <c r="M363" s="363"/>
      <c r="N363" s="363"/>
      <c r="O363" s="363"/>
      <c r="P363" s="363"/>
      <c r="Q363" s="363"/>
      <c r="R363" s="363"/>
      <c r="S363" s="363"/>
      <c r="T363" s="363"/>
      <c r="U363" s="363"/>
      <c r="V363" s="363"/>
      <c r="W363" s="363"/>
      <c r="X363" s="363"/>
      <c r="Y363" s="363"/>
      <c r="Z363" s="363"/>
    </row>
    <row r="364" spans="1:26" ht="13.5" customHeight="1" x14ac:dyDescent="0.2">
      <c r="A364" s="386">
        <f t="shared" si="0"/>
        <v>29</v>
      </c>
      <c r="B364" s="387">
        <f t="shared" si="5"/>
        <v>343</v>
      </c>
      <c r="C364" s="388">
        <f t="shared" si="6"/>
        <v>56554</v>
      </c>
      <c r="D364" s="389">
        <f t="shared" si="7"/>
        <v>-490710.62304432236</v>
      </c>
      <c r="E364" s="389">
        <f t="shared" si="1"/>
        <v>-2760.2472546243134</v>
      </c>
      <c r="F364" s="389">
        <f t="shared" si="2"/>
        <v>13150.679296046466</v>
      </c>
      <c r="G364" s="389">
        <f t="shared" si="3"/>
        <v>-503861.30234036886</v>
      </c>
      <c r="H364" s="389">
        <f t="shared" si="4"/>
        <v>1552630.5188732997</v>
      </c>
      <c r="I364" s="363"/>
      <c r="J364" s="363"/>
      <c r="K364" s="363"/>
      <c r="L364" s="363"/>
      <c r="M364" s="363"/>
      <c r="N364" s="363"/>
      <c r="O364" s="363"/>
      <c r="P364" s="363"/>
      <c r="Q364" s="363"/>
      <c r="R364" s="363"/>
      <c r="S364" s="363"/>
      <c r="T364" s="363"/>
      <c r="U364" s="363"/>
      <c r="V364" s="363"/>
      <c r="W364" s="363"/>
      <c r="X364" s="363"/>
      <c r="Y364" s="363"/>
      <c r="Z364" s="363"/>
    </row>
    <row r="365" spans="1:26" ht="13.5" customHeight="1" x14ac:dyDescent="0.2">
      <c r="A365" s="386">
        <f t="shared" si="0"/>
        <v>29</v>
      </c>
      <c r="B365" s="387">
        <f t="shared" si="5"/>
        <v>344</v>
      </c>
      <c r="C365" s="388">
        <f t="shared" si="6"/>
        <v>56584</v>
      </c>
      <c r="D365" s="389">
        <f t="shared" si="7"/>
        <v>-503861.30234036886</v>
      </c>
      <c r="E365" s="389">
        <f t="shared" si="1"/>
        <v>-2834.2198256645752</v>
      </c>
      <c r="F365" s="389">
        <f t="shared" si="2"/>
        <v>13224.651867086728</v>
      </c>
      <c r="G365" s="389">
        <f t="shared" si="3"/>
        <v>-517085.95420745556</v>
      </c>
      <c r="H365" s="389">
        <f t="shared" si="4"/>
        <v>1549796.2990476352</v>
      </c>
      <c r="I365" s="363"/>
      <c r="J365" s="363"/>
      <c r="K365" s="363"/>
      <c r="L365" s="363"/>
      <c r="M365" s="363"/>
      <c r="N365" s="363"/>
      <c r="O365" s="363"/>
      <c r="P365" s="363"/>
      <c r="Q365" s="363"/>
      <c r="R365" s="363"/>
      <c r="S365" s="363"/>
      <c r="T365" s="363"/>
      <c r="U365" s="363"/>
      <c r="V365" s="363"/>
      <c r="W365" s="363"/>
      <c r="X365" s="363"/>
      <c r="Y365" s="363"/>
      <c r="Z365" s="363"/>
    </row>
    <row r="366" spans="1:26" ht="13.5" customHeight="1" x14ac:dyDescent="0.2">
      <c r="A366" s="386">
        <f t="shared" si="0"/>
        <v>29</v>
      </c>
      <c r="B366" s="387">
        <f t="shared" si="5"/>
        <v>345</v>
      </c>
      <c r="C366" s="388">
        <f t="shared" si="6"/>
        <v>56615</v>
      </c>
      <c r="D366" s="389">
        <f t="shared" si="7"/>
        <v>-517085.95420745556</v>
      </c>
      <c r="E366" s="389">
        <f t="shared" si="1"/>
        <v>-2908.6084924169377</v>
      </c>
      <c r="F366" s="389">
        <f t="shared" si="2"/>
        <v>13299.04053383909</v>
      </c>
      <c r="G366" s="389">
        <f t="shared" si="3"/>
        <v>-530384.99474129465</v>
      </c>
      <c r="H366" s="389">
        <f t="shared" si="4"/>
        <v>1546887.6905552181</v>
      </c>
      <c r="I366" s="363"/>
      <c r="J366" s="363"/>
      <c r="K366" s="363"/>
      <c r="L366" s="363"/>
      <c r="M366" s="363"/>
      <c r="N366" s="363"/>
      <c r="O366" s="363"/>
      <c r="P366" s="363"/>
      <c r="Q366" s="363"/>
      <c r="R366" s="363"/>
      <c r="S366" s="363"/>
      <c r="T366" s="363"/>
      <c r="U366" s="363"/>
      <c r="V366" s="363"/>
      <c r="W366" s="363"/>
      <c r="X366" s="363"/>
      <c r="Y366" s="363"/>
      <c r="Z366" s="363"/>
    </row>
    <row r="367" spans="1:26" ht="13.5" customHeight="1" x14ac:dyDescent="0.2">
      <c r="A367" s="386">
        <f t="shared" si="0"/>
        <v>29</v>
      </c>
      <c r="B367" s="387">
        <f t="shared" si="5"/>
        <v>346</v>
      </c>
      <c r="C367" s="388">
        <f t="shared" si="6"/>
        <v>56646</v>
      </c>
      <c r="D367" s="389">
        <f t="shared" si="7"/>
        <v>-530384.99474129465</v>
      </c>
      <c r="E367" s="389">
        <f t="shared" si="1"/>
        <v>-2983.4155954197827</v>
      </c>
      <c r="F367" s="389">
        <f t="shared" si="2"/>
        <v>13373.847636841936</v>
      </c>
      <c r="G367" s="389">
        <f t="shared" si="3"/>
        <v>-543758.84237813659</v>
      </c>
      <c r="H367" s="389">
        <f t="shared" si="4"/>
        <v>1543904.2749597984</v>
      </c>
      <c r="I367" s="363"/>
      <c r="J367" s="363"/>
      <c r="K367" s="363"/>
      <c r="L367" s="363"/>
      <c r="M367" s="363"/>
      <c r="N367" s="363"/>
      <c r="O367" s="363"/>
      <c r="P367" s="363"/>
      <c r="Q367" s="363"/>
      <c r="R367" s="363"/>
      <c r="S367" s="363"/>
      <c r="T367" s="363"/>
      <c r="U367" s="363"/>
      <c r="V367" s="363"/>
      <c r="W367" s="363"/>
      <c r="X367" s="363"/>
      <c r="Y367" s="363"/>
      <c r="Z367" s="363"/>
    </row>
    <row r="368" spans="1:26" ht="13.5" customHeight="1" x14ac:dyDescent="0.2">
      <c r="A368" s="386">
        <f t="shared" si="0"/>
        <v>29</v>
      </c>
      <c r="B368" s="387">
        <f t="shared" si="5"/>
        <v>347</v>
      </c>
      <c r="C368" s="388">
        <f t="shared" si="6"/>
        <v>56674</v>
      </c>
      <c r="D368" s="389">
        <f t="shared" si="7"/>
        <v>-543758.84237813659</v>
      </c>
      <c r="E368" s="389">
        <f t="shared" si="1"/>
        <v>-3058.6434883770185</v>
      </c>
      <c r="F368" s="389">
        <f t="shared" si="2"/>
        <v>13449.075529799171</v>
      </c>
      <c r="G368" s="389">
        <f t="shared" si="3"/>
        <v>-557207.9179079358</v>
      </c>
      <c r="H368" s="389">
        <f t="shared" si="4"/>
        <v>1540845.6314714213</v>
      </c>
      <c r="I368" s="363"/>
      <c r="J368" s="363"/>
      <c r="K368" s="363"/>
      <c r="L368" s="363"/>
      <c r="M368" s="363"/>
      <c r="N368" s="363"/>
      <c r="O368" s="363"/>
      <c r="P368" s="363"/>
      <c r="Q368" s="363"/>
      <c r="R368" s="363"/>
      <c r="S368" s="363"/>
      <c r="T368" s="363"/>
      <c r="U368" s="363"/>
      <c r="V368" s="363"/>
      <c r="W368" s="363"/>
      <c r="X368" s="363"/>
      <c r="Y368" s="363"/>
      <c r="Z368" s="363"/>
    </row>
    <row r="369" spans="1:26" ht="13.5" customHeight="1" x14ac:dyDescent="0.2">
      <c r="A369" s="386">
        <f t="shared" si="0"/>
        <v>29</v>
      </c>
      <c r="B369" s="387">
        <f t="shared" si="5"/>
        <v>348</v>
      </c>
      <c r="C369" s="388">
        <f t="shared" si="6"/>
        <v>56705</v>
      </c>
      <c r="D369" s="389">
        <f t="shared" si="7"/>
        <v>-557207.9179079358</v>
      </c>
      <c r="E369" s="389">
        <f t="shared" si="1"/>
        <v>-3134.2945382321391</v>
      </c>
      <c r="F369" s="389">
        <f t="shared" si="2"/>
        <v>13524.726579654292</v>
      </c>
      <c r="G369" s="389">
        <f t="shared" si="3"/>
        <v>-570732.64448759006</v>
      </c>
      <c r="H369" s="389">
        <f t="shared" si="4"/>
        <v>1537711.3369331893</v>
      </c>
      <c r="I369" s="363"/>
      <c r="J369" s="363"/>
      <c r="K369" s="363"/>
      <c r="L369" s="363"/>
      <c r="M369" s="363"/>
      <c r="N369" s="363"/>
      <c r="O369" s="363"/>
      <c r="P369" s="363"/>
      <c r="Q369" s="363"/>
      <c r="R369" s="363"/>
      <c r="S369" s="363"/>
      <c r="T369" s="363"/>
      <c r="U369" s="363"/>
      <c r="V369" s="363"/>
      <c r="W369" s="363"/>
      <c r="X369" s="363"/>
      <c r="Y369" s="363"/>
      <c r="Z369" s="363"/>
    </row>
    <row r="370" spans="1:26" ht="13.5" customHeight="1" x14ac:dyDescent="0.2">
      <c r="A370" s="386">
        <f t="shared" si="0"/>
        <v>30</v>
      </c>
      <c r="B370" s="387">
        <f t="shared" si="5"/>
        <v>349</v>
      </c>
      <c r="C370" s="388">
        <f t="shared" si="6"/>
        <v>56735</v>
      </c>
      <c r="D370" s="389">
        <f t="shared" si="7"/>
        <v>-570732.64448759006</v>
      </c>
      <c r="E370" s="389">
        <f t="shared" si="1"/>
        <v>-3210.3711252426942</v>
      </c>
      <c r="F370" s="389">
        <f t="shared" si="2"/>
        <v>13600.803166664848</v>
      </c>
      <c r="G370" s="389">
        <f t="shared" si="3"/>
        <v>-584333.44765425497</v>
      </c>
      <c r="H370" s="389">
        <f t="shared" si="4"/>
        <v>1534500.9658079466</v>
      </c>
      <c r="I370" s="363"/>
      <c r="J370" s="363"/>
      <c r="K370" s="363"/>
      <c r="L370" s="363"/>
      <c r="M370" s="363"/>
      <c r="N370" s="363"/>
      <c r="O370" s="363"/>
      <c r="P370" s="363"/>
      <c r="Q370" s="363"/>
      <c r="R370" s="363"/>
      <c r="S370" s="363"/>
      <c r="T370" s="363"/>
      <c r="U370" s="363"/>
      <c r="V370" s="363"/>
      <c r="W370" s="363"/>
      <c r="X370" s="363"/>
      <c r="Y370" s="363"/>
      <c r="Z370" s="363"/>
    </row>
    <row r="371" spans="1:26" ht="13.5" customHeight="1" x14ac:dyDescent="0.2">
      <c r="A371" s="386">
        <f t="shared" si="0"/>
        <v>30</v>
      </c>
      <c r="B371" s="387">
        <f t="shared" si="5"/>
        <v>350</v>
      </c>
      <c r="C371" s="388">
        <f t="shared" si="6"/>
        <v>56766</v>
      </c>
      <c r="D371" s="389">
        <f t="shared" si="7"/>
        <v>-584333.44765425497</v>
      </c>
      <c r="E371" s="389">
        <f t="shared" si="1"/>
        <v>-3286.8756430551844</v>
      </c>
      <c r="F371" s="389">
        <f t="shared" si="2"/>
        <v>13677.307684477337</v>
      </c>
      <c r="G371" s="389">
        <f t="shared" si="3"/>
        <v>-598010.75533873227</v>
      </c>
      <c r="H371" s="389">
        <f t="shared" si="4"/>
        <v>1531214.0901648914</v>
      </c>
      <c r="I371" s="363"/>
      <c r="J371" s="363"/>
      <c r="K371" s="363"/>
      <c r="L371" s="363"/>
      <c r="M371" s="363"/>
      <c r="N371" s="363"/>
      <c r="O371" s="363"/>
      <c r="P371" s="363"/>
      <c r="Q371" s="363"/>
      <c r="R371" s="363"/>
      <c r="S371" s="363"/>
      <c r="T371" s="363"/>
      <c r="U371" s="363"/>
      <c r="V371" s="363"/>
      <c r="W371" s="363"/>
      <c r="X371" s="363"/>
      <c r="Y371" s="363"/>
      <c r="Z371" s="363"/>
    </row>
    <row r="372" spans="1:26" ht="13.5" customHeight="1" x14ac:dyDescent="0.2">
      <c r="A372" s="386">
        <f t="shared" si="0"/>
        <v>30</v>
      </c>
      <c r="B372" s="387">
        <f t="shared" si="5"/>
        <v>351</v>
      </c>
      <c r="C372" s="388">
        <f t="shared" si="6"/>
        <v>56796</v>
      </c>
      <c r="D372" s="389">
        <f t="shared" si="7"/>
        <v>-598010.75533873227</v>
      </c>
      <c r="E372" s="389">
        <f t="shared" si="1"/>
        <v>-3363.810498780369</v>
      </c>
      <c r="F372" s="389">
        <f t="shared" si="2"/>
        <v>13754.242540202522</v>
      </c>
      <c r="G372" s="389">
        <f t="shared" si="3"/>
        <v>-611764.99787893484</v>
      </c>
      <c r="H372" s="389">
        <f t="shared" si="4"/>
        <v>1527850.2796661111</v>
      </c>
      <c r="I372" s="363"/>
      <c r="J372" s="363"/>
      <c r="K372" s="363"/>
      <c r="L372" s="363"/>
      <c r="M372" s="363"/>
      <c r="N372" s="363"/>
      <c r="O372" s="363"/>
      <c r="P372" s="363"/>
      <c r="Q372" s="363"/>
      <c r="R372" s="363"/>
      <c r="S372" s="363"/>
      <c r="T372" s="363"/>
      <c r="U372" s="363"/>
      <c r="V372" s="363"/>
      <c r="W372" s="363"/>
      <c r="X372" s="363"/>
      <c r="Y372" s="363"/>
      <c r="Z372" s="363"/>
    </row>
    <row r="373" spans="1:26" ht="13.5" customHeight="1" x14ac:dyDescent="0.2">
      <c r="A373" s="386">
        <f t="shared" si="0"/>
        <v>30</v>
      </c>
      <c r="B373" s="387">
        <f t="shared" si="5"/>
        <v>352</v>
      </c>
      <c r="C373" s="388">
        <f t="shared" si="6"/>
        <v>56827</v>
      </c>
      <c r="D373" s="389">
        <f t="shared" si="7"/>
        <v>-611764.99787893484</v>
      </c>
      <c r="E373" s="389">
        <f t="shared" si="1"/>
        <v>-3441.1781130690088</v>
      </c>
      <c r="F373" s="389">
        <f t="shared" si="2"/>
        <v>13831.610154491162</v>
      </c>
      <c r="G373" s="389">
        <f t="shared" si="3"/>
        <v>-625596.60803342599</v>
      </c>
      <c r="H373" s="389">
        <f t="shared" si="4"/>
        <v>1524409.1015530422</v>
      </c>
      <c r="I373" s="363"/>
      <c r="J373" s="363"/>
      <c r="K373" s="363"/>
      <c r="L373" s="363"/>
      <c r="M373" s="363"/>
      <c r="N373" s="363"/>
      <c r="O373" s="363"/>
      <c r="P373" s="363"/>
      <c r="Q373" s="363"/>
      <c r="R373" s="363"/>
      <c r="S373" s="363"/>
      <c r="T373" s="363"/>
      <c r="U373" s="363"/>
      <c r="V373" s="363"/>
      <c r="W373" s="363"/>
      <c r="X373" s="363"/>
      <c r="Y373" s="363"/>
      <c r="Z373" s="363"/>
    </row>
    <row r="374" spans="1:26" ht="13.5" customHeight="1" x14ac:dyDescent="0.2">
      <c r="A374" s="386">
        <f t="shared" si="0"/>
        <v>30</v>
      </c>
      <c r="B374" s="387">
        <f t="shared" si="5"/>
        <v>353</v>
      </c>
      <c r="C374" s="388">
        <f t="shared" si="6"/>
        <v>56858</v>
      </c>
      <c r="D374" s="389">
        <f t="shared" si="7"/>
        <v>-625596.60803342599</v>
      </c>
      <c r="E374" s="389">
        <f t="shared" si="1"/>
        <v>-3518.9809201880216</v>
      </c>
      <c r="F374" s="389">
        <f t="shared" si="2"/>
        <v>13909.412961610175</v>
      </c>
      <c r="G374" s="389">
        <f t="shared" si="3"/>
        <v>-639506.02099503612</v>
      </c>
      <c r="H374" s="389">
        <f t="shared" si="4"/>
        <v>1520890.1206328541</v>
      </c>
      <c r="I374" s="363"/>
      <c r="J374" s="363"/>
      <c r="K374" s="363"/>
      <c r="L374" s="363"/>
      <c r="M374" s="363"/>
      <c r="N374" s="363"/>
      <c r="O374" s="363"/>
      <c r="P374" s="363"/>
      <c r="Q374" s="363"/>
      <c r="R374" s="363"/>
      <c r="S374" s="363"/>
      <c r="T374" s="363"/>
      <c r="U374" s="363"/>
      <c r="V374" s="363"/>
      <c r="W374" s="363"/>
      <c r="X374" s="363"/>
      <c r="Y374" s="363"/>
      <c r="Z374" s="363"/>
    </row>
    <row r="375" spans="1:26" ht="13.5" customHeight="1" x14ac:dyDescent="0.2">
      <c r="A375" s="386">
        <f t="shared" si="0"/>
        <v>30</v>
      </c>
      <c r="B375" s="387">
        <f t="shared" si="5"/>
        <v>354</v>
      </c>
      <c r="C375" s="388">
        <f t="shared" si="6"/>
        <v>56888</v>
      </c>
      <c r="D375" s="389">
        <f t="shared" si="7"/>
        <v>-639506.02099503612</v>
      </c>
      <c r="E375" s="389">
        <f t="shared" si="1"/>
        <v>-3597.2213680970785</v>
      </c>
      <c r="F375" s="389">
        <f t="shared" si="2"/>
        <v>13987.653409519231</v>
      </c>
      <c r="G375" s="389">
        <f t="shared" si="3"/>
        <v>-653493.67440455535</v>
      </c>
      <c r="H375" s="389">
        <f t="shared" si="4"/>
        <v>1517292.8992647571</v>
      </c>
      <c r="I375" s="363"/>
      <c r="J375" s="363"/>
      <c r="K375" s="363"/>
      <c r="L375" s="363"/>
      <c r="M375" s="363"/>
      <c r="N375" s="363"/>
      <c r="O375" s="363"/>
      <c r="P375" s="363"/>
      <c r="Q375" s="363"/>
      <c r="R375" s="363"/>
      <c r="S375" s="363"/>
      <c r="T375" s="363"/>
      <c r="U375" s="363"/>
      <c r="V375" s="363"/>
      <c r="W375" s="363"/>
      <c r="X375" s="363"/>
      <c r="Y375" s="363"/>
      <c r="Z375" s="363"/>
    </row>
    <row r="376" spans="1:26" ht="13.5" customHeight="1" x14ac:dyDescent="0.2">
      <c r="A376" s="386">
        <f t="shared" si="0"/>
        <v>30</v>
      </c>
      <c r="B376" s="387">
        <f t="shared" si="5"/>
        <v>355</v>
      </c>
      <c r="C376" s="388">
        <f t="shared" si="6"/>
        <v>56919</v>
      </c>
      <c r="D376" s="389">
        <f t="shared" si="7"/>
        <v>-653493.67440455535</v>
      </c>
      <c r="E376" s="389">
        <f t="shared" si="1"/>
        <v>-3675.9019185256238</v>
      </c>
      <c r="F376" s="389">
        <f t="shared" si="2"/>
        <v>14066.333959947777</v>
      </c>
      <c r="G376" s="389">
        <f t="shared" si="3"/>
        <v>-667560.00836450316</v>
      </c>
      <c r="H376" s="389">
        <f t="shared" si="4"/>
        <v>1513616.9973462315</v>
      </c>
      <c r="I376" s="363"/>
      <c r="J376" s="363"/>
      <c r="K376" s="363"/>
      <c r="L376" s="363"/>
      <c r="M376" s="363"/>
      <c r="N376" s="363"/>
      <c r="O376" s="363"/>
      <c r="P376" s="363"/>
      <c r="Q376" s="363"/>
      <c r="R376" s="363"/>
      <c r="S376" s="363"/>
      <c r="T376" s="363"/>
      <c r="U376" s="363"/>
      <c r="V376" s="363"/>
      <c r="W376" s="363"/>
      <c r="X376" s="363"/>
      <c r="Y376" s="363"/>
      <c r="Z376" s="363"/>
    </row>
    <row r="377" spans="1:26" ht="13.5" customHeight="1" x14ac:dyDescent="0.2">
      <c r="A377" s="386">
        <f t="shared" si="0"/>
        <v>30</v>
      </c>
      <c r="B377" s="387">
        <f t="shared" si="5"/>
        <v>356</v>
      </c>
      <c r="C377" s="388">
        <f t="shared" si="6"/>
        <v>56949</v>
      </c>
      <c r="D377" s="389">
        <f t="shared" si="7"/>
        <v>-667560.00836450316</v>
      </c>
      <c r="E377" s="389">
        <f t="shared" si="1"/>
        <v>-3755.0250470503306</v>
      </c>
      <c r="F377" s="389">
        <f t="shared" si="2"/>
        <v>14145.457088472484</v>
      </c>
      <c r="G377" s="389">
        <f t="shared" si="3"/>
        <v>-681705.46545297559</v>
      </c>
      <c r="H377" s="389">
        <f t="shared" si="4"/>
        <v>1509861.9722991812</v>
      </c>
      <c r="I377" s="363"/>
      <c r="J377" s="363"/>
      <c r="K377" s="363"/>
      <c r="L377" s="363"/>
      <c r="M377" s="363"/>
      <c r="N377" s="363"/>
      <c r="O377" s="363"/>
      <c r="P377" s="363"/>
      <c r="Q377" s="363"/>
      <c r="R377" s="363"/>
      <c r="S377" s="363"/>
      <c r="T377" s="363"/>
      <c r="U377" s="363"/>
      <c r="V377" s="363"/>
      <c r="W377" s="363"/>
      <c r="X377" s="363"/>
      <c r="Y377" s="363"/>
      <c r="Z377" s="363"/>
    </row>
    <row r="378" spans="1:26" ht="13.5" customHeight="1" x14ac:dyDescent="0.2">
      <c r="A378" s="386">
        <f t="shared" si="0"/>
        <v>30</v>
      </c>
      <c r="B378" s="387">
        <f t="shared" si="5"/>
        <v>357</v>
      </c>
      <c r="C378" s="388">
        <f t="shared" si="6"/>
        <v>56980</v>
      </c>
      <c r="D378" s="389">
        <f t="shared" si="7"/>
        <v>-681705.46545297559</v>
      </c>
      <c r="E378" s="389">
        <f t="shared" si="1"/>
        <v>-3834.5932431729875</v>
      </c>
      <c r="F378" s="389">
        <f t="shared" si="2"/>
        <v>14225.02528459514</v>
      </c>
      <c r="G378" s="389">
        <f t="shared" si="3"/>
        <v>-695930.49073757068</v>
      </c>
      <c r="H378" s="389">
        <f t="shared" si="4"/>
        <v>1506027.3790560081</v>
      </c>
      <c r="I378" s="363"/>
      <c r="J378" s="363"/>
      <c r="K378" s="363"/>
      <c r="L378" s="363"/>
      <c r="M378" s="363"/>
      <c r="N378" s="363"/>
      <c r="O378" s="363"/>
      <c r="P378" s="363"/>
      <c r="Q378" s="363"/>
      <c r="R378" s="363"/>
      <c r="S378" s="363"/>
      <c r="T378" s="363"/>
      <c r="U378" s="363"/>
      <c r="V378" s="363"/>
      <c r="W378" s="363"/>
      <c r="X378" s="363"/>
      <c r="Y378" s="363"/>
      <c r="Z378" s="363"/>
    </row>
    <row r="379" spans="1:26" ht="13.5" customHeight="1" x14ac:dyDescent="0.2">
      <c r="A379" s="386">
        <f t="shared" si="0"/>
        <v>30</v>
      </c>
      <c r="B379" s="387">
        <f t="shared" si="5"/>
        <v>358</v>
      </c>
      <c r="C379" s="388">
        <f t="shared" si="6"/>
        <v>57011</v>
      </c>
      <c r="D379" s="389">
        <f t="shared" si="7"/>
        <v>-695930.49073757068</v>
      </c>
      <c r="E379" s="389">
        <f t="shared" si="1"/>
        <v>-3914.6090103988354</v>
      </c>
      <c r="F379" s="389">
        <f t="shared" si="2"/>
        <v>14305.041051820988</v>
      </c>
      <c r="G379" s="389">
        <f t="shared" si="3"/>
        <v>-710235.53178939165</v>
      </c>
      <c r="H379" s="389">
        <f t="shared" si="4"/>
        <v>1502112.7700456092</v>
      </c>
      <c r="I379" s="363"/>
      <c r="J379" s="363"/>
      <c r="K379" s="363"/>
      <c r="L379" s="363"/>
      <c r="M379" s="363"/>
      <c r="N379" s="363"/>
      <c r="O379" s="363"/>
      <c r="P379" s="363"/>
      <c r="Q379" s="363"/>
      <c r="R379" s="363"/>
      <c r="S379" s="363"/>
      <c r="T379" s="363"/>
      <c r="U379" s="363"/>
      <c r="V379" s="363"/>
      <c r="W379" s="363"/>
      <c r="X379" s="363"/>
      <c r="Y379" s="363"/>
      <c r="Z379" s="363"/>
    </row>
    <row r="380" spans="1:26" ht="13.5" customHeight="1" x14ac:dyDescent="0.2">
      <c r="A380" s="386">
        <f t="shared" si="0"/>
        <v>30</v>
      </c>
      <c r="B380" s="387">
        <f t="shared" si="5"/>
        <v>359</v>
      </c>
      <c r="C380" s="388">
        <f t="shared" si="6"/>
        <v>57040</v>
      </c>
      <c r="D380" s="389">
        <f t="shared" si="7"/>
        <v>-710235.53178939165</v>
      </c>
      <c r="E380" s="389">
        <f t="shared" si="1"/>
        <v>-3995.0748663153281</v>
      </c>
      <c r="F380" s="389">
        <f t="shared" si="2"/>
        <v>14385.506907737481</v>
      </c>
      <c r="G380" s="389">
        <f t="shared" si="3"/>
        <v>-724621.03869712912</v>
      </c>
      <c r="H380" s="389">
        <f t="shared" si="4"/>
        <v>1498117.6951792939</v>
      </c>
      <c r="I380" s="363"/>
      <c r="J380" s="363"/>
      <c r="K380" s="363"/>
      <c r="L380" s="363"/>
      <c r="M380" s="363"/>
      <c r="N380" s="363"/>
      <c r="O380" s="363"/>
      <c r="P380" s="363"/>
      <c r="Q380" s="363"/>
      <c r="R380" s="363"/>
      <c r="S380" s="363"/>
      <c r="T380" s="363"/>
      <c r="U380" s="363"/>
      <c r="V380" s="363"/>
      <c r="W380" s="363"/>
      <c r="X380" s="363"/>
      <c r="Y380" s="363"/>
      <c r="Z380" s="363"/>
    </row>
    <row r="381" spans="1:26" ht="13.5" customHeight="1" x14ac:dyDescent="0.2">
      <c r="A381" s="386">
        <f t="shared" si="0"/>
        <v>30</v>
      </c>
      <c r="B381" s="387">
        <f t="shared" si="5"/>
        <v>360</v>
      </c>
      <c r="C381" s="388">
        <f t="shared" si="6"/>
        <v>57071</v>
      </c>
      <c r="D381" s="389">
        <f t="shared" si="7"/>
        <v>-724621.03869712912</v>
      </c>
      <c r="E381" s="389">
        <f t="shared" si="1"/>
        <v>-4075.9933426713519</v>
      </c>
      <c r="F381" s="389">
        <f t="shared" si="2"/>
        <v>14466.425384093505</v>
      </c>
      <c r="G381" s="389">
        <f t="shared" si="3"/>
        <v>-739087.46408122266</v>
      </c>
      <c r="H381" s="389">
        <f t="shared" si="4"/>
        <v>1494041.7018366226</v>
      </c>
      <c r="I381" s="363"/>
      <c r="J381" s="363"/>
      <c r="K381" s="363"/>
      <c r="L381" s="363"/>
      <c r="M381" s="363"/>
      <c r="N381" s="363"/>
      <c r="O381" s="363"/>
      <c r="P381" s="363"/>
      <c r="Q381" s="363"/>
      <c r="R381" s="363"/>
      <c r="S381" s="363"/>
      <c r="T381" s="363"/>
      <c r="U381" s="363"/>
      <c r="V381" s="363"/>
      <c r="W381" s="363"/>
      <c r="X381" s="363"/>
      <c r="Y381" s="363"/>
      <c r="Z381" s="363"/>
    </row>
    <row r="382" spans="1:26" ht="13.5" customHeight="1" x14ac:dyDescent="0.2">
      <c r="A382" s="363"/>
      <c r="B382" s="363"/>
      <c r="C382" s="391" t="s">
        <v>6</v>
      </c>
      <c r="D382" s="392"/>
      <c r="E382" s="393">
        <f t="shared" ref="E382:F382" si="8">SUM(E22:E381)</f>
        <v>1494041.7018366226</v>
      </c>
      <c r="F382" s="394">
        <f t="shared" si="8"/>
        <v>2193487.4640812222</v>
      </c>
      <c r="G382" s="363"/>
      <c r="H382" s="363"/>
      <c r="I382" s="363"/>
      <c r="J382" s="363"/>
      <c r="K382" s="363"/>
      <c r="L382" s="363"/>
      <c r="M382" s="363"/>
      <c r="N382" s="363"/>
      <c r="O382" s="363"/>
      <c r="P382" s="363"/>
      <c r="Q382" s="363"/>
      <c r="R382" s="363"/>
      <c r="S382" s="363"/>
      <c r="T382" s="363"/>
      <c r="U382" s="363"/>
      <c r="V382" s="363"/>
      <c r="W382" s="363"/>
      <c r="X382" s="363"/>
      <c r="Y382" s="363"/>
      <c r="Z382" s="363"/>
    </row>
    <row r="383" spans="1:26" ht="13.5" customHeight="1" x14ac:dyDescent="0.2">
      <c r="A383" s="363"/>
      <c r="B383" s="363"/>
      <c r="C383" s="363"/>
      <c r="D383" s="363"/>
      <c r="E383" s="363"/>
      <c r="F383" s="363"/>
      <c r="G383" s="363"/>
      <c r="H383" s="363"/>
      <c r="I383" s="363"/>
      <c r="J383" s="363"/>
      <c r="K383" s="363"/>
      <c r="L383" s="363"/>
      <c r="M383" s="363"/>
      <c r="N383" s="363"/>
      <c r="O383" s="363"/>
      <c r="P383" s="363"/>
      <c r="Q383" s="363"/>
      <c r="R383" s="363"/>
      <c r="S383" s="363"/>
      <c r="T383" s="363"/>
      <c r="U383" s="363"/>
      <c r="V383" s="363"/>
      <c r="W383" s="363"/>
      <c r="X383" s="363"/>
      <c r="Y383" s="363"/>
      <c r="Z383" s="363"/>
    </row>
    <row r="384" spans="1:26" ht="13.5" customHeight="1" x14ac:dyDescent="0.2">
      <c r="A384" s="363"/>
      <c r="B384" s="363"/>
      <c r="C384" s="363"/>
      <c r="D384" s="363"/>
      <c r="E384" s="363"/>
      <c r="F384" s="363"/>
      <c r="G384" s="363"/>
      <c r="H384" s="363"/>
      <c r="I384" s="363"/>
      <c r="J384" s="363"/>
      <c r="K384" s="363"/>
      <c r="L384" s="363"/>
      <c r="M384" s="363"/>
      <c r="N384" s="363"/>
      <c r="O384" s="363"/>
      <c r="P384" s="363"/>
      <c r="Q384" s="363"/>
      <c r="R384" s="363"/>
      <c r="S384" s="363"/>
      <c r="T384" s="363"/>
      <c r="U384" s="363"/>
      <c r="V384" s="363"/>
      <c r="W384" s="363"/>
      <c r="X384" s="363"/>
      <c r="Y384" s="363"/>
      <c r="Z384" s="363"/>
    </row>
    <row r="385" spans="1:26" ht="13.5" customHeight="1" x14ac:dyDescent="0.2">
      <c r="A385" s="363"/>
      <c r="B385" s="363"/>
      <c r="C385" s="363"/>
      <c r="D385" s="363"/>
      <c r="E385" s="363"/>
      <c r="F385" s="363"/>
      <c r="G385" s="363"/>
      <c r="H385" s="363"/>
      <c r="I385" s="363"/>
      <c r="J385" s="363"/>
      <c r="K385" s="363"/>
      <c r="L385" s="363"/>
      <c r="M385" s="363"/>
      <c r="N385" s="363"/>
      <c r="O385" s="363"/>
      <c r="P385" s="363"/>
      <c r="Q385" s="363"/>
      <c r="R385" s="363"/>
      <c r="S385" s="363"/>
      <c r="T385" s="363"/>
      <c r="U385" s="363"/>
      <c r="V385" s="363"/>
      <c r="W385" s="363"/>
      <c r="X385" s="363"/>
      <c r="Y385" s="363"/>
      <c r="Z385" s="363"/>
    </row>
    <row r="386" spans="1:26" ht="13.5" customHeight="1" x14ac:dyDescent="0.2">
      <c r="A386" s="363"/>
      <c r="B386" s="363"/>
      <c r="C386" s="363"/>
      <c r="D386" s="363"/>
      <c r="E386" s="363"/>
      <c r="F386" s="363"/>
      <c r="G386" s="363"/>
      <c r="H386" s="363"/>
      <c r="I386" s="363"/>
      <c r="J386" s="363"/>
      <c r="K386" s="363"/>
      <c r="L386" s="363"/>
      <c r="M386" s="363"/>
      <c r="N386" s="363"/>
      <c r="O386" s="363"/>
      <c r="P386" s="363"/>
      <c r="Q386" s="363"/>
      <c r="R386" s="363"/>
      <c r="S386" s="363"/>
      <c r="T386" s="363"/>
      <c r="U386" s="363"/>
      <c r="V386" s="363"/>
      <c r="W386" s="363"/>
      <c r="X386" s="363"/>
      <c r="Y386" s="363"/>
      <c r="Z386" s="363"/>
    </row>
    <row r="387" spans="1:26" ht="13.5" customHeight="1" x14ac:dyDescent="0.2">
      <c r="A387" s="363"/>
      <c r="B387" s="363"/>
      <c r="C387" s="363"/>
      <c r="D387" s="363"/>
      <c r="E387" s="363"/>
      <c r="F387" s="363"/>
      <c r="G387" s="363"/>
      <c r="H387" s="363"/>
      <c r="I387" s="363"/>
      <c r="J387" s="363"/>
      <c r="K387" s="363"/>
      <c r="L387" s="363"/>
      <c r="M387" s="363"/>
      <c r="N387" s="363"/>
      <c r="O387" s="363"/>
      <c r="P387" s="363"/>
      <c r="Q387" s="363"/>
      <c r="R387" s="363"/>
      <c r="S387" s="363"/>
      <c r="T387" s="363"/>
      <c r="U387" s="363"/>
      <c r="V387" s="363"/>
      <c r="W387" s="363"/>
      <c r="X387" s="363"/>
      <c r="Y387" s="363"/>
      <c r="Z387" s="363"/>
    </row>
    <row r="388" spans="1:26" ht="13.5" customHeight="1" x14ac:dyDescent="0.2">
      <c r="A388" s="363"/>
      <c r="B388" s="363"/>
      <c r="C388" s="363"/>
      <c r="D388" s="363"/>
      <c r="E388" s="363"/>
      <c r="F388" s="363"/>
      <c r="G388" s="363"/>
      <c r="H388" s="363"/>
      <c r="I388" s="363"/>
      <c r="J388" s="363"/>
      <c r="K388" s="363"/>
      <c r="L388" s="363"/>
      <c r="M388" s="363"/>
      <c r="N388" s="363"/>
      <c r="O388" s="363"/>
      <c r="P388" s="363"/>
      <c r="Q388" s="363"/>
      <c r="R388" s="363"/>
      <c r="S388" s="363"/>
      <c r="T388" s="363"/>
      <c r="U388" s="363"/>
      <c r="V388" s="363"/>
      <c r="W388" s="363"/>
      <c r="X388" s="363"/>
      <c r="Y388" s="363"/>
      <c r="Z388" s="363"/>
    </row>
    <row r="389" spans="1:26" ht="13.5" customHeight="1" x14ac:dyDescent="0.2">
      <c r="A389" s="363"/>
      <c r="B389" s="363"/>
      <c r="C389" s="363"/>
      <c r="D389" s="363"/>
      <c r="E389" s="363"/>
      <c r="F389" s="363"/>
      <c r="G389" s="363"/>
      <c r="H389" s="363"/>
      <c r="I389" s="363"/>
      <c r="J389" s="363"/>
      <c r="K389" s="363"/>
      <c r="L389" s="363"/>
      <c r="M389" s="363"/>
      <c r="N389" s="363"/>
      <c r="O389" s="363"/>
      <c r="P389" s="363"/>
      <c r="Q389" s="363"/>
      <c r="R389" s="363"/>
      <c r="S389" s="363"/>
      <c r="T389" s="363"/>
      <c r="U389" s="363"/>
      <c r="V389" s="363"/>
      <c r="W389" s="363"/>
      <c r="X389" s="363"/>
      <c r="Y389" s="363"/>
      <c r="Z389" s="363"/>
    </row>
    <row r="390" spans="1:26" ht="13.5" customHeight="1" x14ac:dyDescent="0.2">
      <c r="A390" s="363"/>
      <c r="B390" s="363"/>
      <c r="C390" s="363"/>
      <c r="D390" s="363"/>
      <c r="E390" s="363"/>
      <c r="F390" s="363"/>
      <c r="G390" s="363"/>
      <c r="H390" s="363"/>
      <c r="I390" s="363"/>
      <c r="J390" s="363"/>
      <c r="K390" s="363"/>
      <c r="L390" s="363"/>
      <c r="M390" s="363"/>
      <c r="N390" s="363"/>
      <c r="O390" s="363"/>
      <c r="P390" s="363"/>
      <c r="Q390" s="363"/>
      <c r="R390" s="363"/>
      <c r="S390" s="363"/>
      <c r="T390" s="363"/>
      <c r="U390" s="363"/>
      <c r="V390" s="363"/>
      <c r="W390" s="363"/>
      <c r="X390" s="363"/>
      <c r="Y390" s="363"/>
      <c r="Z390" s="363"/>
    </row>
    <row r="391" spans="1:26" ht="13.5" customHeight="1" x14ac:dyDescent="0.2">
      <c r="A391" s="363"/>
      <c r="B391" s="363"/>
      <c r="C391" s="363"/>
      <c r="D391" s="363"/>
      <c r="E391" s="363"/>
      <c r="F391" s="363"/>
      <c r="G391" s="363"/>
      <c r="H391" s="363"/>
      <c r="I391" s="363"/>
      <c r="J391" s="363"/>
      <c r="K391" s="363"/>
      <c r="L391" s="363"/>
      <c r="M391" s="363"/>
      <c r="N391" s="363"/>
      <c r="O391" s="363"/>
      <c r="P391" s="363"/>
      <c r="Q391" s="363"/>
      <c r="R391" s="363"/>
      <c r="S391" s="363"/>
      <c r="T391" s="363"/>
      <c r="U391" s="363"/>
      <c r="V391" s="363"/>
      <c r="W391" s="363"/>
      <c r="X391" s="363"/>
      <c r="Y391" s="363"/>
      <c r="Z391" s="363"/>
    </row>
    <row r="392" spans="1:26" ht="13.5" customHeight="1" x14ac:dyDescent="0.2">
      <c r="A392" s="363"/>
      <c r="B392" s="363"/>
      <c r="C392" s="363"/>
      <c r="D392" s="363"/>
      <c r="E392" s="363"/>
      <c r="F392" s="363"/>
      <c r="G392" s="363"/>
      <c r="H392" s="363"/>
      <c r="I392" s="363"/>
      <c r="J392" s="363"/>
      <c r="K392" s="363"/>
      <c r="L392" s="363"/>
      <c r="M392" s="363"/>
      <c r="N392" s="363"/>
      <c r="O392" s="363"/>
      <c r="P392" s="363"/>
      <c r="Q392" s="363"/>
      <c r="R392" s="363"/>
      <c r="S392" s="363"/>
      <c r="T392" s="363"/>
      <c r="U392" s="363"/>
      <c r="V392" s="363"/>
      <c r="W392" s="363"/>
      <c r="X392" s="363"/>
      <c r="Y392" s="363"/>
      <c r="Z392" s="363"/>
    </row>
    <row r="393" spans="1:26" ht="13.5" customHeight="1" x14ac:dyDescent="0.2">
      <c r="A393" s="363"/>
      <c r="B393" s="363"/>
      <c r="C393" s="363"/>
      <c r="D393" s="363"/>
      <c r="E393" s="363"/>
      <c r="F393" s="363"/>
      <c r="G393" s="363"/>
      <c r="H393" s="363"/>
      <c r="I393" s="363"/>
      <c r="J393" s="363"/>
      <c r="K393" s="363"/>
      <c r="L393" s="363"/>
      <c r="M393" s="363"/>
      <c r="N393" s="363"/>
      <c r="O393" s="363"/>
      <c r="P393" s="363"/>
      <c r="Q393" s="363"/>
      <c r="R393" s="363"/>
      <c r="S393" s="363"/>
      <c r="T393" s="363"/>
      <c r="U393" s="363"/>
      <c r="V393" s="363"/>
      <c r="W393" s="363"/>
      <c r="X393" s="363"/>
      <c r="Y393" s="363"/>
      <c r="Z393" s="363"/>
    </row>
    <row r="394" spans="1:26" ht="13.5" customHeight="1" x14ac:dyDescent="0.2">
      <c r="A394" s="363"/>
      <c r="B394" s="363"/>
      <c r="C394" s="363"/>
      <c r="D394" s="363"/>
      <c r="E394" s="363"/>
      <c r="F394" s="363"/>
      <c r="G394" s="363"/>
      <c r="H394" s="363"/>
      <c r="I394" s="363"/>
      <c r="J394" s="363"/>
      <c r="K394" s="363"/>
      <c r="L394" s="363"/>
      <c r="M394" s="363"/>
      <c r="N394" s="363"/>
      <c r="O394" s="363"/>
      <c r="P394" s="363"/>
      <c r="Q394" s="363"/>
      <c r="R394" s="363"/>
      <c r="S394" s="363"/>
      <c r="T394" s="363"/>
      <c r="U394" s="363"/>
      <c r="V394" s="363"/>
      <c r="W394" s="363"/>
      <c r="X394" s="363"/>
      <c r="Y394" s="363"/>
      <c r="Z394" s="363"/>
    </row>
    <row r="395" spans="1:26" ht="13.5" customHeight="1" x14ac:dyDescent="0.2">
      <c r="A395" s="363"/>
      <c r="B395" s="363"/>
      <c r="C395" s="363"/>
      <c r="D395" s="363"/>
      <c r="E395" s="363"/>
      <c r="F395" s="363"/>
      <c r="G395" s="363"/>
      <c r="H395" s="363"/>
      <c r="I395" s="363"/>
      <c r="J395" s="363"/>
      <c r="K395" s="363"/>
      <c r="L395" s="363"/>
      <c r="M395" s="363"/>
      <c r="N395" s="363"/>
      <c r="O395" s="363"/>
      <c r="P395" s="363"/>
      <c r="Q395" s="363"/>
      <c r="R395" s="363"/>
      <c r="S395" s="363"/>
      <c r="T395" s="363"/>
      <c r="U395" s="363"/>
      <c r="V395" s="363"/>
      <c r="W395" s="363"/>
      <c r="X395" s="363"/>
      <c r="Y395" s="363"/>
      <c r="Z395" s="363"/>
    </row>
    <row r="396" spans="1:26" ht="13.5" customHeight="1" x14ac:dyDescent="0.2">
      <c r="A396" s="363"/>
      <c r="B396" s="363"/>
      <c r="C396" s="363"/>
      <c r="D396" s="363"/>
      <c r="E396" s="363"/>
      <c r="F396" s="363"/>
      <c r="G396" s="363"/>
      <c r="H396" s="363"/>
      <c r="I396" s="363"/>
      <c r="J396" s="363"/>
      <c r="K396" s="363"/>
      <c r="L396" s="363"/>
      <c r="M396" s="363"/>
      <c r="N396" s="363"/>
      <c r="O396" s="363"/>
      <c r="P396" s="363"/>
      <c r="Q396" s="363"/>
      <c r="R396" s="363"/>
      <c r="S396" s="363"/>
      <c r="T396" s="363"/>
      <c r="U396" s="363"/>
      <c r="V396" s="363"/>
      <c r="W396" s="363"/>
      <c r="X396" s="363"/>
      <c r="Y396" s="363"/>
      <c r="Z396" s="363"/>
    </row>
    <row r="397" spans="1:26" ht="13.5" customHeight="1" x14ac:dyDescent="0.2">
      <c r="A397" s="363"/>
      <c r="B397" s="363"/>
      <c r="C397" s="363"/>
      <c r="D397" s="363"/>
      <c r="E397" s="363"/>
      <c r="F397" s="363"/>
      <c r="G397" s="363"/>
      <c r="H397" s="363"/>
      <c r="I397" s="363"/>
      <c r="J397" s="363"/>
      <c r="K397" s="363"/>
      <c r="L397" s="363"/>
      <c r="M397" s="363"/>
      <c r="N397" s="363"/>
      <c r="O397" s="363"/>
      <c r="P397" s="363"/>
      <c r="Q397" s="363"/>
      <c r="R397" s="363"/>
      <c r="S397" s="363"/>
      <c r="T397" s="363"/>
      <c r="U397" s="363"/>
      <c r="V397" s="363"/>
      <c r="W397" s="363"/>
      <c r="X397" s="363"/>
      <c r="Y397" s="363"/>
      <c r="Z397" s="363"/>
    </row>
    <row r="398" spans="1:26" ht="13.5" customHeight="1" x14ac:dyDescent="0.2">
      <c r="A398" s="363"/>
      <c r="B398" s="363"/>
      <c r="C398" s="363"/>
      <c r="D398" s="363"/>
      <c r="E398" s="363"/>
      <c r="F398" s="363"/>
      <c r="G398" s="363"/>
      <c r="H398" s="363"/>
      <c r="I398" s="363"/>
      <c r="J398" s="363"/>
      <c r="K398" s="363"/>
      <c r="L398" s="363"/>
      <c r="M398" s="363"/>
      <c r="N398" s="363"/>
      <c r="O398" s="363"/>
      <c r="P398" s="363"/>
      <c r="Q398" s="363"/>
      <c r="R398" s="363"/>
      <c r="S398" s="363"/>
      <c r="T398" s="363"/>
      <c r="U398" s="363"/>
      <c r="V398" s="363"/>
      <c r="W398" s="363"/>
      <c r="X398" s="363"/>
      <c r="Y398" s="363"/>
      <c r="Z398" s="363"/>
    </row>
    <row r="399" spans="1:26" ht="13.5" customHeight="1" x14ac:dyDescent="0.2">
      <c r="A399" s="363"/>
      <c r="B399" s="363"/>
      <c r="C399" s="363"/>
      <c r="D399" s="363"/>
      <c r="E399" s="363"/>
      <c r="F399" s="363"/>
      <c r="G399" s="363"/>
      <c r="H399" s="363"/>
      <c r="I399" s="363"/>
      <c r="J399" s="363"/>
      <c r="K399" s="363"/>
      <c r="L399" s="363"/>
      <c r="M399" s="363"/>
      <c r="N399" s="363"/>
      <c r="O399" s="363"/>
      <c r="P399" s="363"/>
      <c r="Q399" s="363"/>
      <c r="R399" s="363"/>
      <c r="S399" s="363"/>
      <c r="T399" s="363"/>
      <c r="U399" s="363"/>
      <c r="V399" s="363"/>
      <c r="W399" s="363"/>
      <c r="X399" s="363"/>
      <c r="Y399" s="363"/>
      <c r="Z399" s="363"/>
    </row>
    <row r="400" spans="1:26" ht="13.5" customHeight="1" x14ac:dyDescent="0.2">
      <c r="A400" s="363"/>
      <c r="B400" s="363"/>
      <c r="C400" s="363"/>
      <c r="D400" s="363"/>
      <c r="E400" s="363"/>
      <c r="F400" s="363"/>
      <c r="G400" s="363"/>
      <c r="H400" s="363"/>
      <c r="I400" s="363"/>
      <c r="J400" s="363"/>
      <c r="K400" s="363"/>
      <c r="L400" s="363"/>
      <c r="M400" s="363"/>
      <c r="N400" s="363"/>
      <c r="O400" s="363"/>
      <c r="P400" s="363"/>
      <c r="Q400" s="363"/>
      <c r="R400" s="363"/>
      <c r="S400" s="363"/>
      <c r="T400" s="363"/>
      <c r="U400" s="363"/>
      <c r="V400" s="363"/>
      <c r="W400" s="363"/>
      <c r="X400" s="363"/>
      <c r="Y400" s="363"/>
      <c r="Z400" s="363"/>
    </row>
    <row r="401" spans="1:26" ht="13.5" customHeight="1" x14ac:dyDescent="0.2">
      <c r="A401" s="363"/>
      <c r="B401" s="363"/>
      <c r="C401" s="363"/>
      <c r="D401" s="363"/>
      <c r="E401" s="363"/>
      <c r="F401" s="363"/>
      <c r="G401" s="363"/>
      <c r="H401" s="363"/>
      <c r="I401" s="363"/>
      <c r="J401" s="363"/>
      <c r="K401" s="363"/>
      <c r="L401" s="363"/>
      <c r="M401" s="363"/>
      <c r="N401" s="363"/>
      <c r="O401" s="363"/>
      <c r="P401" s="363"/>
      <c r="Q401" s="363"/>
      <c r="R401" s="363"/>
      <c r="S401" s="363"/>
      <c r="T401" s="363"/>
      <c r="U401" s="363"/>
      <c r="V401" s="363"/>
      <c r="W401" s="363"/>
      <c r="X401" s="363"/>
      <c r="Y401" s="363"/>
      <c r="Z401" s="363"/>
    </row>
    <row r="402" spans="1:26" ht="13.5" customHeight="1" x14ac:dyDescent="0.2">
      <c r="A402" s="363"/>
      <c r="B402" s="363"/>
      <c r="C402" s="363"/>
      <c r="D402" s="363"/>
      <c r="E402" s="363"/>
      <c r="F402" s="363"/>
      <c r="G402" s="363"/>
      <c r="H402" s="363"/>
      <c r="I402" s="363"/>
      <c r="J402" s="363"/>
      <c r="K402" s="363"/>
      <c r="L402" s="363"/>
      <c r="M402" s="363"/>
      <c r="N402" s="363"/>
      <c r="O402" s="363"/>
      <c r="P402" s="363"/>
      <c r="Q402" s="363"/>
      <c r="R402" s="363"/>
      <c r="S402" s="363"/>
      <c r="T402" s="363"/>
      <c r="U402" s="363"/>
      <c r="V402" s="363"/>
      <c r="W402" s="363"/>
      <c r="X402" s="363"/>
      <c r="Y402" s="363"/>
      <c r="Z402" s="363"/>
    </row>
    <row r="403" spans="1:26" ht="13.5" customHeight="1" x14ac:dyDescent="0.2">
      <c r="A403" s="363"/>
      <c r="B403" s="363"/>
      <c r="C403" s="363"/>
      <c r="D403" s="363"/>
      <c r="E403" s="363"/>
      <c r="F403" s="363"/>
      <c r="G403" s="363"/>
      <c r="H403" s="363"/>
      <c r="I403" s="363"/>
      <c r="J403" s="363"/>
      <c r="K403" s="363"/>
      <c r="L403" s="363"/>
      <c r="M403" s="363"/>
      <c r="N403" s="363"/>
      <c r="O403" s="363"/>
      <c r="P403" s="363"/>
      <c r="Q403" s="363"/>
      <c r="R403" s="363"/>
      <c r="S403" s="363"/>
      <c r="T403" s="363"/>
      <c r="U403" s="363"/>
      <c r="V403" s="363"/>
      <c r="W403" s="363"/>
      <c r="X403" s="363"/>
      <c r="Y403" s="363"/>
      <c r="Z403" s="363"/>
    </row>
    <row r="404" spans="1:26" ht="13.5" customHeight="1" x14ac:dyDescent="0.2">
      <c r="A404" s="363"/>
      <c r="B404" s="363"/>
      <c r="C404" s="363"/>
      <c r="D404" s="363"/>
      <c r="E404" s="363"/>
      <c r="F404" s="363"/>
      <c r="G404" s="363"/>
      <c r="H404" s="363"/>
      <c r="I404" s="363"/>
      <c r="J404" s="363"/>
      <c r="K404" s="363"/>
      <c r="L404" s="363"/>
      <c r="M404" s="363"/>
      <c r="N404" s="363"/>
      <c r="O404" s="363"/>
      <c r="P404" s="363"/>
      <c r="Q404" s="363"/>
      <c r="R404" s="363"/>
      <c r="S404" s="363"/>
      <c r="T404" s="363"/>
      <c r="U404" s="363"/>
      <c r="V404" s="363"/>
      <c r="W404" s="363"/>
      <c r="X404" s="363"/>
      <c r="Y404" s="363"/>
      <c r="Z404" s="363"/>
    </row>
    <row r="405" spans="1:26" ht="13.5" customHeight="1" x14ac:dyDescent="0.2">
      <c r="A405" s="363"/>
      <c r="B405" s="363"/>
      <c r="C405" s="363"/>
      <c r="D405" s="363"/>
      <c r="E405" s="363"/>
      <c r="F405" s="363"/>
      <c r="G405" s="363"/>
      <c r="H405" s="363"/>
      <c r="I405" s="363"/>
      <c r="J405" s="363"/>
      <c r="K405" s="363"/>
      <c r="L405" s="363"/>
      <c r="M405" s="363"/>
      <c r="N405" s="363"/>
      <c r="O405" s="363"/>
      <c r="P405" s="363"/>
      <c r="Q405" s="363"/>
      <c r="R405" s="363"/>
      <c r="S405" s="363"/>
      <c r="T405" s="363"/>
      <c r="U405" s="363"/>
      <c r="V405" s="363"/>
      <c r="W405" s="363"/>
      <c r="X405" s="363"/>
      <c r="Y405" s="363"/>
      <c r="Z405" s="363"/>
    </row>
    <row r="406" spans="1:26" ht="13.5" customHeight="1" x14ac:dyDescent="0.2">
      <c r="A406" s="363"/>
      <c r="B406" s="363"/>
      <c r="C406" s="363"/>
      <c r="D406" s="363"/>
      <c r="E406" s="363"/>
      <c r="F406" s="363"/>
      <c r="G406" s="363"/>
      <c r="H406" s="363"/>
      <c r="I406" s="363"/>
      <c r="J406" s="363"/>
      <c r="K406" s="363"/>
      <c r="L406" s="363"/>
      <c r="M406" s="363"/>
      <c r="N406" s="363"/>
      <c r="O406" s="363"/>
      <c r="P406" s="363"/>
      <c r="Q406" s="363"/>
      <c r="R406" s="363"/>
      <c r="S406" s="363"/>
      <c r="T406" s="363"/>
      <c r="U406" s="363"/>
      <c r="V406" s="363"/>
      <c r="W406" s="363"/>
      <c r="X406" s="363"/>
      <c r="Y406" s="363"/>
      <c r="Z406" s="363"/>
    </row>
    <row r="407" spans="1:26" ht="13.5" customHeight="1" x14ac:dyDescent="0.2">
      <c r="A407" s="363"/>
      <c r="B407" s="363"/>
      <c r="C407" s="363"/>
      <c r="D407" s="363"/>
      <c r="E407" s="363"/>
      <c r="F407" s="363"/>
      <c r="G407" s="363"/>
      <c r="H407" s="363"/>
      <c r="I407" s="363"/>
      <c r="J407" s="363"/>
      <c r="K407" s="363"/>
      <c r="L407" s="363"/>
      <c r="M407" s="363"/>
      <c r="N407" s="363"/>
      <c r="O407" s="363"/>
      <c r="P407" s="363"/>
      <c r="Q407" s="363"/>
      <c r="R407" s="363"/>
      <c r="S407" s="363"/>
      <c r="T407" s="363"/>
      <c r="U407" s="363"/>
      <c r="V407" s="363"/>
      <c r="W407" s="363"/>
      <c r="X407" s="363"/>
      <c r="Y407" s="363"/>
      <c r="Z407" s="363"/>
    </row>
    <row r="408" spans="1:26" ht="13.5" customHeight="1" x14ac:dyDescent="0.2">
      <c r="A408" s="363"/>
      <c r="B408" s="363"/>
      <c r="C408" s="363"/>
      <c r="D408" s="363"/>
      <c r="E408" s="363"/>
      <c r="F408" s="363"/>
      <c r="G408" s="363"/>
      <c r="H408" s="363"/>
      <c r="I408" s="363"/>
      <c r="J408" s="363"/>
      <c r="K408" s="363"/>
      <c r="L408" s="363"/>
      <c r="M408" s="363"/>
      <c r="N408" s="363"/>
      <c r="O408" s="363"/>
      <c r="P408" s="363"/>
      <c r="Q408" s="363"/>
      <c r="R408" s="363"/>
      <c r="S408" s="363"/>
      <c r="T408" s="363"/>
      <c r="U408" s="363"/>
      <c r="V408" s="363"/>
      <c r="W408" s="363"/>
      <c r="X408" s="363"/>
      <c r="Y408" s="363"/>
      <c r="Z408" s="363"/>
    </row>
    <row r="409" spans="1:26" ht="13.5" customHeight="1" x14ac:dyDescent="0.2">
      <c r="A409" s="363"/>
      <c r="B409" s="363"/>
      <c r="C409" s="363"/>
      <c r="D409" s="363"/>
      <c r="E409" s="363"/>
      <c r="F409" s="363"/>
      <c r="G409" s="363"/>
      <c r="H409" s="363"/>
      <c r="I409" s="363"/>
      <c r="J409" s="363"/>
      <c r="K409" s="363"/>
      <c r="L409" s="363"/>
      <c r="M409" s="363"/>
      <c r="N409" s="363"/>
      <c r="O409" s="363"/>
      <c r="P409" s="363"/>
      <c r="Q409" s="363"/>
      <c r="R409" s="363"/>
      <c r="S409" s="363"/>
      <c r="T409" s="363"/>
      <c r="U409" s="363"/>
      <c r="V409" s="363"/>
      <c r="W409" s="363"/>
      <c r="X409" s="363"/>
      <c r="Y409" s="363"/>
      <c r="Z409" s="363"/>
    </row>
    <row r="410" spans="1:26" ht="13.5" customHeight="1" x14ac:dyDescent="0.2">
      <c r="A410" s="363"/>
      <c r="B410" s="363"/>
      <c r="C410" s="363"/>
      <c r="D410" s="363"/>
      <c r="E410" s="363"/>
      <c r="F410" s="363"/>
      <c r="G410" s="363"/>
      <c r="H410" s="363"/>
      <c r="I410" s="363"/>
      <c r="J410" s="363"/>
      <c r="K410" s="363"/>
      <c r="L410" s="363"/>
      <c r="M410" s="363"/>
      <c r="N410" s="363"/>
      <c r="O410" s="363"/>
      <c r="P410" s="363"/>
      <c r="Q410" s="363"/>
      <c r="R410" s="363"/>
      <c r="S410" s="363"/>
      <c r="T410" s="363"/>
      <c r="U410" s="363"/>
      <c r="V410" s="363"/>
      <c r="W410" s="363"/>
      <c r="X410" s="363"/>
      <c r="Y410" s="363"/>
      <c r="Z410" s="363"/>
    </row>
    <row r="411" spans="1:26" ht="13.5" customHeight="1" x14ac:dyDescent="0.2">
      <c r="A411" s="363"/>
      <c r="B411" s="363"/>
      <c r="C411" s="363"/>
      <c r="D411" s="363"/>
      <c r="E411" s="363"/>
      <c r="F411" s="363"/>
      <c r="G411" s="363"/>
      <c r="H411" s="363"/>
      <c r="I411" s="363"/>
      <c r="J411" s="363"/>
      <c r="K411" s="363"/>
      <c r="L411" s="363"/>
      <c r="M411" s="363"/>
      <c r="N411" s="363"/>
      <c r="O411" s="363"/>
      <c r="P411" s="363"/>
      <c r="Q411" s="363"/>
      <c r="R411" s="363"/>
      <c r="S411" s="363"/>
      <c r="T411" s="363"/>
      <c r="U411" s="363"/>
      <c r="V411" s="363"/>
      <c r="W411" s="363"/>
      <c r="X411" s="363"/>
      <c r="Y411" s="363"/>
      <c r="Z411" s="363"/>
    </row>
    <row r="412" spans="1:26" ht="13.5" customHeight="1" x14ac:dyDescent="0.2">
      <c r="A412" s="363"/>
      <c r="B412" s="363"/>
      <c r="C412" s="363"/>
      <c r="D412" s="363"/>
      <c r="E412" s="363"/>
      <c r="F412" s="363"/>
      <c r="G412" s="363"/>
      <c r="H412" s="363"/>
      <c r="I412" s="363"/>
      <c r="J412" s="363"/>
      <c r="K412" s="363"/>
      <c r="L412" s="363"/>
      <c r="M412" s="363"/>
      <c r="N412" s="363"/>
      <c r="O412" s="363"/>
      <c r="P412" s="363"/>
      <c r="Q412" s="363"/>
      <c r="R412" s="363"/>
      <c r="S412" s="363"/>
      <c r="T412" s="363"/>
      <c r="U412" s="363"/>
      <c r="V412" s="363"/>
      <c r="W412" s="363"/>
      <c r="X412" s="363"/>
      <c r="Y412" s="363"/>
      <c r="Z412" s="363"/>
    </row>
    <row r="413" spans="1:26" ht="13.5" customHeight="1" x14ac:dyDescent="0.2">
      <c r="A413" s="363"/>
      <c r="B413" s="363"/>
      <c r="C413" s="363"/>
      <c r="D413" s="363"/>
      <c r="E413" s="363"/>
      <c r="F413" s="363"/>
      <c r="G413" s="363"/>
      <c r="H413" s="363"/>
      <c r="I413" s="363"/>
      <c r="J413" s="363"/>
      <c r="K413" s="363"/>
      <c r="L413" s="363"/>
      <c r="M413" s="363"/>
      <c r="N413" s="363"/>
      <c r="O413" s="363"/>
      <c r="P413" s="363"/>
      <c r="Q413" s="363"/>
      <c r="R413" s="363"/>
      <c r="S413" s="363"/>
      <c r="T413" s="363"/>
      <c r="U413" s="363"/>
      <c r="V413" s="363"/>
      <c r="W413" s="363"/>
      <c r="X413" s="363"/>
      <c r="Y413" s="363"/>
      <c r="Z413" s="363"/>
    </row>
    <row r="414" spans="1:26" ht="13.5" customHeight="1" x14ac:dyDescent="0.2">
      <c r="A414" s="363"/>
      <c r="B414" s="363"/>
      <c r="C414" s="363"/>
      <c r="D414" s="363"/>
      <c r="E414" s="363"/>
      <c r="F414" s="363"/>
      <c r="G414" s="363"/>
      <c r="H414" s="363"/>
      <c r="I414" s="363"/>
      <c r="J414" s="363"/>
      <c r="K414" s="363"/>
      <c r="L414" s="363"/>
      <c r="M414" s="363"/>
      <c r="N414" s="363"/>
      <c r="O414" s="363"/>
      <c r="P414" s="363"/>
      <c r="Q414" s="363"/>
      <c r="R414" s="363"/>
      <c r="S414" s="363"/>
      <c r="T414" s="363"/>
      <c r="U414" s="363"/>
      <c r="V414" s="363"/>
      <c r="W414" s="363"/>
      <c r="X414" s="363"/>
      <c r="Y414" s="363"/>
      <c r="Z414" s="363"/>
    </row>
    <row r="415" spans="1:26" ht="13.5" customHeight="1" x14ac:dyDescent="0.2">
      <c r="A415" s="363"/>
      <c r="B415" s="363"/>
      <c r="C415" s="363"/>
      <c r="D415" s="363"/>
      <c r="E415" s="363"/>
      <c r="F415" s="363"/>
      <c r="G415" s="363"/>
      <c r="H415" s="363"/>
      <c r="I415" s="363"/>
      <c r="J415" s="363"/>
      <c r="K415" s="363"/>
      <c r="L415" s="363"/>
      <c r="M415" s="363"/>
      <c r="N415" s="363"/>
      <c r="O415" s="363"/>
      <c r="P415" s="363"/>
      <c r="Q415" s="363"/>
      <c r="R415" s="363"/>
      <c r="S415" s="363"/>
      <c r="T415" s="363"/>
      <c r="U415" s="363"/>
      <c r="V415" s="363"/>
      <c r="W415" s="363"/>
      <c r="X415" s="363"/>
      <c r="Y415" s="363"/>
      <c r="Z415" s="363"/>
    </row>
    <row r="416" spans="1:26" ht="13.5" customHeight="1" x14ac:dyDescent="0.2">
      <c r="A416" s="363"/>
      <c r="B416" s="363"/>
      <c r="C416" s="363"/>
      <c r="D416" s="363"/>
      <c r="E416" s="363"/>
      <c r="F416" s="363"/>
      <c r="G416" s="363"/>
      <c r="H416" s="363"/>
      <c r="I416" s="363"/>
      <c r="J416" s="363"/>
      <c r="K416" s="363"/>
      <c r="L416" s="363"/>
      <c r="M416" s="363"/>
      <c r="N416" s="363"/>
      <c r="O416" s="363"/>
      <c r="P416" s="363"/>
      <c r="Q416" s="363"/>
      <c r="R416" s="363"/>
      <c r="S416" s="363"/>
      <c r="T416" s="363"/>
      <c r="U416" s="363"/>
      <c r="V416" s="363"/>
      <c r="W416" s="363"/>
      <c r="X416" s="363"/>
      <c r="Y416" s="363"/>
      <c r="Z416" s="363"/>
    </row>
    <row r="417" spans="1:26" ht="13.5" customHeight="1" x14ac:dyDescent="0.2">
      <c r="A417" s="363"/>
      <c r="B417" s="363"/>
      <c r="C417" s="363"/>
      <c r="D417" s="363"/>
      <c r="E417" s="363"/>
      <c r="F417" s="363"/>
      <c r="G417" s="363"/>
      <c r="H417" s="363"/>
      <c r="I417" s="363"/>
      <c r="J417" s="363"/>
      <c r="K417" s="363"/>
      <c r="L417" s="363"/>
      <c r="M417" s="363"/>
      <c r="N417" s="363"/>
      <c r="O417" s="363"/>
      <c r="P417" s="363"/>
      <c r="Q417" s="363"/>
      <c r="R417" s="363"/>
      <c r="S417" s="363"/>
      <c r="T417" s="363"/>
      <c r="U417" s="363"/>
      <c r="V417" s="363"/>
      <c r="W417" s="363"/>
      <c r="X417" s="363"/>
      <c r="Y417" s="363"/>
      <c r="Z417" s="363"/>
    </row>
    <row r="418" spans="1:26" ht="13.5" customHeight="1" x14ac:dyDescent="0.2">
      <c r="A418" s="363"/>
      <c r="B418" s="363"/>
      <c r="C418" s="363"/>
      <c r="D418" s="363"/>
      <c r="E418" s="363"/>
      <c r="F418" s="363"/>
      <c r="G418" s="363"/>
      <c r="H418" s="363"/>
      <c r="I418" s="363"/>
      <c r="J418" s="363"/>
      <c r="K418" s="363"/>
      <c r="L418" s="363"/>
      <c r="M418" s="363"/>
      <c r="N418" s="363"/>
      <c r="O418" s="363"/>
      <c r="P418" s="363"/>
      <c r="Q418" s="363"/>
      <c r="R418" s="363"/>
      <c r="S418" s="363"/>
      <c r="T418" s="363"/>
      <c r="U418" s="363"/>
      <c r="V418" s="363"/>
      <c r="W418" s="363"/>
      <c r="X418" s="363"/>
      <c r="Y418" s="363"/>
      <c r="Z418" s="363"/>
    </row>
    <row r="419" spans="1:26" ht="13.5" customHeight="1" x14ac:dyDescent="0.2">
      <c r="A419" s="363"/>
      <c r="B419" s="363"/>
      <c r="C419" s="363"/>
      <c r="D419" s="363"/>
      <c r="E419" s="363"/>
      <c r="F419" s="363"/>
      <c r="G419" s="363"/>
      <c r="H419" s="363"/>
      <c r="I419" s="363"/>
      <c r="J419" s="363"/>
      <c r="K419" s="363"/>
      <c r="L419" s="363"/>
      <c r="M419" s="363"/>
      <c r="N419" s="363"/>
      <c r="O419" s="363"/>
      <c r="P419" s="363"/>
      <c r="Q419" s="363"/>
      <c r="R419" s="363"/>
      <c r="S419" s="363"/>
      <c r="T419" s="363"/>
      <c r="U419" s="363"/>
      <c r="V419" s="363"/>
      <c r="W419" s="363"/>
      <c r="X419" s="363"/>
      <c r="Y419" s="363"/>
      <c r="Z419" s="363"/>
    </row>
    <row r="420" spans="1:26" ht="13.5" customHeight="1" x14ac:dyDescent="0.2">
      <c r="A420" s="363"/>
      <c r="B420" s="363"/>
      <c r="C420" s="363"/>
      <c r="D420" s="363"/>
      <c r="E420" s="363"/>
      <c r="F420" s="363"/>
      <c r="G420" s="363"/>
      <c r="H420" s="363"/>
      <c r="I420" s="363"/>
      <c r="J420" s="363"/>
      <c r="K420" s="363"/>
      <c r="L420" s="363"/>
      <c r="M420" s="363"/>
      <c r="N420" s="363"/>
      <c r="O420" s="363"/>
      <c r="P420" s="363"/>
      <c r="Q420" s="363"/>
      <c r="R420" s="363"/>
      <c r="S420" s="363"/>
      <c r="T420" s="363"/>
      <c r="U420" s="363"/>
      <c r="V420" s="363"/>
      <c r="W420" s="363"/>
      <c r="X420" s="363"/>
      <c r="Y420" s="363"/>
      <c r="Z420" s="363"/>
    </row>
    <row r="421" spans="1:26" ht="13.5" customHeight="1" x14ac:dyDescent="0.2">
      <c r="A421" s="363"/>
      <c r="B421" s="363"/>
      <c r="C421" s="363"/>
      <c r="D421" s="363"/>
      <c r="E421" s="363"/>
      <c r="F421" s="363"/>
      <c r="G421" s="363"/>
      <c r="H421" s="363"/>
      <c r="I421" s="363"/>
      <c r="J421" s="363"/>
      <c r="K421" s="363"/>
      <c r="L421" s="363"/>
      <c r="M421" s="363"/>
      <c r="N421" s="363"/>
      <c r="O421" s="363"/>
      <c r="P421" s="363"/>
      <c r="Q421" s="363"/>
      <c r="R421" s="363"/>
      <c r="S421" s="363"/>
      <c r="T421" s="363"/>
      <c r="U421" s="363"/>
      <c r="V421" s="363"/>
      <c r="W421" s="363"/>
      <c r="X421" s="363"/>
      <c r="Y421" s="363"/>
      <c r="Z421" s="363"/>
    </row>
    <row r="422" spans="1:26" ht="13.5" customHeight="1" x14ac:dyDescent="0.2">
      <c r="A422" s="363"/>
      <c r="B422" s="363"/>
      <c r="C422" s="363"/>
      <c r="D422" s="363"/>
      <c r="E422" s="363"/>
      <c r="F422" s="363"/>
      <c r="G422" s="363"/>
      <c r="H422" s="363"/>
      <c r="I422" s="363"/>
      <c r="J422" s="363"/>
      <c r="K422" s="363"/>
      <c r="L422" s="363"/>
      <c r="M422" s="363"/>
      <c r="N422" s="363"/>
      <c r="O422" s="363"/>
      <c r="P422" s="363"/>
      <c r="Q422" s="363"/>
      <c r="R422" s="363"/>
      <c r="S422" s="363"/>
      <c r="T422" s="363"/>
      <c r="U422" s="363"/>
      <c r="V422" s="363"/>
      <c r="W422" s="363"/>
      <c r="X422" s="363"/>
      <c r="Y422" s="363"/>
      <c r="Z422" s="363"/>
    </row>
    <row r="423" spans="1:26" ht="13.5" customHeight="1" x14ac:dyDescent="0.2">
      <c r="A423" s="363"/>
      <c r="B423" s="363"/>
      <c r="C423" s="363"/>
      <c r="D423" s="363"/>
      <c r="E423" s="363"/>
      <c r="F423" s="363"/>
      <c r="G423" s="363"/>
      <c r="H423" s="363"/>
      <c r="I423" s="363"/>
      <c r="J423" s="363"/>
      <c r="K423" s="363"/>
      <c r="L423" s="363"/>
      <c r="M423" s="363"/>
      <c r="N423" s="363"/>
      <c r="O423" s="363"/>
      <c r="P423" s="363"/>
      <c r="Q423" s="363"/>
      <c r="R423" s="363"/>
      <c r="S423" s="363"/>
      <c r="T423" s="363"/>
      <c r="U423" s="363"/>
      <c r="V423" s="363"/>
      <c r="W423" s="363"/>
      <c r="X423" s="363"/>
      <c r="Y423" s="363"/>
      <c r="Z423" s="363"/>
    </row>
    <row r="424" spans="1:26" ht="13.5" customHeight="1" x14ac:dyDescent="0.2">
      <c r="A424" s="363"/>
      <c r="B424" s="363"/>
      <c r="C424" s="363"/>
      <c r="D424" s="363"/>
      <c r="E424" s="363"/>
      <c r="F424" s="363"/>
      <c r="G424" s="363"/>
      <c r="H424" s="363"/>
      <c r="I424" s="363"/>
      <c r="J424" s="363"/>
      <c r="K424" s="363"/>
      <c r="L424" s="363"/>
      <c r="M424" s="363"/>
      <c r="N424" s="363"/>
      <c r="O424" s="363"/>
      <c r="P424" s="363"/>
      <c r="Q424" s="363"/>
      <c r="R424" s="363"/>
      <c r="S424" s="363"/>
      <c r="T424" s="363"/>
      <c r="U424" s="363"/>
      <c r="V424" s="363"/>
      <c r="W424" s="363"/>
      <c r="X424" s="363"/>
      <c r="Y424" s="363"/>
      <c r="Z424" s="363"/>
    </row>
    <row r="425" spans="1:26" ht="13.5" customHeight="1" x14ac:dyDescent="0.2">
      <c r="A425" s="363"/>
      <c r="B425" s="363"/>
      <c r="C425" s="363"/>
      <c r="D425" s="363"/>
      <c r="E425" s="363"/>
      <c r="F425" s="363"/>
      <c r="G425" s="363"/>
      <c r="H425" s="363"/>
      <c r="I425" s="363"/>
      <c r="J425" s="363"/>
      <c r="K425" s="363"/>
      <c r="L425" s="363"/>
      <c r="M425" s="363"/>
      <c r="N425" s="363"/>
      <c r="O425" s="363"/>
      <c r="P425" s="363"/>
      <c r="Q425" s="363"/>
      <c r="R425" s="363"/>
      <c r="S425" s="363"/>
      <c r="T425" s="363"/>
      <c r="U425" s="363"/>
      <c r="V425" s="363"/>
      <c r="W425" s="363"/>
      <c r="X425" s="363"/>
      <c r="Y425" s="363"/>
      <c r="Z425" s="363"/>
    </row>
    <row r="426" spans="1:26" ht="13.5" customHeight="1" x14ac:dyDescent="0.2">
      <c r="A426" s="363"/>
      <c r="B426" s="363"/>
      <c r="C426" s="363"/>
      <c r="D426" s="363"/>
      <c r="E426" s="363"/>
      <c r="F426" s="363"/>
      <c r="G426" s="363"/>
      <c r="H426" s="363"/>
      <c r="I426" s="363"/>
      <c r="J426" s="363"/>
      <c r="K426" s="363"/>
      <c r="L426" s="363"/>
      <c r="M426" s="363"/>
      <c r="N426" s="363"/>
      <c r="O426" s="363"/>
      <c r="P426" s="363"/>
      <c r="Q426" s="363"/>
      <c r="R426" s="363"/>
      <c r="S426" s="363"/>
      <c r="T426" s="363"/>
      <c r="U426" s="363"/>
      <c r="V426" s="363"/>
      <c r="W426" s="363"/>
      <c r="X426" s="363"/>
      <c r="Y426" s="363"/>
      <c r="Z426" s="363"/>
    </row>
    <row r="427" spans="1:26" ht="13.5" customHeight="1" x14ac:dyDescent="0.2">
      <c r="A427" s="363"/>
      <c r="B427" s="363"/>
      <c r="C427" s="363"/>
      <c r="D427" s="363"/>
      <c r="E427" s="363"/>
      <c r="F427" s="363"/>
      <c r="G427" s="363"/>
      <c r="H427" s="363"/>
      <c r="I427" s="363"/>
      <c r="J427" s="363"/>
      <c r="K427" s="363"/>
      <c r="L427" s="363"/>
      <c r="M427" s="363"/>
      <c r="N427" s="363"/>
      <c r="O427" s="363"/>
      <c r="P427" s="363"/>
      <c r="Q427" s="363"/>
      <c r="R427" s="363"/>
      <c r="S427" s="363"/>
      <c r="T427" s="363"/>
      <c r="U427" s="363"/>
      <c r="V427" s="363"/>
      <c r="W427" s="363"/>
      <c r="X427" s="363"/>
      <c r="Y427" s="363"/>
      <c r="Z427" s="363"/>
    </row>
    <row r="428" spans="1:26" ht="13.5" customHeight="1" x14ac:dyDescent="0.2">
      <c r="A428" s="363"/>
      <c r="B428" s="363"/>
      <c r="C428" s="363"/>
      <c r="D428" s="363"/>
      <c r="E428" s="363"/>
      <c r="F428" s="363"/>
      <c r="G428" s="363"/>
      <c r="H428" s="363"/>
      <c r="I428" s="363"/>
      <c r="J428" s="363"/>
      <c r="K428" s="363"/>
      <c r="L428" s="363"/>
      <c r="M428" s="363"/>
      <c r="N428" s="363"/>
      <c r="O428" s="363"/>
      <c r="P428" s="363"/>
      <c r="Q428" s="363"/>
      <c r="R428" s="363"/>
      <c r="S428" s="363"/>
      <c r="T428" s="363"/>
      <c r="U428" s="363"/>
      <c r="V428" s="363"/>
      <c r="W428" s="363"/>
      <c r="X428" s="363"/>
      <c r="Y428" s="363"/>
      <c r="Z428" s="363"/>
    </row>
    <row r="429" spans="1:26" ht="13.5" customHeight="1" x14ac:dyDescent="0.2">
      <c r="A429" s="363"/>
      <c r="B429" s="363"/>
      <c r="C429" s="363"/>
      <c r="D429" s="363"/>
      <c r="E429" s="363"/>
      <c r="F429" s="363"/>
      <c r="G429" s="363"/>
      <c r="H429" s="363"/>
      <c r="I429" s="363"/>
      <c r="J429" s="363"/>
      <c r="K429" s="363"/>
      <c r="L429" s="363"/>
      <c r="M429" s="363"/>
      <c r="N429" s="363"/>
      <c r="O429" s="363"/>
      <c r="P429" s="363"/>
      <c r="Q429" s="363"/>
      <c r="R429" s="363"/>
      <c r="S429" s="363"/>
      <c r="T429" s="363"/>
      <c r="U429" s="363"/>
      <c r="V429" s="363"/>
      <c r="W429" s="363"/>
      <c r="X429" s="363"/>
      <c r="Y429" s="363"/>
      <c r="Z429" s="363"/>
    </row>
    <row r="430" spans="1:26" ht="13.5" customHeight="1" x14ac:dyDescent="0.2">
      <c r="A430" s="363"/>
      <c r="B430" s="363"/>
      <c r="C430" s="363"/>
      <c r="D430" s="363"/>
      <c r="E430" s="363"/>
      <c r="F430" s="363"/>
      <c r="G430" s="363"/>
      <c r="H430" s="363"/>
      <c r="I430" s="363"/>
      <c r="J430" s="363"/>
      <c r="K430" s="363"/>
      <c r="L430" s="363"/>
      <c r="M430" s="363"/>
      <c r="N430" s="363"/>
      <c r="O430" s="363"/>
      <c r="P430" s="363"/>
      <c r="Q430" s="363"/>
      <c r="R430" s="363"/>
      <c r="S430" s="363"/>
      <c r="T430" s="363"/>
      <c r="U430" s="363"/>
      <c r="V430" s="363"/>
      <c r="W430" s="363"/>
      <c r="X430" s="363"/>
      <c r="Y430" s="363"/>
      <c r="Z430" s="363"/>
    </row>
    <row r="431" spans="1:26" ht="13.5" customHeight="1" x14ac:dyDescent="0.2">
      <c r="A431" s="363"/>
      <c r="B431" s="363"/>
      <c r="C431" s="363"/>
      <c r="D431" s="363"/>
      <c r="E431" s="363"/>
      <c r="F431" s="363"/>
      <c r="G431" s="363"/>
      <c r="H431" s="363"/>
      <c r="I431" s="363"/>
      <c r="J431" s="363"/>
      <c r="K431" s="363"/>
      <c r="L431" s="363"/>
      <c r="M431" s="363"/>
      <c r="N431" s="363"/>
      <c r="O431" s="363"/>
      <c r="P431" s="363"/>
      <c r="Q431" s="363"/>
      <c r="R431" s="363"/>
      <c r="S431" s="363"/>
      <c r="T431" s="363"/>
      <c r="U431" s="363"/>
      <c r="V431" s="363"/>
      <c r="W431" s="363"/>
      <c r="X431" s="363"/>
      <c r="Y431" s="363"/>
      <c r="Z431" s="363"/>
    </row>
    <row r="432" spans="1:26" ht="13.5" customHeight="1" x14ac:dyDescent="0.2">
      <c r="A432" s="363"/>
      <c r="B432" s="363"/>
      <c r="C432" s="363"/>
      <c r="D432" s="363"/>
      <c r="E432" s="363"/>
      <c r="F432" s="363"/>
      <c r="G432" s="363"/>
      <c r="H432" s="363"/>
      <c r="I432" s="363"/>
      <c r="J432" s="363"/>
      <c r="K432" s="363"/>
      <c r="L432" s="363"/>
      <c r="M432" s="363"/>
      <c r="N432" s="363"/>
      <c r="O432" s="363"/>
      <c r="P432" s="363"/>
      <c r="Q432" s="363"/>
      <c r="R432" s="363"/>
      <c r="S432" s="363"/>
      <c r="T432" s="363"/>
      <c r="U432" s="363"/>
      <c r="V432" s="363"/>
      <c r="W432" s="363"/>
      <c r="X432" s="363"/>
      <c r="Y432" s="363"/>
      <c r="Z432" s="363"/>
    </row>
    <row r="433" spans="1:26" ht="13.5" customHeight="1" x14ac:dyDescent="0.2">
      <c r="A433" s="363"/>
      <c r="B433" s="363"/>
      <c r="C433" s="363"/>
      <c r="D433" s="363"/>
      <c r="E433" s="363"/>
      <c r="F433" s="363"/>
      <c r="G433" s="363"/>
      <c r="H433" s="363"/>
      <c r="I433" s="363"/>
      <c r="J433" s="363"/>
      <c r="K433" s="363"/>
      <c r="L433" s="363"/>
      <c r="M433" s="363"/>
      <c r="N433" s="363"/>
      <c r="O433" s="363"/>
      <c r="P433" s="363"/>
      <c r="Q433" s="363"/>
      <c r="R433" s="363"/>
      <c r="S433" s="363"/>
      <c r="T433" s="363"/>
      <c r="U433" s="363"/>
      <c r="V433" s="363"/>
      <c r="W433" s="363"/>
      <c r="X433" s="363"/>
      <c r="Y433" s="363"/>
      <c r="Z433" s="363"/>
    </row>
    <row r="434" spans="1:26" ht="13.5" customHeight="1" x14ac:dyDescent="0.2">
      <c r="A434" s="363"/>
      <c r="B434" s="363"/>
      <c r="C434" s="363"/>
      <c r="D434" s="363"/>
      <c r="E434" s="363"/>
      <c r="F434" s="363"/>
      <c r="G434" s="363"/>
      <c r="H434" s="363"/>
      <c r="I434" s="363"/>
      <c r="J434" s="363"/>
      <c r="K434" s="363"/>
      <c r="L434" s="363"/>
      <c r="M434" s="363"/>
      <c r="N434" s="363"/>
      <c r="O434" s="363"/>
      <c r="P434" s="363"/>
      <c r="Q434" s="363"/>
      <c r="R434" s="363"/>
      <c r="S434" s="363"/>
      <c r="T434" s="363"/>
      <c r="U434" s="363"/>
      <c r="V434" s="363"/>
      <c r="W434" s="363"/>
      <c r="X434" s="363"/>
      <c r="Y434" s="363"/>
      <c r="Z434" s="363"/>
    </row>
    <row r="435" spans="1:26" ht="13.5" customHeight="1" x14ac:dyDescent="0.2">
      <c r="A435" s="363"/>
      <c r="B435" s="363"/>
      <c r="C435" s="363"/>
      <c r="D435" s="363"/>
      <c r="E435" s="363"/>
      <c r="F435" s="363"/>
      <c r="G435" s="363"/>
      <c r="H435" s="363"/>
      <c r="I435" s="363"/>
      <c r="J435" s="363"/>
      <c r="K435" s="363"/>
      <c r="L435" s="363"/>
      <c r="M435" s="363"/>
      <c r="N435" s="363"/>
      <c r="O435" s="363"/>
      <c r="P435" s="363"/>
      <c r="Q435" s="363"/>
      <c r="R435" s="363"/>
      <c r="S435" s="363"/>
      <c r="T435" s="363"/>
      <c r="U435" s="363"/>
      <c r="V435" s="363"/>
      <c r="W435" s="363"/>
      <c r="X435" s="363"/>
      <c r="Y435" s="363"/>
      <c r="Z435" s="363"/>
    </row>
    <row r="436" spans="1:26" ht="13.5" customHeight="1" x14ac:dyDescent="0.2">
      <c r="A436" s="363"/>
      <c r="B436" s="363"/>
      <c r="C436" s="363"/>
      <c r="D436" s="363"/>
      <c r="E436" s="363"/>
      <c r="F436" s="363"/>
      <c r="G436" s="363"/>
      <c r="H436" s="363"/>
      <c r="I436" s="363"/>
      <c r="J436" s="363"/>
      <c r="K436" s="363"/>
      <c r="L436" s="363"/>
      <c r="M436" s="363"/>
      <c r="N436" s="363"/>
      <c r="O436" s="363"/>
      <c r="P436" s="363"/>
      <c r="Q436" s="363"/>
      <c r="R436" s="363"/>
      <c r="S436" s="363"/>
      <c r="T436" s="363"/>
      <c r="U436" s="363"/>
      <c r="V436" s="363"/>
      <c r="W436" s="363"/>
      <c r="X436" s="363"/>
      <c r="Y436" s="363"/>
      <c r="Z436" s="363"/>
    </row>
    <row r="437" spans="1:26" ht="13.5" customHeight="1" x14ac:dyDescent="0.2">
      <c r="A437" s="363"/>
      <c r="B437" s="363"/>
      <c r="C437" s="363"/>
      <c r="D437" s="363"/>
      <c r="E437" s="363"/>
      <c r="F437" s="363"/>
      <c r="G437" s="363"/>
      <c r="H437" s="363"/>
      <c r="I437" s="363"/>
      <c r="J437" s="363"/>
      <c r="K437" s="363"/>
      <c r="L437" s="363"/>
      <c r="M437" s="363"/>
      <c r="N437" s="363"/>
      <c r="O437" s="363"/>
      <c r="P437" s="363"/>
      <c r="Q437" s="363"/>
      <c r="R437" s="363"/>
      <c r="S437" s="363"/>
      <c r="T437" s="363"/>
      <c r="U437" s="363"/>
      <c r="V437" s="363"/>
      <c r="W437" s="363"/>
      <c r="X437" s="363"/>
      <c r="Y437" s="363"/>
      <c r="Z437" s="363"/>
    </row>
    <row r="438" spans="1:26" ht="13.5" customHeight="1" x14ac:dyDescent="0.2">
      <c r="A438" s="363"/>
      <c r="B438" s="363"/>
      <c r="C438" s="363"/>
      <c r="D438" s="363"/>
      <c r="E438" s="363"/>
      <c r="F438" s="363"/>
      <c r="G438" s="363"/>
      <c r="H438" s="363"/>
      <c r="I438" s="363"/>
      <c r="J438" s="363"/>
      <c r="K438" s="363"/>
      <c r="L438" s="363"/>
      <c r="M438" s="363"/>
      <c r="N438" s="363"/>
      <c r="O438" s="363"/>
      <c r="P438" s="363"/>
      <c r="Q438" s="363"/>
      <c r="R438" s="363"/>
      <c r="S438" s="363"/>
      <c r="T438" s="363"/>
      <c r="U438" s="363"/>
      <c r="V438" s="363"/>
      <c r="W438" s="363"/>
      <c r="X438" s="363"/>
      <c r="Y438" s="363"/>
      <c r="Z438" s="363"/>
    </row>
    <row r="439" spans="1:26" ht="13.5" customHeight="1" x14ac:dyDescent="0.2">
      <c r="A439" s="363"/>
      <c r="B439" s="363"/>
      <c r="C439" s="363"/>
      <c r="D439" s="363"/>
      <c r="E439" s="363"/>
      <c r="F439" s="363"/>
      <c r="G439" s="363"/>
      <c r="H439" s="363"/>
      <c r="I439" s="363"/>
      <c r="J439" s="363"/>
      <c r="K439" s="363"/>
      <c r="L439" s="363"/>
      <c r="M439" s="363"/>
      <c r="N439" s="363"/>
      <c r="O439" s="363"/>
      <c r="P439" s="363"/>
      <c r="Q439" s="363"/>
      <c r="R439" s="363"/>
      <c r="S439" s="363"/>
      <c r="T439" s="363"/>
      <c r="U439" s="363"/>
      <c r="V439" s="363"/>
      <c r="W439" s="363"/>
      <c r="X439" s="363"/>
      <c r="Y439" s="363"/>
      <c r="Z439" s="363"/>
    </row>
    <row r="440" spans="1:26" ht="13.5" customHeight="1" x14ac:dyDescent="0.2">
      <c r="A440" s="363"/>
      <c r="B440" s="363"/>
      <c r="C440" s="363"/>
      <c r="D440" s="363"/>
      <c r="E440" s="363"/>
      <c r="F440" s="363"/>
      <c r="G440" s="363"/>
      <c r="H440" s="363"/>
      <c r="I440" s="363"/>
      <c r="J440" s="363"/>
      <c r="K440" s="363"/>
      <c r="L440" s="363"/>
      <c r="M440" s="363"/>
      <c r="N440" s="363"/>
      <c r="O440" s="363"/>
      <c r="P440" s="363"/>
      <c r="Q440" s="363"/>
      <c r="R440" s="363"/>
      <c r="S440" s="363"/>
      <c r="T440" s="363"/>
      <c r="U440" s="363"/>
      <c r="V440" s="363"/>
      <c r="W440" s="363"/>
      <c r="X440" s="363"/>
      <c r="Y440" s="363"/>
      <c r="Z440" s="363"/>
    </row>
    <row r="441" spans="1:26" ht="13.5" customHeight="1" x14ac:dyDescent="0.2">
      <c r="A441" s="363"/>
      <c r="B441" s="363"/>
      <c r="C441" s="363"/>
      <c r="D441" s="363"/>
      <c r="E441" s="363"/>
      <c r="F441" s="363"/>
      <c r="G441" s="363"/>
      <c r="H441" s="363"/>
      <c r="I441" s="363"/>
      <c r="J441" s="363"/>
      <c r="K441" s="363"/>
      <c r="L441" s="363"/>
      <c r="M441" s="363"/>
      <c r="N441" s="363"/>
      <c r="O441" s="363"/>
      <c r="P441" s="363"/>
      <c r="Q441" s="363"/>
      <c r="R441" s="363"/>
      <c r="S441" s="363"/>
      <c r="T441" s="363"/>
      <c r="U441" s="363"/>
      <c r="V441" s="363"/>
      <c r="W441" s="363"/>
      <c r="X441" s="363"/>
      <c r="Y441" s="363"/>
      <c r="Z441" s="363"/>
    </row>
    <row r="442" spans="1:26" ht="13.5" customHeight="1" x14ac:dyDescent="0.2">
      <c r="A442" s="363"/>
      <c r="B442" s="363"/>
      <c r="C442" s="363"/>
      <c r="D442" s="363"/>
      <c r="E442" s="363"/>
      <c r="F442" s="363"/>
      <c r="G442" s="363"/>
      <c r="H442" s="363"/>
      <c r="I442" s="363"/>
      <c r="J442" s="363"/>
      <c r="K442" s="363"/>
      <c r="L442" s="363"/>
      <c r="M442" s="363"/>
      <c r="N442" s="363"/>
      <c r="O442" s="363"/>
      <c r="P442" s="363"/>
      <c r="Q442" s="363"/>
      <c r="R442" s="363"/>
      <c r="S442" s="363"/>
      <c r="T442" s="363"/>
      <c r="U442" s="363"/>
      <c r="V442" s="363"/>
      <c r="W442" s="363"/>
      <c r="X442" s="363"/>
      <c r="Y442" s="363"/>
      <c r="Z442" s="363"/>
    </row>
    <row r="443" spans="1:26" ht="13.5" customHeight="1" x14ac:dyDescent="0.2">
      <c r="A443" s="363"/>
      <c r="B443" s="363"/>
      <c r="C443" s="363"/>
      <c r="D443" s="363"/>
      <c r="E443" s="363"/>
      <c r="F443" s="363"/>
      <c r="G443" s="363"/>
      <c r="H443" s="363"/>
      <c r="I443" s="363"/>
      <c r="J443" s="363"/>
      <c r="K443" s="363"/>
      <c r="L443" s="363"/>
      <c r="M443" s="363"/>
      <c r="N443" s="363"/>
      <c r="O443" s="363"/>
      <c r="P443" s="363"/>
      <c r="Q443" s="363"/>
      <c r="R443" s="363"/>
      <c r="S443" s="363"/>
      <c r="T443" s="363"/>
      <c r="U443" s="363"/>
      <c r="V443" s="363"/>
      <c r="W443" s="363"/>
      <c r="X443" s="363"/>
      <c r="Y443" s="363"/>
      <c r="Z443" s="363"/>
    </row>
    <row r="444" spans="1:26" ht="13.5" customHeight="1" x14ac:dyDescent="0.2">
      <c r="A444" s="363"/>
      <c r="B444" s="363"/>
      <c r="C444" s="363"/>
      <c r="D444" s="363"/>
      <c r="E444" s="363"/>
      <c r="F444" s="363"/>
      <c r="G444" s="363"/>
      <c r="H444" s="363"/>
      <c r="I444" s="363"/>
      <c r="J444" s="363"/>
      <c r="K444" s="363"/>
      <c r="L444" s="363"/>
      <c r="M444" s="363"/>
      <c r="N444" s="363"/>
      <c r="O444" s="363"/>
      <c r="P444" s="363"/>
      <c r="Q444" s="363"/>
      <c r="R444" s="363"/>
      <c r="S444" s="363"/>
      <c r="T444" s="363"/>
      <c r="U444" s="363"/>
      <c r="V444" s="363"/>
      <c r="W444" s="363"/>
      <c r="X444" s="363"/>
      <c r="Y444" s="363"/>
      <c r="Z444" s="363"/>
    </row>
    <row r="445" spans="1:26" ht="13.5" customHeight="1" x14ac:dyDescent="0.2">
      <c r="A445" s="363"/>
      <c r="B445" s="363"/>
      <c r="C445" s="363"/>
      <c r="D445" s="363"/>
      <c r="E445" s="363"/>
      <c r="F445" s="363"/>
      <c r="G445" s="363"/>
      <c r="H445" s="363"/>
      <c r="I445" s="363"/>
      <c r="J445" s="363"/>
      <c r="K445" s="363"/>
      <c r="L445" s="363"/>
      <c r="M445" s="363"/>
      <c r="N445" s="363"/>
      <c r="O445" s="363"/>
      <c r="P445" s="363"/>
      <c r="Q445" s="363"/>
      <c r="R445" s="363"/>
      <c r="S445" s="363"/>
      <c r="T445" s="363"/>
      <c r="U445" s="363"/>
      <c r="V445" s="363"/>
      <c r="W445" s="363"/>
      <c r="X445" s="363"/>
      <c r="Y445" s="363"/>
      <c r="Z445" s="363"/>
    </row>
    <row r="446" spans="1:26" ht="13.5" customHeight="1" x14ac:dyDescent="0.2">
      <c r="A446" s="363"/>
      <c r="B446" s="363"/>
      <c r="C446" s="363"/>
      <c r="D446" s="363"/>
      <c r="E446" s="363"/>
      <c r="F446" s="363"/>
      <c r="G446" s="363"/>
      <c r="H446" s="363"/>
      <c r="I446" s="363"/>
      <c r="J446" s="363"/>
      <c r="K446" s="363"/>
      <c r="L446" s="363"/>
      <c r="M446" s="363"/>
      <c r="N446" s="363"/>
      <c r="O446" s="363"/>
      <c r="P446" s="363"/>
      <c r="Q446" s="363"/>
      <c r="R446" s="363"/>
      <c r="S446" s="363"/>
      <c r="T446" s="363"/>
      <c r="U446" s="363"/>
      <c r="V446" s="363"/>
      <c r="W446" s="363"/>
      <c r="X446" s="363"/>
      <c r="Y446" s="363"/>
      <c r="Z446" s="363"/>
    </row>
    <row r="447" spans="1:26" ht="13.5" customHeight="1" x14ac:dyDescent="0.2">
      <c r="A447" s="363"/>
      <c r="B447" s="363"/>
      <c r="C447" s="363"/>
      <c r="D447" s="363"/>
      <c r="E447" s="363"/>
      <c r="F447" s="363"/>
      <c r="G447" s="363"/>
      <c r="H447" s="363"/>
      <c r="I447" s="363"/>
      <c r="J447" s="363"/>
      <c r="K447" s="363"/>
      <c r="L447" s="363"/>
      <c r="M447" s="363"/>
      <c r="N447" s="363"/>
      <c r="O447" s="363"/>
      <c r="P447" s="363"/>
      <c r="Q447" s="363"/>
      <c r="R447" s="363"/>
      <c r="S447" s="363"/>
      <c r="T447" s="363"/>
      <c r="U447" s="363"/>
      <c r="V447" s="363"/>
      <c r="W447" s="363"/>
      <c r="X447" s="363"/>
      <c r="Y447" s="363"/>
      <c r="Z447" s="363"/>
    </row>
    <row r="448" spans="1:26" ht="13.5" customHeight="1" x14ac:dyDescent="0.2">
      <c r="A448" s="363"/>
      <c r="B448" s="363"/>
      <c r="C448" s="363"/>
      <c r="D448" s="363"/>
      <c r="E448" s="363"/>
      <c r="F448" s="363"/>
      <c r="G448" s="363"/>
      <c r="H448" s="363"/>
      <c r="I448" s="363"/>
      <c r="J448" s="363"/>
      <c r="K448" s="363"/>
      <c r="L448" s="363"/>
      <c r="M448" s="363"/>
      <c r="N448" s="363"/>
      <c r="O448" s="363"/>
      <c r="P448" s="363"/>
      <c r="Q448" s="363"/>
      <c r="R448" s="363"/>
      <c r="S448" s="363"/>
      <c r="T448" s="363"/>
      <c r="U448" s="363"/>
      <c r="V448" s="363"/>
      <c r="W448" s="363"/>
      <c r="X448" s="363"/>
      <c r="Y448" s="363"/>
      <c r="Z448" s="363"/>
    </row>
    <row r="449" spans="1:26" ht="13.5" customHeight="1" x14ac:dyDescent="0.2">
      <c r="A449" s="363"/>
      <c r="B449" s="363"/>
      <c r="C449" s="363"/>
      <c r="D449" s="363"/>
      <c r="E449" s="363"/>
      <c r="F449" s="363"/>
      <c r="G449" s="363"/>
      <c r="H449" s="363"/>
      <c r="I449" s="363"/>
      <c r="J449" s="363"/>
      <c r="K449" s="363"/>
      <c r="L449" s="363"/>
      <c r="M449" s="363"/>
      <c r="N449" s="363"/>
      <c r="O449" s="363"/>
      <c r="P449" s="363"/>
      <c r="Q449" s="363"/>
      <c r="R449" s="363"/>
      <c r="S449" s="363"/>
      <c r="T449" s="363"/>
      <c r="U449" s="363"/>
      <c r="V449" s="363"/>
      <c r="W449" s="363"/>
      <c r="X449" s="363"/>
      <c r="Y449" s="363"/>
      <c r="Z449" s="363"/>
    </row>
    <row r="450" spans="1:26" ht="13.5" customHeight="1" x14ac:dyDescent="0.2">
      <c r="A450" s="363"/>
      <c r="B450" s="363"/>
      <c r="C450" s="363"/>
      <c r="D450" s="363"/>
      <c r="E450" s="363"/>
      <c r="F450" s="363"/>
      <c r="G450" s="363"/>
      <c r="H450" s="363"/>
      <c r="I450" s="363"/>
      <c r="J450" s="363"/>
      <c r="K450" s="363"/>
      <c r="L450" s="363"/>
      <c r="M450" s="363"/>
      <c r="N450" s="363"/>
      <c r="O450" s="363"/>
      <c r="P450" s="363"/>
      <c r="Q450" s="363"/>
      <c r="R450" s="363"/>
      <c r="S450" s="363"/>
      <c r="T450" s="363"/>
      <c r="U450" s="363"/>
      <c r="V450" s="363"/>
      <c r="W450" s="363"/>
      <c r="X450" s="363"/>
      <c r="Y450" s="363"/>
      <c r="Z450" s="363"/>
    </row>
    <row r="451" spans="1:26" ht="13.5" customHeight="1" x14ac:dyDescent="0.2">
      <c r="A451" s="363"/>
      <c r="B451" s="363"/>
      <c r="C451" s="363"/>
      <c r="D451" s="363"/>
      <c r="E451" s="363"/>
      <c r="F451" s="363"/>
      <c r="G451" s="363"/>
      <c r="H451" s="363"/>
      <c r="I451" s="363"/>
      <c r="J451" s="363"/>
      <c r="K451" s="363"/>
      <c r="L451" s="363"/>
      <c r="M451" s="363"/>
      <c r="N451" s="363"/>
      <c r="O451" s="363"/>
      <c r="P451" s="363"/>
      <c r="Q451" s="363"/>
      <c r="R451" s="363"/>
      <c r="S451" s="363"/>
      <c r="T451" s="363"/>
      <c r="U451" s="363"/>
      <c r="V451" s="363"/>
      <c r="W451" s="363"/>
      <c r="X451" s="363"/>
      <c r="Y451" s="363"/>
      <c r="Z451" s="363"/>
    </row>
    <row r="452" spans="1:26" ht="13.5" customHeight="1" x14ac:dyDescent="0.2">
      <c r="A452" s="363"/>
      <c r="B452" s="363"/>
      <c r="C452" s="363"/>
      <c r="D452" s="363"/>
      <c r="E452" s="363"/>
      <c r="F452" s="363"/>
      <c r="G452" s="363"/>
      <c r="H452" s="363"/>
      <c r="I452" s="363"/>
      <c r="J452" s="363"/>
      <c r="K452" s="363"/>
      <c r="L452" s="363"/>
      <c r="M452" s="363"/>
      <c r="N452" s="363"/>
      <c r="O452" s="363"/>
      <c r="P452" s="363"/>
      <c r="Q452" s="363"/>
      <c r="R452" s="363"/>
      <c r="S452" s="363"/>
      <c r="T452" s="363"/>
      <c r="U452" s="363"/>
      <c r="V452" s="363"/>
      <c r="W452" s="363"/>
      <c r="X452" s="363"/>
      <c r="Y452" s="363"/>
      <c r="Z452" s="363"/>
    </row>
    <row r="453" spans="1:26" ht="13.5" customHeight="1" x14ac:dyDescent="0.2">
      <c r="A453" s="363"/>
      <c r="B453" s="363"/>
      <c r="C453" s="363"/>
      <c r="D453" s="363"/>
      <c r="E453" s="363"/>
      <c r="F453" s="363"/>
      <c r="G453" s="363"/>
      <c r="H453" s="363"/>
      <c r="I453" s="363"/>
      <c r="J453" s="363"/>
      <c r="K453" s="363"/>
      <c r="L453" s="363"/>
      <c r="M453" s="363"/>
      <c r="N453" s="363"/>
      <c r="O453" s="363"/>
      <c r="P453" s="363"/>
      <c r="Q453" s="363"/>
      <c r="R453" s="363"/>
      <c r="S453" s="363"/>
      <c r="T453" s="363"/>
      <c r="U453" s="363"/>
      <c r="V453" s="363"/>
      <c r="W453" s="363"/>
      <c r="X453" s="363"/>
      <c r="Y453" s="363"/>
      <c r="Z453" s="363"/>
    </row>
    <row r="454" spans="1:26" ht="13.5" customHeight="1" x14ac:dyDescent="0.2">
      <c r="A454" s="363"/>
      <c r="B454" s="363"/>
      <c r="C454" s="363"/>
      <c r="D454" s="363"/>
      <c r="E454" s="363"/>
      <c r="F454" s="363"/>
      <c r="G454" s="363"/>
      <c r="H454" s="363"/>
      <c r="I454" s="363"/>
      <c r="J454" s="363"/>
      <c r="K454" s="363"/>
      <c r="L454" s="363"/>
      <c r="M454" s="363"/>
      <c r="N454" s="363"/>
      <c r="O454" s="363"/>
      <c r="P454" s="363"/>
      <c r="Q454" s="363"/>
      <c r="R454" s="363"/>
      <c r="S454" s="363"/>
      <c r="T454" s="363"/>
      <c r="U454" s="363"/>
      <c r="V454" s="363"/>
      <c r="W454" s="363"/>
      <c r="X454" s="363"/>
      <c r="Y454" s="363"/>
      <c r="Z454" s="363"/>
    </row>
    <row r="455" spans="1:26" ht="13.5" customHeight="1" x14ac:dyDescent="0.2">
      <c r="A455" s="363"/>
      <c r="B455" s="363"/>
      <c r="C455" s="363"/>
      <c r="D455" s="363"/>
      <c r="E455" s="363"/>
      <c r="F455" s="363"/>
      <c r="G455" s="363"/>
      <c r="H455" s="363"/>
      <c r="I455" s="363"/>
      <c r="J455" s="363"/>
      <c r="K455" s="363"/>
      <c r="L455" s="363"/>
      <c r="M455" s="363"/>
      <c r="N455" s="363"/>
      <c r="O455" s="363"/>
      <c r="P455" s="363"/>
      <c r="Q455" s="363"/>
      <c r="R455" s="363"/>
      <c r="S455" s="363"/>
      <c r="T455" s="363"/>
      <c r="U455" s="363"/>
      <c r="V455" s="363"/>
      <c r="W455" s="363"/>
      <c r="X455" s="363"/>
      <c r="Y455" s="363"/>
      <c r="Z455" s="363"/>
    </row>
    <row r="456" spans="1:26" ht="13.5" customHeight="1" x14ac:dyDescent="0.2">
      <c r="A456" s="363"/>
      <c r="B456" s="363"/>
      <c r="C456" s="363"/>
      <c r="D456" s="363"/>
      <c r="E456" s="363"/>
      <c r="F456" s="363"/>
      <c r="G456" s="363"/>
      <c r="H456" s="363"/>
      <c r="I456" s="363"/>
      <c r="J456" s="363"/>
      <c r="K456" s="363"/>
      <c r="L456" s="363"/>
      <c r="M456" s="363"/>
      <c r="N456" s="363"/>
      <c r="O456" s="363"/>
      <c r="P456" s="363"/>
      <c r="Q456" s="363"/>
      <c r="R456" s="363"/>
      <c r="S456" s="363"/>
      <c r="T456" s="363"/>
      <c r="U456" s="363"/>
      <c r="V456" s="363"/>
      <c r="W456" s="363"/>
      <c r="X456" s="363"/>
      <c r="Y456" s="363"/>
      <c r="Z456" s="363"/>
    </row>
    <row r="457" spans="1:26" ht="13.5" customHeight="1" x14ac:dyDescent="0.2">
      <c r="A457" s="363"/>
      <c r="B457" s="363"/>
      <c r="C457" s="363"/>
      <c r="D457" s="363"/>
      <c r="E457" s="363"/>
      <c r="F457" s="363"/>
      <c r="G457" s="363"/>
      <c r="H457" s="363"/>
      <c r="I457" s="363"/>
      <c r="J457" s="363"/>
      <c r="K457" s="363"/>
      <c r="L457" s="363"/>
      <c r="M457" s="363"/>
      <c r="N457" s="363"/>
      <c r="O457" s="363"/>
      <c r="P457" s="363"/>
      <c r="Q457" s="363"/>
      <c r="R457" s="363"/>
      <c r="S457" s="363"/>
      <c r="T457" s="363"/>
      <c r="U457" s="363"/>
      <c r="V457" s="363"/>
      <c r="W457" s="363"/>
      <c r="X457" s="363"/>
      <c r="Y457" s="363"/>
      <c r="Z457" s="363"/>
    </row>
    <row r="458" spans="1:26" ht="13.5" customHeight="1" x14ac:dyDescent="0.2">
      <c r="A458" s="363"/>
      <c r="B458" s="363"/>
      <c r="C458" s="363"/>
      <c r="D458" s="363"/>
      <c r="E458" s="363"/>
      <c r="F458" s="363"/>
      <c r="G458" s="363"/>
      <c r="H458" s="363"/>
      <c r="I458" s="363"/>
      <c r="J458" s="363"/>
      <c r="K458" s="363"/>
      <c r="L458" s="363"/>
      <c r="M458" s="363"/>
      <c r="N458" s="363"/>
      <c r="O458" s="363"/>
      <c r="P458" s="363"/>
      <c r="Q458" s="363"/>
      <c r="R458" s="363"/>
      <c r="S458" s="363"/>
      <c r="T458" s="363"/>
      <c r="U458" s="363"/>
      <c r="V458" s="363"/>
      <c r="W458" s="363"/>
      <c r="X458" s="363"/>
      <c r="Y458" s="363"/>
      <c r="Z458" s="363"/>
    </row>
    <row r="459" spans="1:26" ht="13.5" customHeight="1" x14ac:dyDescent="0.2">
      <c r="A459" s="363"/>
      <c r="B459" s="363"/>
      <c r="C459" s="363"/>
      <c r="D459" s="363"/>
      <c r="E459" s="363"/>
      <c r="F459" s="363"/>
      <c r="G459" s="363"/>
      <c r="H459" s="363"/>
      <c r="I459" s="363"/>
      <c r="J459" s="363"/>
      <c r="K459" s="363"/>
      <c r="L459" s="363"/>
      <c r="M459" s="363"/>
      <c r="N459" s="363"/>
      <c r="O459" s="363"/>
      <c r="P459" s="363"/>
      <c r="Q459" s="363"/>
      <c r="R459" s="363"/>
      <c r="S459" s="363"/>
      <c r="T459" s="363"/>
      <c r="U459" s="363"/>
      <c r="V459" s="363"/>
      <c r="W459" s="363"/>
      <c r="X459" s="363"/>
      <c r="Y459" s="363"/>
      <c r="Z459" s="363"/>
    </row>
    <row r="460" spans="1:26" ht="13.5" customHeight="1" x14ac:dyDescent="0.2">
      <c r="A460" s="363"/>
      <c r="B460" s="363"/>
      <c r="C460" s="363"/>
      <c r="D460" s="363"/>
      <c r="E460" s="363"/>
      <c r="F460" s="363"/>
      <c r="G460" s="363"/>
      <c r="H460" s="363"/>
      <c r="I460" s="363"/>
      <c r="J460" s="363"/>
      <c r="K460" s="363"/>
      <c r="L460" s="363"/>
      <c r="M460" s="363"/>
      <c r="N460" s="363"/>
      <c r="O460" s="363"/>
      <c r="P460" s="363"/>
      <c r="Q460" s="363"/>
      <c r="R460" s="363"/>
      <c r="S460" s="363"/>
      <c r="T460" s="363"/>
      <c r="U460" s="363"/>
      <c r="V460" s="363"/>
      <c r="W460" s="363"/>
      <c r="X460" s="363"/>
      <c r="Y460" s="363"/>
      <c r="Z460" s="363"/>
    </row>
    <row r="461" spans="1:26" ht="13.5" customHeight="1" x14ac:dyDescent="0.2">
      <c r="A461" s="363"/>
      <c r="B461" s="363"/>
      <c r="C461" s="363"/>
      <c r="D461" s="363"/>
      <c r="E461" s="363"/>
      <c r="F461" s="363"/>
      <c r="G461" s="363"/>
      <c r="H461" s="363"/>
      <c r="I461" s="363"/>
      <c r="J461" s="363"/>
      <c r="K461" s="363"/>
      <c r="L461" s="363"/>
      <c r="M461" s="363"/>
      <c r="N461" s="363"/>
      <c r="O461" s="363"/>
      <c r="P461" s="363"/>
      <c r="Q461" s="363"/>
      <c r="R461" s="363"/>
      <c r="S461" s="363"/>
      <c r="T461" s="363"/>
      <c r="U461" s="363"/>
      <c r="V461" s="363"/>
      <c r="W461" s="363"/>
      <c r="X461" s="363"/>
      <c r="Y461" s="363"/>
      <c r="Z461" s="363"/>
    </row>
    <row r="462" spans="1:26" ht="13.5" customHeight="1" x14ac:dyDescent="0.2">
      <c r="A462" s="363"/>
      <c r="B462" s="363"/>
      <c r="C462" s="363"/>
      <c r="D462" s="363"/>
      <c r="E462" s="363"/>
      <c r="F462" s="363"/>
      <c r="G462" s="363"/>
      <c r="H462" s="363"/>
      <c r="I462" s="363"/>
      <c r="J462" s="363"/>
      <c r="K462" s="363"/>
      <c r="L462" s="363"/>
      <c r="M462" s="363"/>
      <c r="N462" s="363"/>
      <c r="O462" s="363"/>
      <c r="P462" s="363"/>
      <c r="Q462" s="363"/>
      <c r="R462" s="363"/>
      <c r="S462" s="363"/>
      <c r="T462" s="363"/>
      <c r="U462" s="363"/>
      <c r="V462" s="363"/>
      <c r="W462" s="363"/>
      <c r="X462" s="363"/>
      <c r="Y462" s="363"/>
      <c r="Z462" s="363"/>
    </row>
    <row r="463" spans="1:26" ht="13.5" customHeight="1" x14ac:dyDescent="0.2">
      <c r="A463" s="363"/>
      <c r="B463" s="363"/>
      <c r="C463" s="363"/>
      <c r="D463" s="363"/>
      <c r="E463" s="363"/>
      <c r="F463" s="363"/>
      <c r="G463" s="363"/>
      <c r="H463" s="363"/>
      <c r="I463" s="363"/>
      <c r="J463" s="363"/>
      <c r="K463" s="363"/>
      <c r="L463" s="363"/>
      <c r="M463" s="363"/>
      <c r="N463" s="363"/>
      <c r="O463" s="363"/>
      <c r="P463" s="363"/>
      <c r="Q463" s="363"/>
      <c r="R463" s="363"/>
      <c r="S463" s="363"/>
      <c r="T463" s="363"/>
      <c r="U463" s="363"/>
      <c r="V463" s="363"/>
      <c r="W463" s="363"/>
      <c r="X463" s="363"/>
      <c r="Y463" s="363"/>
      <c r="Z463" s="363"/>
    </row>
    <row r="464" spans="1:26" ht="13.5" customHeight="1" x14ac:dyDescent="0.2">
      <c r="A464" s="363"/>
      <c r="B464" s="363"/>
      <c r="C464" s="363"/>
      <c r="D464" s="363"/>
      <c r="E464" s="363"/>
      <c r="F464" s="363"/>
      <c r="G464" s="363"/>
      <c r="H464" s="363"/>
      <c r="I464" s="363"/>
      <c r="J464" s="363"/>
      <c r="K464" s="363"/>
      <c r="L464" s="363"/>
      <c r="M464" s="363"/>
      <c r="N464" s="363"/>
      <c r="O464" s="363"/>
      <c r="P464" s="363"/>
      <c r="Q464" s="363"/>
      <c r="R464" s="363"/>
      <c r="S464" s="363"/>
      <c r="T464" s="363"/>
      <c r="U464" s="363"/>
      <c r="V464" s="363"/>
      <c r="W464" s="363"/>
      <c r="X464" s="363"/>
      <c r="Y464" s="363"/>
      <c r="Z464" s="363"/>
    </row>
    <row r="465" spans="1:26" ht="13.5" customHeight="1" x14ac:dyDescent="0.2">
      <c r="A465" s="363"/>
      <c r="B465" s="363"/>
      <c r="C465" s="363"/>
      <c r="D465" s="363"/>
      <c r="E465" s="363"/>
      <c r="F465" s="363"/>
      <c r="G465" s="363"/>
      <c r="H465" s="363"/>
      <c r="I465" s="363"/>
      <c r="J465" s="363"/>
      <c r="K465" s="363"/>
      <c r="L465" s="363"/>
      <c r="M465" s="363"/>
      <c r="N465" s="363"/>
      <c r="O465" s="363"/>
      <c r="P465" s="363"/>
      <c r="Q465" s="363"/>
      <c r="R465" s="363"/>
      <c r="S465" s="363"/>
      <c r="T465" s="363"/>
      <c r="U465" s="363"/>
      <c r="V465" s="363"/>
      <c r="W465" s="363"/>
      <c r="X465" s="363"/>
      <c r="Y465" s="363"/>
      <c r="Z465" s="363"/>
    </row>
    <row r="466" spans="1:26" ht="13.5" customHeight="1" x14ac:dyDescent="0.2">
      <c r="A466" s="363"/>
      <c r="B466" s="363"/>
      <c r="C466" s="363"/>
      <c r="D466" s="363"/>
      <c r="E466" s="363"/>
      <c r="F466" s="363"/>
      <c r="G466" s="363"/>
      <c r="H466" s="363"/>
      <c r="I466" s="363"/>
      <c r="J466" s="363"/>
      <c r="K466" s="363"/>
      <c r="L466" s="363"/>
      <c r="M466" s="363"/>
      <c r="N466" s="363"/>
      <c r="O466" s="363"/>
      <c r="P466" s="363"/>
      <c r="Q466" s="363"/>
      <c r="R466" s="363"/>
      <c r="S466" s="363"/>
      <c r="T466" s="363"/>
      <c r="U466" s="363"/>
      <c r="V466" s="363"/>
      <c r="W466" s="363"/>
      <c r="X466" s="363"/>
      <c r="Y466" s="363"/>
      <c r="Z466" s="363"/>
    </row>
    <row r="467" spans="1:26" ht="13.5" customHeight="1" x14ac:dyDescent="0.2">
      <c r="A467" s="363"/>
      <c r="B467" s="363"/>
      <c r="C467" s="363"/>
      <c r="D467" s="363"/>
      <c r="E467" s="363"/>
      <c r="F467" s="363"/>
      <c r="G467" s="363"/>
      <c r="H467" s="363"/>
      <c r="I467" s="363"/>
      <c r="J467" s="363"/>
      <c r="K467" s="363"/>
      <c r="L467" s="363"/>
      <c r="M467" s="363"/>
      <c r="N467" s="363"/>
      <c r="O467" s="363"/>
      <c r="P467" s="363"/>
      <c r="Q467" s="363"/>
      <c r="R467" s="363"/>
      <c r="S467" s="363"/>
      <c r="T467" s="363"/>
      <c r="U467" s="363"/>
      <c r="V467" s="363"/>
      <c r="W467" s="363"/>
      <c r="X467" s="363"/>
      <c r="Y467" s="363"/>
      <c r="Z467" s="363"/>
    </row>
    <row r="468" spans="1:26" ht="13.5" customHeight="1" x14ac:dyDescent="0.2">
      <c r="A468" s="363"/>
      <c r="B468" s="363"/>
      <c r="C468" s="363"/>
      <c r="D468" s="363"/>
      <c r="E468" s="363"/>
      <c r="F468" s="363"/>
      <c r="G468" s="363"/>
      <c r="H468" s="363"/>
      <c r="I468" s="363"/>
      <c r="J468" s="363"/>
      <c r="K468" s="363"/>
      <c r="L468" s="363"/>
      <c r="M468" s="363"/>
      <c r="N468" s="363"/>
      <c r="O468" s="363"/>
      <c r="P468" s="363"/>
      <c r="Q468" s="363"/>
      <c r="R468" s="363"/>
      <c r="S468" s="363"/>
      <c r="T468" s="363"/>
      <c r="U468" s="363"/>
      <c r="V468" s="363"/>
      <c r="W468" s="363"/>
      <c r="X468" s="363"/>
      <c r="Y468" s="363"/>
      <c r="Z468" s="363"/>
    </row>
    <row r="469" spans="1:26" ht="13.5" customHeight="1" x14ac:dyDescent="0.2">
      <c r="A469" s="363"/>
      <c r="B469" s="363"/>
      <c r="C469" s="363"/>
      <c r="D469" s="363"/>
      <c r="E469" s="363"/>
      <c r="F469" s="363"/>
      <c r="G469" s="363"/>
      <c r="H469" s="363"/>
      <c r="I469" s="363"/>
      <c r="J469" s="363"/>
      <c r="K469" s="363"/>
      <c r="L469" s="363"/>
      <c r="M469" s="363"/>
      <c r="N469" s="363"/>
      <c r="O469" s="363"/>
      <c r="P469" s="363"/>
      <c r="Q469" s="363"/>
      <c r="R469" s="363"/>
      <c r="S469" s="363"/>
      <c r="T469" s="363"/>
      <c r="U469" s="363"/>
      <c r="V469" s="363"/>
      <c r="W469" s="363"/>
      <c r="X469" s="363"/>
      <c r="Y469" s="363"/>
      <c r="Z469" s="363"/>
    </row>
    <row r="470" spans="1:26" ht="13.5" customHeight="1" x14ac:dyDescent="0.2">
      <c r="A470" s="363"/>
      <c r="B470" s="363"/>
      <c r="C470" s="363"/>
      <c r="D470" s="363"/>
      <c r="E470" s="363"/>
      <c r="F470" s="363"/>
      <c r="G470" s="363"/>
      <c r="H470" s="363"/>
      <c r="I470" s="363"/>
      <c r="J470" s="363"/>
      <c r="K470" s="363"/>
      <c r="L470" s="363"/>
      <c r="M470" s="363"/>
      <c r="N470" s="363"/>
      <c r="O470" s="363"/>
      <c r="P470" s="363"/>
      <c r="Q470" s="363"/>
      <c r="R470" s="363"/>
      <c r="S470" s="363"/>
      <c r="T470" s="363"/>
      <c r="U470" s="363"/>
      <c r="V470" s="363"/>
      <c r="W470" s="363"/>
      <c r="X470" s="363"/>
      <c r="Y470" s="363"/>
      <c r="Z470" s="363"/>
    </row>
    <row r="471" spans="1:26" ht="13.5" customHeight="1" x14ac:dyDescent="0.2">
      <c r="A471" s="363"/>
      <c r="B471" s="363"/>
      <c r="C471" s="363"/>
      <c r="D471" s="363"/>
      <c r="E471" s="363"/>
      <c r="F471" s="363"/>
      <c r="G471" s="363"/>
      <c r="H471" s="363"/>
      <c r="I471" s="363"/>
      <c r="J471" s="363"/>
      <c r="K471" s="363"/>
      <c r="L471" s="363"/>
      <c r="M471" s="363"/>
      <c r="N471" s="363"/>
      <c r="O471" s="363"/>
      <c r="P471" s="363"/>
      <c r="Q471" s="363"/>
      <c r="R471" s="363"/>
      <c r="S471" s="363"/>
      <c r="T471" s="363"/>
      <c r="U471" s="363"/>
      <c r="V471" s="363"/>
      <c r="W471" s="363"/>
      <c r="X471" s="363"/>
      <c r="Y471" s="363"/>
      <c r="Z471" s="363"/>
    </row>
    <row r="472" spans="1:26" ht="13.5" customHeight="1" x14ac:dyDescent="0.2">
      <c r="A472" s="363"/>
      <c r="B472" s="363"/>
      <c r="C472" s="363"/>
      <c r="D472" s="363"/>
      <c r="E472" s="363"/>
      <c r="F472" s="363"/>
      <c r="G472" s="363"/>
      <c r="H472" s="363"/>
      <c r="I472" s="363"/>
      <c r="J472" s="363"/>
      <c r="K472" s="363"/>
      <c r="L472" s="363"/>
      <c r="M472" s="363"/>
      <c r="N472" s="363"/>
      <c r="O472" s="363"/>
      <c r="P472" s="363"/>
      <c r="Q472" s="363"/>
      <c r="R472" s="363"/>
      <c r="S472" s="363"/>
      <c r="T472" s="363"/>
      <c r="U472" s="363"/>
      <c r="V472" s="363"/>
      <c r="W472" s="363"/>
      <c r="X472" s="363"/>
      <c r="Y472" s="363"/>
      <c r="Z472" s="363"/>
    </row>
    <row r="473" spans="1:26" ht="13.5" customHeight="1" x14ac:dyDescent="0.2">
      <c r="A473" s="363"/>
      <c r="B473" s="363"/>
      <c r="C473" s="363"/>
      <c r="D473" s="363"/>
      <c r="E473" s="363"/>
      <c r="F473" s="363"/>
      <c r="G473" s="363"/>
      <c r="H473" s="363"/>
      <c r="I473" s="363"/>
      <c r="J473" s="363"/>
      <c r="K473" s="363"/>
      <c r="L473" s="363"/>
      <c r="M473" s="363"/>
      <c r="N473" s="363"/>
      <c r="O473" s="363"/>
      <c r="P473" s="363"/>
      <c r="Q473" s="363"/>
      <c r="R473" s="363"/>
      <c r="S473" s="363"/>
      <c r="T473" s="363"/>
      <c r="U473" s="363"/>
      <c r="V473" s="363"/>
      <c r="W473" s="363"/>
      <c r="X473" s="363"/>
      <c r="Y473" s="363"/>
      <c r="Z473" s="363"/>
    </row>
    <row r="474" spans="1:26" ht="13.5" customHeight="1" x14ac:dyDescent="0.2">
      <c r="A474" s="363"/>
      <c r="B474" s="363"/>
      <c r="C474" s="363"/>
      <c r="D474" s="363"/>
      <c r="E474" s="363"/>
      <c r="F474" s="363"/>
      <c r="G474" s="363"/>
      <c r="H474" s="363"/>
      <c r="I474" s="363"/>
      <c r="J474" s="363"/>
      <c r="K474" s="363"/>
      <c r="L474" s="363"/>
      <c r="M474" s="363"/>
      <c r="N474" s="363"/>
      <c r="O474" s="363"/>
      <c r="P474" s="363"/>
      <c r="Q474" s="363"/>
      <c r="R474" s="363"/>
      <c r="S474" s="363"/>
      <c r="T474" s="363"/>
      <c r="U474" s="363"/>
      <c r="V474" s="363"/>
      <c r="W474" s="363"/>
      <c r="X474" s="363"/>
      <c r="Y474" s="363"/>
      <c r="Z474" s="363"/>
    </row>
    <row r="475" spans="1:26" ht="13.5" customHeight="1" x14ac:dyDescent="0.2">
      <c r="A475" s="363"/>
      <c r="B475" s="363"/>
      <c r="C475" s="363"/>
      <c r="D475" s="363"/>
      <c r="E475" s="363"/>
      <c r="F475" s="363"/>
      <c r="G475" s="363"/>
      <c r="H475" s="363"/>
      <c r="I475" s="363"/>
      <c r="J475" s="363"/>
      <c r="K475" s="363"/>
      <c r="L475" s="363"/>
      <c r="M475" s="363"/>
      <c r="N475" s="363"/>
      <c r="O475" s="363"/>
      <c r="P475" s="363"/>
      <c r="Q475" s="363"/>
      <c r="R475" s="363"/>
      <c r="S475" s="363"/>
      <c r="T475" s="363"/>
      <c r="U475" s="363"/>
      <c r="V475" s="363"/>
      <c r="W475" s="363"/>
      <c r="X475" s="363"/>
      <c r="Y475" s="363"/>
      <c r="Z475" s="363"/>
    </row>
    <row r="476" spans="1:26" ht="13.5" customHeight="1" x14ac:dyDescent="0.2">
      <c r="A476" s="363"/>
      <c r="B476" s="363"/>
      <c r="C476" s="363"/>
      <c r="D476" s="363"/>
      <c r="E476" s="363"/>
      <c r="F476" s="363"/>
      <c r="G476" s="363"/>
      <c r="H476" s="363"/>
      <c r="I476" s="363"/>
      <c r="J476" s="363"/>
      <c r="K476" s="363"/>
      <c r="L476" s="363"/>
      <c r="M476" s="363"/>
      <c r="N476" s="363"/>
      <c r="O476" s="363"/>
      <c r="P476" s="363"/>
      <c r="Q476" s="363"/>
      <c r="R476" s="363"/>
      <c r="S476" s="363"/>
      <c r="T476" s="363"/>
      <c r="U476" s="363"/>
      <c r="V476" s="363"/>
      <c r="W476" s="363"/>
      <c r="X476" s="363"/>
      <c r="Y476" s="363"/>
      <c r="Z476" s="363"/>
    </row>
    <row r="477" spans="1:26" ht="13.5" customHeight="1" x14ac:dyDescent="0.2">
      <c r="A477" s="363"/>
      <c r="B477" s="363"/>
      <c r="C477" s="363"/>
      <c r="D477" s="363"/>
      <c r="E477" s="363"/>
      <c r="F477" s="363"/>
      <c r="G477" s="363"/>
      <c r="H477" s="363"/>
      <c r="I477" s="363"/>
      <c r="J477" s="363"/>
      <c r="K477" s="363"/>
      <c r="L477" s="363"/>
      <c r="M477" s="363"/>
      <c r="N477" s="363"/>
      <c r="O477" s="363"/>
      <c r="P477" s="363"/>
      <c r="Q477" s="363"/>
      <c r="R477" s="363"/>
      <c r="S477" s="363"/>
      <c r="T477" s="363"/>
      <c r="U477" s="363"/>
      <c r="V477" s="363"/>
      <c r="W477" s="363"/>
      <c r="X477" s="363"/>
      <c r="Y477" s="363"/>
      <c r="Z477" s="363"/>
    </row>
    <row r="478" spans="1:26" ht="13.5" customHeight="1" x14ac:dyDescent="0.2">
      <c r="A478" s="363"/>
      <c r="B478" s="363"/>
      <c r="C478" s="363"/>
      <c r="D478" s="363"/>
      <c r="E478" s="363"/>
      <c r="F478" s="363"/>
      <c r="G478" s="363"/>
      <c r="H478" s="363"/>
      <c r="I478" s="363"/>
      <c r="J478" s="363"/>
      <c r="K478" s="363"/>
      <c r="L478" s="363"/>
      <c r="M478" s="363"/>
      <c r="N478" s="363"/>
      <c r="O478" s="363"/>
      <c r="P478" s="363"/>
      <c r="Q478" s="363"/>
      <c r="R478" s="363"/>
      <c r="S478" s="363"/>
      <c r="T478" s="363"/>
      <c r="U478" s="363"/>
      <c r="V478" s="363"/>
      <c r="W478" s="363"/>
      <c r="X478" s="363"/>
      <c r="Y478" s="363"/>
      <c r="Z478" s="363"/>
    </row>
    <row r="479" spans="1:26" ht="13.5" customHeight="1" x14ac:dyDescent="0.2">
      <c r="A479" s="363"/>
      <c r="B479" s="363"/>
      <c r="C479" s="363"/>
      <c r="D479" s="363"/>
      <c r="E479" s="363"/>
      <c r="F479" s="363"/>
      <c r="G479" s="363"/>
      <c r="H479" s="363"/>
      <c r="I479" s="363"/>
      <c r="J479" s="363"/>
      <c r="K479" s="363"/>
      <c r="L479" s="363"/>
      <c r="M479" s="363"/>
      <c r="N479" s="363"/>
      <c r="O479" s="363"/>
      <c r="P479" s="363"/>
      <c r="Q479" s="363"/>
      <c r="R479" s="363"/>
      <c r="S479" s="363"/>
      <c r="T479" s="363"/>
      <c r="U479" s="363"/>
      <c r="V479" s="363"/>
      <c r="W479" s="363"/>
      <c r="X479" s="363"/>
      <c r="Y479" s="363"/>
      <c r="Z479" s="363"/>
    </row>
    <row r="480" spans="1:26" ht="13.5" customHeight="1" x14ac:dyDescent="0.2">
      <c r="A480" s="363"/>
      <c r="B480" s="363"/>
      <c r="C480" s="363"/>
      <c r="D480" s="363"/>
      <c r="E480" s="363"/>
      <c r="F480" s="363"/>
      <c r="G480" s="363"/>
      <c r="H480" s="363"/>
      <c r="I480" s="363"/>
      <c r="J480" s="363"/>
      <c r="K480" s="363"/>
      <c r="L480" s="363"/>
      <c r="M480" s="363"/>
      <c r="N480" s="363"/>
      <c r="O480" s="363"/>
      <c r="P480" s="363"/>
      <c r="Q480" s="363"/>
      <c r="R480" s="363"/>
      <c r="S480" s="363"/>
      <c r="T480" s="363"/>
      <c r="U480" s="363"/>
      <c r="V480" s="363"/>
      <c r="W480" s="363"/>
      <c r="X480" s="363"/>
      <c r="Y480" s="363"/>
      <c r="Z480" s="363"/>
    </row>
    <row r="481" spans="1:26" ht="13.5" customHeight="1" x14ac:dyDescent="0.2">
      <c r="A481" s="363"/>
      <c r="B481" s="363"/>
      <c r="C481" s="363"/>
      <c r="D481" s="363"/>
      <c r="E481" s="363"/>
      <c r="F481" s="363"/>
      <c r="G481" s="363"/>
      <c r="H481" s="363"/>
      <c r="I481" s="363"/>
      <c r="J481" s="363"/>
      <c r="K481" s="363"/>
      <c r="L481" s="363"/>
      <c r="M481" s="363"/>
      <c r="N481" s="363"/>
      <c r="O481" s="363"/>
      <c r="P481" s="363"/>
      <c r="Q481" s="363"/>
      <c r="R481" s="363"/>
      <c r="S481" s="363"/>
      <c r="T481" s="363"/>
      <c r="U481" s="363"/>
      <c r="V481" s="363"/>
      <c r="W481" s="363"/>
      <c r="X481" s="363"/>
      <c r="Y481" s="363"/>
      <c r="Z481" s="363"/>
    </row>
    <row r="482" spans="1:26" ht="13.5" customHeight="1" x14ac:dyDescent="0.2">
      <c r="A482" s="363"/>
      <c r="B482" s="363"/>
      <c r="C482" s="363"/>
      <c r="D482" s="363"/>
      <c r="E482" s="363"/>
      <c r="F482" s="363"/>
      <c r="G482" s="363"/>
      <c r="H482" s="363"/>
      <c r="I482" s="363"/>
      <c r="J482" s="363"/>
      <c r="K482" s="363"/>
      <c r="L482" s="363"/>
      <c r="M482" s="363"/>
      <c r="N482" s="363"/>
      <c r="O482" s="363"/>
      <c r="P482" s="363"/>
      <c r="Q482" s="363"/>
      <c r="R482" s="363"/>
      <c r="S482" s="363"/>
      <c r="T482" s="363"/>
      <c r="U482" s="363"/>
      <c r="V482" s="363"/>
      <c r="W482" s="363"/>
      <c r="X482" s="363"/>
      <c r="Y482" s="363"/>
      <c r="Z482" s="363"/>
    </row>
    <row r="483" spans="1:26" ht="13.5" customHeight="1" x14ac:dyDescent="0.2">
      <c r="A483" s="363"/>
      <c r="B483" s="363"/>
      <c r="C483" s="363"/>
      <c r="D483" s="363"/>
      <c r="E483" s="363"/>
      <c r="F483" s="363"/>
      <c r="G483" s="363"/>
      <c r="H483" s="363"/>
      <c r="I483" s="363"/>
      <c r="J483" s="363"/>
      <c r="K483" s="363"/>
      <c r="L483" s="363"/>
      <c r="M483" s="363"/>
      <c r="N483" s="363"/>
      <c r="O483" s="363"/>
      <c r="P483" s="363"/>
      <c r="Q483" s="363"/>
      <c r="R483" s="363"/>
      <c r="S483" s="363"/>
      <c r="T483" s="363"/>
      <c r="U483" s="363"/>
      <c r="V483" s="363"/>
      <c r="W483" s="363"/>
      <c r="X483" s="363"/>
      <c r="Y483" s="363"/>
      <c r="Z483" s="363"/>
    </row>
    <row r="484" spans="1:26" ht="13.5" customHeight="1" x14ac:dyDescent="0.2">
      <c r="A484" s="363"/>
      <c r="B484" s="363"/>
      <c r="C484" s="363"/>
      <c r="D484" s="363"/>
      <c r="E484" s="363"/>
      <c r="F484" s="363"/>
      <c r="G484" s="363"/>
      <c r="H484" s="363"/>
      <c r="I484" s="363"/>
      <c r="J484" s="363"/>
      <c r="K484" s="363"/>
      <c r="L484" s="363"/>
      <c r="M484" s="363"/>
      <c r="N484" s="363"/>
      <c r="O484" s="363"/>
      <c r="P484" s="363"/>
      <c r="Q484" s="363"/>
      <c r="R484" s="363"/>
      <c r="S484" s="363"/>
      <c r="T484" s="363"/>
      <c r="U484" s="363"/>
      <c r="V484" s="363"/>
      <c r="W484" s="363"/>
      <c r="X484" s="363"/>
      <c r="Y484" s="363"/>
      <c r="Z484" s="363"/>
    </row>
    <row r="485" spans="1:26" ht="13.5" customHeight="1" x14ac:dyDescent="0.2">
      <c r="A485" s="363"/>
      <c r="B485" s="363"/>
      <c r="C485" s="363"/>
      <c r="D485" s="363"/>
      <c r="E485" s="363"/>
      <c r="F485" s="363"/>
      <c r="G485" s="363"/>
      <c r="H485" s="363"/>
      <c r="I485" s="363"/>
      <c r="J485" s="363"/>
      <c r="K485" s="363"/>
      <c r="L485" s="363"/>
      <c r="M485" s="363"/>
      <c r="N485" s="363"/>
      <c r="O485" s="363"/>
      <c r="P485" s="363"/>
      <c r="Q485" s="363"/>
      <c r="R485" s="363"/>
      <c r="S485" s="363"/>
      <c r="T485" s="363"/>
      <c r="U485" s="363"/>
      <c r="V485" s="363"/>
      <c r="W485" s="363"/>
      <c r="X485" s="363"/>
      <c r="Y485" s="363"/>
      <c r="Z485" s="363"/>
    </row>
    <row r="486" spans="1:26" ht="13.5" customHeight="1" x14ac:dyDescent="0.2">
      <c r="A486" s="363"/>
      <c r="B486" s="363"/>
      <c r="C486" s="363"/>
      <c r="D486" s="363"/>
      <c r="E486" s="363"/>
      <c r="F486" s="363"/>
      <c r="G486" s="363"/>
      <c r="H486" s="363"/>
      <c r="I486" s="363"/>
      <c r="J486" s="363"/>
      <c r="K486" s="363"/>
      <c r="L486" s="363"/>
      <c r="M486" s="363"/>
      <c r="N486" s="363"/>
      <c r="O486" s="363"/>
      <c r="P486" s="363"/>
      <c r="Q486" s="363"/>
      <c r="R486" s="363"/>
      <c r="S486" s="363"/>
      <c r="T486" s="363"/>
      <c r="U486" s="363"/>
      <c r="V486" s="363"/>
      <c r="W486" s="363"/>
      <c r="X486" s="363"/>
      <c r="Y486" s="363"/>
      <c r="Z486" s="363"/>
    </row>
    <row r="487" spans="1:26" ht="13.5" customHeight="1" x14ac:dyDescent="0.2">
      <c r="A487" s="363"/>
      <c r="B487" s="363"/>
      <c r="C487" s="363"/>
      <c r="D487" s="363"/>
      <c r="E487" s="363"/>
      <c r="F487" s="363"/>
      <c r="G487" s="363"/>
      <c r="H487" s="363"/>
      <c r="I487" s="363"/>
      <c r="J487" s="363"/>
      <c r="K487" s="363"/>
      <c r="L487" s="363"/>
      <c r="M487" s="363"/>
      <c r="N487" s="363"/>
      <c r="O487" s="363"/>
      <c r="P487" s="363"/>
      <c r="Q487" s="363"/>
      <c r="R487" s="363"/>
      <c r="S487" s="363"/>
      <c r="T487" s="363"/>
      <c r="U487" s="363"/>
      <c r="V487" s="363"/>
      <c r="W487" s="363"/>
      <c r="X487" s="363"/>
      <c r="Y487" s="363"/>
      <c r="Z487" s="363"/>
    </row>
    <row r="488" spans="1:26" ht="13.5" customHeight="1" x14ac:dyDescent="0.2">
      <c r="A488" s="363"/>
      <c r="B488" s="363"/>
      <c r="C488" s="363"/>
      <c r="D488" s="363"/>
      <c r="E488" s="363"/>
      <c r="F488" s="363"/>
      <c r="G488" s="363"/>
      <c r="H488" s="363"/>
      <c r="I488" s="363"/>
      <c r="J488" s="363"/>
      <c r="K488" s="363"/>
      <c r="L488" s="363"/>
      <c r="M488" s="363"/>
      <c r="N488" s="363"/>
      <c r="O488" s="363"/>
      <c r="P488" s="363"/>
      <c r="Q488" s="363"/>
      <c r="R488" s="363"/>
      <c r="S488" s="363"/>
      <c r="T488" s="363"/>
      <c r="U488" s="363"/>
      <c r="V488" s="363"/>
      <c r="W488" s="363"/>
      <c r="X488" s="363"/>
      <c r="Y488" s="363"/>
      <c r="Z488" s="363"/>
    </row>
    <row r="489" spans="1:26" ht="13.5" customHeight="1" x14ac:dyDescent="0.2">
      <c r="A489" s="363"/>
      <c r="B489" s="363"/>
      <c r="C489" s="363"/>
      <c r="D489" s="363"/>
      <c r="E489" s="363"/>
      <c r="F489" s="363"/>
      <c r="G489" s="363"/>
      <c r="H489" s="363"/>
      <c r="I489" s="363"/>
      <c r="J489" s="363"/>
      <c r="K489" s="363"/>
      <c r="L489" s="363"/>
      <c r="M489" s="363"/>
      <c r="N489" s="363"/>
      <c r="O489" s="363"/>
      <c r="P489" s="363"/>
      <c r="Q489" s="363"/>
      <c r="R489" s="363"/>
      <c r="S489" s="363"/>
      <c r="T489" s="363"/>
      <c r="U489" s="363"/>
      <c r="V489" s="363"/>
      <c r="W489" s="363"/>
      <c r="X489" s="363"/>
      <c r="Y489" s="363"/>
      <c r="Z489" s="363"/>
    </row>
    <row r="490" spans="1:26" ht="13.5" customHeight="1" x14ac:dyDescent="0.2">
      <c r="A490" s="363"/>
      <c r="B490" s="363"/>
      <c r="C490" s="363"/>
      <c r="D490" s="363"/>
      <c r="E490" s="363"/>
      <c r="F490" s="363"/>
      <c r="G490" s="363"/>
      <c r="H490" s="363"/>
      <c r="I490" s="363"/>
      <c r="J490" s="363"/>
      <c r="K490" s="363"/>
      <c r="L490" s="363"/>
      <c r="M490" s="363"/>
      <c r="N490" s="363"/>
      <c r="O490" s="363"/>
      <c r="P490" s="363"/>
      <c r="Q490" s="363"/>
      <c r="R490" s="363"/>
      <c r="S490" s="363"/>
      <c r="T490" s="363"/>
      <c r="U490" s="363"/>
      <c r="V490" s="363"/>
      <c r="W490" s="363"/>
      <c r="X490" s="363"/>
      <c r="Y490" s="363"/>
      <c r="Z490" s="363"/>
    </row>
    <row r="491" spans="1:26" ht="13.5" customHeight="1" x14ac:dyDescent="0.2">
      <c r="A491" s="363"/>
      <c r="B491" s="363"/>
      <c r="C491" s="363"/>
      <c r="D491" s="363"/>
      <c r="E491" s="363"/>
      <c r="F491" s="363"/>
      <c r="G491" s="363"/>
      <c r="H491" s="363"/>
      <c r="I491" s="363"/>
      <c r="J491" s="363"/>
      <c r="K491" s="363"/>
      <c r="L491" s="363"/>
      <c r="M491" s="363"/>
      <c r="N491" s="363"/>
      <c r="O491" s="363"/>
      <c r="P491" s="363"/>
      <c r="Q491" s="363"/>
      <c r="R491" s="363"/>
      <c r="S491" s="363"/>
      <c r="T491" s="363"/>
      <c r="U491" s="363"/>
      <c r="V491" s="363"/>
      <c r="W491" s="363"/>
      <c r="X491" s="363"/>
      <c r="Y491" s="363"/>
      <c r="Z491" s="363"/>
    </row>
    <row r="492" spans="1:26" ht="13.5" customHeight="1" x14ac:dyDescent="0.2">
      <c r="A492" s="363"/>
      <c r="B492" s="363"/>
      <c r="C492" s="363"/>
      <c r="D492" s="363"/>
      <c r="E492" s="363"/>
      <c r="F492" s="363"/>
      <c r="G492" s="363"/>
      <c r="H492" s="363"/>
      <c r="I492" s="363"/>
      <c r="J492" s="363"/>
      <c r="K492" s="363"/>
      <c r="L492" s="363"/>
      <c r="M492" s="363"/>
      <c r="N492" s="363"/>
      <c r="O492" s="363"/>
      <c r="P492" s="363"/>
      <c r="Q492" s="363"/>
      <c r="R492" s="363"/>
      <c r="S492" s="363"/>
      <c r="T492" s="363"/>
      <c r="U492" s="363"/>
      <c r="V492" s="363"/>
      <c r="W492" s="363"/>
      <c r="X492" s="363"/>
      <c r="Y492" s="363"/>
      <c r="Z492" s="363"/>
    </row>
    <row r="493" spans="1:26" ht="13.5" customHeight="1" x14ac:dyDescent="0.2">
      <c r="A493" s="363"/>
      <c r="B493" s="363"/>
      <c r="C493" s="363"/>
      <c r="D493" s="363"/>
      <c r="E493" s="363"/>
      <c r="F493" s="363"/>
      <c r="G493" s="363"/>
      <c r="H493" s="363"/>
      <c r="I493" s="363"/>
      <c r="J493" s="363"/>
      <c r="K493" s="363"/>
      <c r="L493" s="363"/>
      <c r="M493" s="363"/>
      <c r="N493" s="363"/>
      <c r="O493" s="363"/>
      <c r="P493" s="363"/>
      <c r="Q493" s="363"/>
      <c r="R493" s="363"/>
      <c r="S493" s="363"/>
      <c r="T493" s="363"/>
      <c r="U493" s="363"/>
      <c r="V493" s="363"/>
      <c r="W493" s="363"/>
      <c r="X493" s="363"/>
      <c r="Y493" s="363"/>
      <c r="Z493" s="363"/>
    </row>
    <row r="494" spans="1:26" ht="13.5" customHeight="1" x14ac:dyDescent="0.2">
      <c r="A494" s="363"/>
      <c r="B494" s="363"/>
      <c r="C494" s="363"/>
      <c r="D494" s="363"/>
      <c r="E494" s="363"/>
      <c r="F494" s="363"/>
      <c r="G494" s="363"/>
      <c r="H494" s="363"/>
      <c r="I494" s="363"/>
      <c r="J494" s="363"/>
      <c r="K494" s="363"/>
      <c r="L494" s="363"/>
      <c r="M494" s="363"/>
      <c r="N494" s="363"/>
      <c r="O494" s="363"/>
      <c r="P494" s="363"/>
      <c r="Q494" s="363"/>
      <c r="R494" s="363"/>
      <c r="S494" s="363"/>
      <c r="T494" s="363"/>
      <c r="U494" s="363"/>
      <c r="V494" s="363"/>
      <c r="W494" s="363"/>
      <c r="X494" s="363"/>
      <c r="Y494" s="363"/>
      <c r="Z494" s="363"/>
    </row>
    <row r="495" spans="1:26" ht="13.5" customHeight="1" x14ac:dyDescent="0.2">
      <c r="A495" s="363"/>
      <c r="B495" s="363"/>
      <c r="C495" s="363"/>
      <c r="D495" s="363"/>
      <c r="E495" s="363"/>
      <c r="F495" s="363"/>
      <c r="G495" s="363"/>
      <c r="H495" s="363"/>
      <c r="I495" s="363"/>
      <c r="J495" s="363"/>
      <c r="K495" s="363"/>
      <c r="L495" s="363"/>
      <c r="M495" s="363"/>
      <c r="N495" s="363"/>
      <c r="O495" s="363"/>
      <c r="P495" s="363"/>
      <c r="Q495" s="363"/>
      <c r="R495" s="363"/>
      <c r="S495" s="363"/>
      <c r="T495" s="363"/>
      <c r="U495" s="363"/>
      <c r="V495" s="363"/>
      <c r="W495" s="363"/>
      <c r="X495" s="363"/>
      <c r="Y495" s="363"/>
      <c r="Z495" s="363"/>
    </row>
    <row r="496" spans="1:26" ht="13.5" customHeight="1" x14ac:dyDescent="0.2">
      <c r="A496" s="363"/>
      <c r="B496" s="363"/>
      <c r="C496" s="363"/>
      <c r="D496" s="363"/>
      <c r="E496" s="363"/>
      <c r="F496" s="363"/>
      <c r="G496" s="363"/>
      <c r="H496" s="363"/>
      <c r="I496" s="363"/>
      <c r="J496" s="363"/>
      <c r="K496" s="363"/>
      <c r="L496" s="363"/>
      <c r="M496" s="363"/>
      <c r="N496" s="363"/>
      <c r="O496" s="363"/>
      <c r="P496" s="363"/>
      <c r="Q496" s="363"/>
      <c r="R496" s="363"/>
      <c r="S496" s="363"/>
      <c r="T496" s="363"/>
      <c r="U496" s="363"/>
      <c r="V496" s="363"/>
      <c r="W496" s="363"/>
      <c r="X496" s="363"/>
      <c r="Y496" s="363"/>
      <c r="Z496" s="363"/>
    </row>
    <row r="497" spans="1:26" ht="13.5" customHeight="1" x14ac:dyDescent="0.2">
      <c r="A497" s="363"/>
      <c r="B497" s="363"/>
      <c r="C497" s="363"/>
      <c r="D497" s="363"/>
      <c r="E497" s="363"/>
      <c r="F497" s="363"/>
      <c r="G497" s="363"/>
      <c r="H497" s="363"/>
      <c r="I497" s="363"/>
      <c r="J497" s="363"/>
      <c r="K497" s="363"/>
      <c r="L497" s="363"/>
      <c r="M497" s="363"/>
      <c r="N497" s="363"/>
      <c r="O497" s="363"/>
      <c r="P497" s="363"/>
      <c r="Q497" s="363"/>
      <c r="R497" s="363"/>
      <c r="S497" s="363"/>
      <c r="T497" s="363"/>
      <c r="U497" s="363"/>
      <c r="V497" s="363"/>
      <c r="W497" s="363"/>
      <c r="X497" s="363"/>
      <c r="Y497" s="363"/>
      <c r="Z497" s="363"/>
    </row>
    <row r="498" spans="1:26" ht="13.5" customHeight="1" x14ac:dyDescent="0.2">
      <c r="A498" s="363"/>
      <c r="B498" s="363"/>
      <c r="C498" s="363"/>
      <c r="D498" s="363"/>
      <c r="E498" s="363"/>
      <c r="F498" s="363"/>
      <c r="G498" s="363"/>
      <c r="H498" s="363"/>
      <c r="I498" s="363"/>
      <c r="J498" s="363"/>
      <c r="K498" s="363"/>
      <c r="L498" s="363"/>
      <c r="M498" s="363"/>
      <c r="N498" s="363"/>
      <c r="O498" s="363"/>
      <c r="P498" s="363"/>
      <c r="Q498" s="363"/>
      <c r="R498" s="363"/>
      <c r="S498" s="363"/>
      <c r="T498" s="363"/>
      <c r="U498" s="363"/>
      <c r="V498" s="363"/>
      <c r="W498" s="363"/>
      <c r="X498" s="363"/>
      <c r="Y498" s="363"/>
      <c r="Z498" s="363"/>
    </row>
    <row r="499" spans="1:26" ht="13.5" customHeight="1" x14ac:dyDescent="0.2">
      <c r="A499" s="363"/>
      <c r="B499" s="363"/>
      <c r="C499" s="363"/>
      <c r="D499" s="363"/>
      <c r="E499" s="363"/>
      <c r="F499" s="363"/>
      <c r="G499" s="363"/>
      <c r="H499" s="363"/>
      <c r="I499" s="363"/>
      <c r="J499" s="363"/>
      <c r="K499" s="363"/>
      <c r="L499" s="363"/>
      <c r="M499" s="363"/>
      <c r="N499" s="363"/>
      <c r="O499" s="363"/>
      <c r="P499" s="363"/>
      <c r="Q499" s="363"/>
      <c r="R499" s="363"/>
      <c r="S499" s="363"/>
      <c r="T499" s="363"/>
      <c r="U499" s="363"/>
      <c r="V499" s="363"/>
      <c r="W499" s="363"/>
      <c r="X499" s="363"/>
      <c r="Y499" s="363"/>
      <c r="Z499" s="363"/>
    </row>
    <row r="500" spans="1:26" ht="13.5" customHeight="1" x14ac:dyDescent="0.2">
      <c r="A500" s="363"/>
      <c r="B500" s="363"/>
      <c r="C500" s="363"/>
      <c r="D500" s="363"/>
      <c r="E500" s="363"/>
      <c r="F500" s="363"/>
      <c r="G500" s="363"/>
      <c r="H500" s="363"/>
      <c r="I500" s="363"/>
      <c r="J500" s="363"/>
      <c r="K500" s="363"/>
      <c r="L500" s="363"/>
      <c r="M500" s="363"/>
      <c r="N500" s="363"/>
      <c r="O500" s="363"/>
      <c r="P500" s="363"/>
      <c r="Q500" s="363"/>
      <c r="R500" s="363"/>
      <c r="S500" s="363"/>
      <c r="T500" s="363"/>
      <c r="U500" s="363"/>
      <c r="V500" s="363"/>
      <c r="W500" s="363"/>
      <c r="X500" s="363"/>
      <c r="Y500" s="363"/>
      <c r="Z500" s="363"/>
    </row>
    <row r="501" spans="1:26" ht="13.5" customHeight="1" x14ac:dyDescent="0.2">
      <c r="A501" s="363"/>
      <c r="B501" s="363"/>
      <c r="C501" s="363"/>
      <c r="D501" s="363"/>
      <c r="E501" s="363"/>
      <c r="F501" s="363"/>
      <c r="G501" s="363"/>
      <c r="H501" s="363"/>
      <c r="I501" s="363"/>
      <c r="J501" s="363"/>
      <c r="K501" s="363"/>
      <c r="L501" s="363"/>
      <c r="M501" s="363"/>
      <c r="N501" s="363"/>
      <c r="O501" s="363"/>
      <c r="P501" s="363"/>
      <c r="Q501" s="363"/>
      <c r="R501" s="363"/>
      <c r="S501" s="363"/>
      <c r="T501" s="363"/>
      <c r="U501" s="363"/>
      <c r="V501" s="363"/>
      <c r="W501" s="363"/>
      <c r="X501" s="363"/>
      <c r="Y501" s="363"/>
      <c r="Z501" s="363"/>
    </row>
    <row r="502" spans="1:26" ht="13.5" customHeight="1" x14ac:dyDescent="0.2">
      <c r="A502" s="363"/>
      <c r="B502" s="363"/>
      <c r="C502" s="363"/>
      <c r="D502" s="363"/>
      <c r="E502" s="363"/>
      <c r="F502" s="363"/>
      <c r="G502" s="363"/>
      <c r="H502" s="363"/>
      <c r="I502" s="363"/>
      <c r="J502" s="363"/>
      <c r="K502" s="363"/>
      <c r="L502" s="363"/>
      <c r="M502" s="363"/>
      <c r="N502" s="363"/>
      <c r="O502" s="363"/>
      <c r="P502" s="363"/>
      <c r="Q502" s="363"/>
      <c r="R502" s="363"/>
      <c r="S502" s="363"/>
      <c r="T502" s="363"/>
      <c r="U502" s="363"/>
      <c r="V502" s="363"/>
      <c r="W502" s="363"/>
      <c r="X502" s="363"/>
      <c r="Y502" s="363"/>
      <c r="Z502" s="363"/>
    </row>
    <row r="503" spans="1:26" ht="13.5" customHeight="1" x14ac:dyDescent="0.2">
      <c r="A503" s="363"/>
      <c r="B503" s="363"/>
      <c r="C503" s="363"/>
      <c r="D503" s="363"/>
      <c r="E503" s="363"/>
      <c r="F503" s="363"/>
      <c r="G503" s="363"/>
      <c r="H503" s="363"/>
      <c r="I503" s="363"/>
      <c r="J503" s="363"/>
      <c r="K503" s="363"/>
      <c r="L503" s="363"/>
      <c r="M503" s="363"/>
      <c r="N503" s="363"/>
      <c r="O503" s="363"/>
      <c r="P503" s="363"/>
      <c r="Q503" s="363"/>
      <c r="R503" s="363"/>
      <c r="S503" s="363"/>
      <c r="T503" s="363"/>
      <c r="U503" s="363"/>
      <c r="V503" s="363"/>
      <c r="W503" s="363"/>
      <c r="X503" s="363"/>
      <c r="Y503" s="363"/>
      <c r="Z503" s="363"/>
    </row>
    <row r="504" spans="1:26" ht="13.5" customHeight="1" x14ac:dyDescent="0.2">
      <c r="A504" s="363"/>
      <c r="B504" s="363"/>
      <c r="C504" s="363"/>
      <c r="D504" s="363"/>
      <c r="E504" s="363"/>
      <c r="F504" s="363"/>
      <c r="G504" s="363"/>
      <c r="H504" s="363"/>
      <c r="I504" s="363"/>
      <c r="J504" s="363"/>
      <c r="K504" s="363"/>
      <c r="L504" s="363"/>
      <c r="M504" s="363"/>
      <c r="N504" s="363"/>
      <c r="O504" s="363"/>
      <c r="P504" s="363"/>
      <c r="Q504" s="363"/>
      <c r="R504" s="363"/>
      <c r="S504" s="363"/>
      <c r="T504" s="363"/>
      <c r="U504" s="363"/>
      <c r="V504" s="363"/>
      <c r="W504" s="363"/>
      <c r="X504" s="363"/>
      <c r="Y504" s="363"/>
      <c r="Z504" s="363"/>
    </row>
    <row r="505" spans="1:26" ht="13.5" customHeight="1" x14ac:dyDescent="0.2">
      <c r="A505" s="363"/>
      <c r="B505" s="363"/>
      <c r="C505" s="363"/>
      <c r="D505" s="363"/>
      <c r="E505" s="363"/>
      <c r="F505" s="363"/>
      <c r="G505" s="363"/>
      <c r="H505" s="363"/>
      <c r="I505" s="363"/>
      <c r="J505" s="363"/>
      <c r="K505" s="363"/>
      <c r="L505" s="363"/>
      <c r="M505" s="363"/>
      <c r="N505" s="363"/>
      <c r="O505" s="363"/>
      <c r="P505" s="363"/>
      <c r="Q505" s="363"/>
      <c r="R505" s="363"/>
      <c r="S505" s="363"/>
      <c r="T505" s="363"/>
      <c r="U505" s="363"/>
      <c r="V505" s="363"/>
      <c r="W505" s="363"/>
      <c r="X505" s="363"/>
      <c r="Y505" s="363"/>
      <c r="Z505" s="363"/>
    </row>
    <row r="506" spans="1:26" ht="13.5" customHeight="1" x14ac:dyDescent="0.2">
      <c r="A506" s="363"/>
      <c r="B506" s="363"/>
      <c r="C506" s="363"/>
      <c r="D506" s="363"/>
      <c r="E506" s="363"/>
      <c r="F506" s="363"/>
      <c r="G506" s="363"/>
      <c r="H506" s="363"/>
      <c r="I506" s="363"/>
      <c r="J506" s="363"/>
      <c r="K506" s="363"/>
      <c r="L506" s="363"/>
      <c r="M506" s="363"/>
      <c r="N506" s="363"/>
      <c r="O506" s="363"/>
      <c r="P506" s="363"/>
      <c r="Q506" s="363"/>
      <c r="R506" s="363"/>
      <c r="S506" s="363"/>
      <c r="T506" s="363"/>
      <c r="U506" s="363"/>
      <c r="V506" s="363"/>
      <c r="W506" s="363"/>
      <c r="X506" s="363"/>
      <c r="Y506" s="363"/>
      <c r="Z506" s="363"/>
    </row>
    <row r="507" spans="1:26" ht="13.5" customHeight="1" x14ac:dyDescent="0.2">
      <c r="A507" s="363"/>
      <c r="B507" s="363"/>
      <c r="C507" s="363"/>
      <c r="D507" s="363"/>
      <c r="E507" s="363"/>
      <c r="F507" s="363"/>
      <c r="G507" s="363"/>
      <c r="H507" s="363"/>
      <c r="I507" s="363"/>
      <c r="J507" s="363"/>
      <c r="K507" s="363"/>
      <c r="L507" s="363"/>
      <c r="M507" s="363"/>
      <c r="N507" s="363"/>
      <c r="O507" s="363"/>
      <c r="P507" s="363"/>
      <c r="Q507" s="363"/>
      <c r="R507" s="363"/>
      <c r="S507" s="363"/>
      <c r="T507" s="363"/>
      <c r="U507" s="363"/>
      <c r="V507" s="363"/>
      <c r="W507" s="363"/>
      <c r="X507" s="363"/>
      <c r="Y507" s="363"/>
      <c r="Z507" s="363"/>
    </row>
    <row r="508" spans="1:26" ht="13.5" customHeight="1" x14ac:dyDescent="0.2">
      <c r="A508" s="363"/>
      <c r="B508" s="363"/>
      <c r="C508" s="363"/>
      <c r="D508" s="363"/>
      <c r="E508" s="363"/>
      <c r="F508" s="363"/>
      <c r="G508" s="363"/>
      <c r="H508" s="363"/>
      <c r="I508" s="363"/>
      <c r="J508" s="363"/>
      <c r="K508" s="363"/>
      <c r="L508" s="363"/>
      <c r="M508" s="363"/>
      <c r="N508" s="363"/>
      <c r="O508" s="363"/>
      <c r="P508" s="363"/>
      <c r="Q508" s="363"/>
      <c r="R508" s="363"/>
      <c r="S508" s="363"/>
      <c r="T508" s="363"/>
      <c r="U508" s="363"/>
      <c r="V508" s="363"/>
      <c r="W508" s="363"/>
      <c r="X508" s="363"/>
      <c r="Y508" s="363"/>
      <c r="Z508" s="363"/>
    </row>
    <row r="509" spans="1:26" ht="13.5" customHeight="1" x14ac:dyDescent="0.2">
      <c r="A509" s="363"/>
      <c r="B509" s="363"/>
      <c r="C509" s="363"/>
      <c r="D509" s="363"/>
      <c r="E509" s="363"/>
      <c r="F509" s="363"/>
      <c r="G509" s="363"/>
      <c r="H509" s="363"/>
      <c r="I509" s="363"/>
      <c r="J509" s="363"/>
      <c r="K509" s="363"/>
      <c r="L509" s="363"/>
      <c r="M509" s="363"/>
      <c r="N509" s="363"/>
      <c r="O509" s="363"/>
      <c r="P509" s="363"/>
      <c r="Q509" s="363"/>
      <c r="R509" s="363"/>
      <c r="S509" s="363"/>
      <c r="T509" s="363"/>
      <c r="U509" s="363"/>
      <c r="V509" s="363"/>
      <c r="W509" s="363"/>
      <c r="X509" s="363"/>
      <c r="Y509" s="363"/>
      <c r="Z509" s="363"/>
    </row>
    <row r="510" spans="1:26" ht="13.5" customHeight="1" x14ac:dyDescent="0.2">
      <c r="A510" s="363"/>
      <c r="B510" s="363"/>
      <c r="C510" s="363"/>
      <c r="D510" s="363"/>
      <c r="E510" s="363"/>
      <c r="F510" s="363"/>
      <c r="G510" s="363"/>
      <c r="H510" s="363"/>
      <c r="I510" s="363"/>
      <c r="J510" s="363"/>
      <c r="K510" s="363"/>
      <c r="L510" s="363"/>
      <c r="M510" s="363"/>
      <c r="N510" s="363"/>
      <c r="O510" s="363"/>
      <c r="P510" s="363"/>
      <c r="Q510" s="363"/>
      <c r="R510" s="363"/>
      <c r="S510" s="363"/>
      <c r="T510" s="363"/>
      <c r="U510" s="363"/>
      <c r="V510" s="363"/>
      <c r="W510" s="363"/>
      <c r="X510" s="363"/>
      <c r="Y510" s="363"/>
      <c r="Z510" s="363"/>
    </row>
    <row r="511" spans="1:26" ht="13.5" customHeight="1" x14ac:dyDescent="0.2">
      <c r="A511" s="363"/>
      <c r="B511" s="363"/>
      <c r="C511" s="363"/>
      <c r="D511" s="363"/>
      <c r="E511" s="363"/>
      <c r="F511" s="363"/>
      <c r="G511" s="363"/>
      <c r="H511" s="363"/>
      <c r="I511" s="363"/>
      <c r="J511" s="363"/>
      <c r="K511" s="363"/>
      <c r="L511" s="363"/>
      <c r="M511" s="363"/>
      <c r="N511" s="363"/>
      <c r="O511" s="363"/>
      <c r="P511" s="363"/>
      <c r="Q511" s="363"/>
      <c r="R511" s="363"/>
      <c r="S511" s="363"/>
      <c r="T511" s="363"/>
      <c r="U511" s="363"/>
      <c r="V511" s="363"/>
      <c r="W511" s="363"/>
      <c r="X511" s="363"/>
      <c r="Y511" s="363"/>
      <c r="Z511" s="363"/>
    </row>
    <row r="512" spans="1:26" ht="13.5" customHeight="1" x14ac:dyDescent="0.2">
      <c r="A512" s="363"/>
      <c r="B512" s="363"/>
      <c r="C512" s="363"/>
      <c r="D512" s="363"/>
      <c r="E512" s="363"/>
      <c r="F512" s="363"/>
      <c r="G512" s="363"/>
      <c r="H512" s="363"/>
      <c r="I512" s="363"/>
      <c r="J512" s="363"/>
      <c r="K512" s="363"/>
      <c r="L512" s="363"/>
      <c r="M512" s="363"/>
      <c r="N512" s="363"/>
      <c r="O512" s="363"/>
      <c r="P512" s="363"/>
      <c r="Q512" s="363"/>
      <c r="R512" s="363"/>
      <c r="S512" s="363"/>
      <c r="T512" s="363"/>
      <c r="U512" s="363"/>
      <c r="V512" s="363"/>
      <c r="W512" s="363"/>
      <c r="X512" s="363"/>
      <c r="Y512" s="363"/>
      <c r="Z512" s="363"/>
    </row>
    <row r="513" spans="1:26" ht="13.5" customHeight="1" x14ac:dyDescent="0.2">
      <c r="A513" s="363"/>
      <c r="B513" s="363"/>
      <c r="C513" s="363"/>
      <c r="D513" s="363"/>
      <c r="E513" s="363"/>
      <c r="F513" s="363"/>
      <c r="G513" s="363"/>
      <c r="H513" s="363"/>
      <c r="I513" s="363"/>
      <c r="J513" s="363"/>
      <c r="K513" s="363"/>
      <c r="L513" s="363"/>
      <c r="M513" s="363"/>
      <c r="N513" s="363"/>
      <c r="O513" s="363"/>
      <c r="P513" s="363"/>
      <c r="Q513" s="363"/>
      <c r="R513" s="363"/>
      <c r="S513" s="363"/>
      <c r="T513" s="363"/>
      <c r="U513" s="363"/>
      <c r="V513" s="363"/>
      <c r="W513" s="363"/>
      <c r="X513" s="363"/>
      <c r="Y513" s="363"/>
      <c r="Z513" s="363"/>
    </row>
    <row r="514" spans="1:26" ht="13.5" customHeight="1" x14ac:dyDescent="0.2">
      <c r="A514" s="363"/>
      <c r="B514" s="363"/>
      <c r="C514" s="363"/>
      <c r="D514" s="363"/>
      <c r="E514" s="363"/>
      <c r="F514" s="363"/>
      <c r="G514" s="363"/>
      <c r="H514" s="363"/>
      <c r="I514" s="363"/>
      <c r="J514" s="363"/>
      <c r="K514" s="363"/>
      <c r="L514" s="363"/>
      <c r="M514" s="363"/>
      <c r="N514" s="363"/>
      <c r="O514" s="363"/>
      <c r="P514" s="363"/>
      <c r="Q514" s="363"/>
      <c r="R514" s="363"/>
      <c r="S514" s="363"/>
      <c r="T514" s="363"/>
      <c r="U514" s="363"/>
      <c r="V514" s="363"/>
      <c r="W514" s="363"/>
      <c r="X514" s="363"/>
      <c r="Y514" s="363"/>
      <c r="Z514" s="363"/>
    </row>
    <row r="515" spans="1:26" ht="13.5" customHeight="1" x14ac:dyDescent="0.2">
      <c r="A515" s="363"/>
      <c r="B515" s="363"/>
      <c r="C515" s="363"/>
      <c r="D515" s="363"/>
      <c r="E515" s="363"/>
      <c r="F515" s="363"/>
      <c r="G515" s="363"/>
      <c r="H515" s="363"/>
      <c r="I515" s="363"/>
      <c r="J515" s="363"/>
      <c r="K515" s="363"/>
      <c r="L515" s="363"/>
      <c r="M515" s="363"/>
      <c r="N515" s="363"/>
      <c r="O515" s="363"/>
      <c r="P515" s="363"/>
      <c r="Q515" s="363"/>
      <c r="R515" s="363"/>
      <c r="S515" s="363"/>
      <c r="T515" s="363"/>
      <c r="U515" s="363"/>
      <c r="V515" s="363"/>
      <c r="W515" s="363"/>
      <c r="X515" s="363"/>
      <c r="Y515" s="363"/>
      <c r="Z515" s="363"/>
    </row>
    <row r="516" spans="1:26" ht="13.5" customHeight="1" x14ac:dyDescent="0.2">
      <c r="A516" s="363"/>
      <c r="B516" s="363"/>
      <c r="C516" s="363"/>
      <c r="D516" s="363"/>
      <c r="E516" s="363"/>
      <c r="F516" s="363"/>
      <c r="G516" s="363"/>
      <c r="H516" s="363"/>
      <c r="I516" s="363"/>
      <c r="J516" s="363"/>
      <c r="K516" s="363"/>
      <c r="L516" s="363"/>
      <c r="M516" s="363"/>
      <c r="N516" s="363"/>
      <c r="O516" s="363"/>
      <c r="P516" s="363"/>
      <c r="Q516" s="363"/>
      <c r="R516" s="363"/>
      <c r="S516" s="363"/>
      <c r="T516" s="363"/>
      <c r="U516" s="363"/>
      <c r="V516" s="363"/>
      <c r="W516" s="363"/>
      <c r="X516" s="363"/>
      <c r="Y516" s="363"/>
      <c r="Z516" s="363"/>
    </row>
    <row r="517" spans="1:26" ht="13.5" customHeight="1" x14ac:dyDescent="0.2">
      <c r="A517" s="363"/>
      <c r="B517" s="363"/>
      <c r="C517" s="363"/>
      <c r="D517" s="363"/>
      <c r="E517" s="363"/>
      <c r="F517" s="363"/>
      <c r="G517" s="363"/>
      <c r="H517" s="363"/>
      <c r="I517" s="363"/>
      <c r="J517" s="363"/>
      <c r="K517" s="363"/>
      <c r="L517" s="363"/>
      <c r="M517" s="363"/>
      <c r="N517" s="363"/>
      <c r="O517" s="363"/>
      <c r="P517" s="363"/>
      <c r="Q517" s="363"/>
      <c r="R517" s="363"/>
      <c r="S517" s="363"/>
      <c r="T517" s="363"/>
      <c r="U517" s="363"/>
      <c r="V517" s="363"/>
      <c r="W517" s="363"/>
      <c r="X517" s="363"/>
      <c r="Y517" s="363"/>
      <c r="Z517" s="363"/>
    </row>
    <row r="518" spans="1:26" ht="13.5" customHeight="1" x14ac:dyDescent="0.2">
      <c r="A518" s="363"/>
      <c r="B518" s="363"/>
      <c r="C518" s="363"/>
      <c r="D518" s="363"/>
      <c r="E518" s="363"/>
      <c r="F518" s="363"/>
      <c r="G518" s="363"/>
      <c r="H518" s="363"/>
      <c r="I518" s="363"/>
      <c r="J518" s="363"/>
      <c r="K518" s="363"/>
      <c r="L518" s="363"/>
      <c r="M518" s="363"/>
      <c r="N518" s="363"/>
      <c r="O518" s="363"/>
      <c r="P518" s="363"/>
      <c r="Q518" s="363"/>
      <c r="R518" s="363"/>
      <c r="S518" s="363"/>
      <c r="T518" s="363"/>
      <c r="U518" s="363"/>
      <c r="V518" s="363"/>
      <c r="W518" s="363"/>
      <c r="X518" s="363"/>
      <c r="Y518" s="363"/>
      <c r="Z518" s="363"/>
    </row>
    <row r="519" spans="1:26" ht="13.5" customHeight="1" x14ac:dyDescent="0.2">
      <c r="A519" s="363"/>
      <c r="B519" s="363"/>
      <c r="C519" s="363"/>
      <c r="D519" s="363"/>
      <c r="E519" s="363"/>
      <c r="F519" s="363"/>
      <c r="G519" s="363"/>
      <c r="H519" s="363"/>
      <c r="I519" s="363"/>
      <c r="J519" s="363"/>
      <c r="K519" s="363"/>
      <c r="L519" s="363"/>
      <c r="M519" s="363"/>
      <c r="N519" s="363"/>
      <c r="O519" s="363"/>
      <c r="P519" s="363"/>
      <c r="Q519" s="363"/>
      <c r="R519" s="363"/>
      <c r="S519" s="363"/>
      <c r="T519" s="363"/>
      <c r="U519" s="363"/>
      <c r="V519" s="363"/>
      <c r="W519" s="363"/>
      <c r="X519" s="363"/>
      <c r="Y519" s="363"/>
      <c r="Z519" s="363"/>
    </row>
    <row r="520" spans="1:26" ht="13.5" customHeight="1" x14ac:dyDescent="0.2">
      <c r="A520" s="363"/>
      <c r="B520" s="363"/>
      <c r="C520" s="363"/>
      <c r="D520" s="363"/>
      <c r="E520" s="363"/>
      <c r="F520" s="363"/>
      <c r="G520" s="363"/>
      <c r="H520" s="363"/>
      <c r="I520" s="363"/>
      <c r="J520" s="363"/>
      <c r="K520" s="363"/>
      <c r="L520" s="363"/>
      <c r="M520" s="363"/>
      <c r="N520" s="363"/>
      <c r="O520" s="363"/>
      <c r="P520" s="363"/>
      <c r="Q520" s="363"/>
      <c r="R520" s="363"/>
      <c r="S520" s="363"/>
      <c r="T520" s="363"/>
      <c r="U520" s="363"/>
      <c r="V520" s="363"/>
      <c r="W520" s="363"/>
      <c r="X520" s="363"/>
      <c r="Y520" s="363"/>
      <c r="Z520" s="363"/>
    </row>
    <row r="521" spans="1:26" ht="13.5" customHeight="1" x14ac:dyDescent="0.2">
      <c r="A521" s="363"/>
      <c r="B521" s="363"/>
      <c r="C521" s="363"/>
      <c r="D521" s="363"/>
      <c r="E521" s="363"/>
      <c r="F521" s="363"/>
      <c r="G521" s="363"/>
      <c r="H521" s="363"/>
      <c r="I521" s="363"/>
      <c r="J521" s="363"/>
      <c r="K521" s="363"/>
      <c r="L521" s="363"/>
      <c r="M521" s="363"/>
      <c r="N521" s="363"/>
      <c r="O521" s="363"/>
      <c r="P521" s="363"/>
      <c r="Q521" s="363"/>
      <c r="R521" s="363"/>
      <c r="S521" s="363"/>
      <c r="T521" s="363"/>
      <c r="U521" s="363"/>
      <c r="V521" s="363"/>
      <c r="W521" s="363"/>
      <c r="X521" s="363"/>
      <c r="Y521" s="363"/>
      <c r="Z521" s="363"/>
    </row>
    <row r="522" spans="1:26" ht="13.5" customHeight="1" x14ac:dyDescent="0.2">
      <c r="A522" s="363"/>
      <c r="B522" s="363"/>
      <c r="C522" s="363"/>
      <c r="D522" s="363"/>
      <c r="E522" s="363"/>
      <c r="F522" s="363"/>
      <c r="G522" s="363"/>
      <c r="H522" s="363"/>
      <c r="I522" s="363"/>
      <c r="J522" s="363"/>
      <c r="K522" s="363"/>
      <c r="L522" s="363"/>
      <c r="M522" s="363"/>
      <c r="N522" s="363"/>
      <c r="O522" s="363"/>
      <c r="P522" s="363"/>
      <c r="Q522" s="363"/>
      <c r="R522" s="363"/>
      <c r="S522" s="363"/>
      <c r="T522" s="363"/>
      <c r="U522" s="363"/>
      <c r="V522" s="363"/>
      <c r="W522" s="363"/>
      <c r="X522" s="363"/>
      <c r="Y522" s="363"/>
      <c r="Z522" s="363"/>
    </row>
    <row r="523" spans="1:26" ht="13.5" customHeight="1" x14ac:dyDescent="0.2">
      <c r="A523" s="363"/>
      <c r="B523" s="363"/>
      <c r="C523" s="363"/>
      <c r="D523" s="363"/>
      <c r="E523" s="363"/>
      <c r="F523" s="363"/>
      <c r="G523" s="363"/>
      <c r="H523" s="363"/>
      <c r="I523" s="363"/>
      <c r="J523" s="363"/>
      <c r="K523" s="363"/>
      <c r="L523" s="363"/>
      <c r="M523" s="363"/>
      <c r="N523" s="363"/>
      <c r="O523" s="363"/>
      <c r="P523" s="363"/>
      <c r="Q523" s="363"/>
      <c r="R523" s="363"/>
      <c r="S523" s="363"/>
      <c r="T523" s="363"/>
      <c r="U523" s="363"/>
      <c r="V523" s="363"/>
      <c r="W523" s="363"/>
      <c r="X523" s="363"/>
      <c r="Y523" s="363"/>
      <c r="Z523" s="363"/>
    </row>
    <row r="524" spans="1:26" ht="13.5" customHeight="1" x14ac:dyDescent="0.2">
      <c r="A524" s="363"/>
      <c r="B524" s="363"/>
      <c r="C524" s="363"/>
      <c r="D524" s="363"/>
      <c r="E524" s="363"/>
      <c r="F524" s="363"/>
      <c r="G524" s="363"/>
      <c r="H524" s="363"/>
      <c r="I524" s="363"/>
      <c r="J524" s="363"/>
      <c r="K524" s="363"/>
      <c r="L524" s="363"/>
      <c r="M524" s="363"/>
      <c r="N524" s="363"/>
      <c r="O524" s="363"/>
      <c r="P524" s="363"/>
      <c r="Q524" s="363"/>
      <c r="R524" s="363"/>
      <c r="S524" s="363"/>
      <c r="T524" s="363"/>
      <c r="U524" s="363"/>
      <c r="V524" s="363"/>
      <c r="W524" s="363"/>
      <c r="X524" s="363"/>
      <c r="Y524" s="363"/>
      <c r="Z524" s="363"/>
    </row>
    <row r="525" spans="1:26" ht="13.5" customHeight="1" x14ac:dyDescent="0.2">
      <c r="A525" s="363"/>
      <c r="B525" s="363"/>
      <c r="C525" s="363"/>
      <c r="D525" s="363"/>
      <c r="E525" s="363"/>
      <c r="F525" s="363"/>
      <c r="G525" s="363"/>
      <c r="H525" s="363"/>
      <c r="I525" s="363"/>
      <c r="J525" s="363"/>
      <c r="K525" s="363"/>
      <c r="L525" s="363"/>
      <c r="M525" s="363"/>
      <c r="N525" s="363"/>
      <c r="O525" s="363"/>
      <c r="P525" s="363"/>
      <c r="Q525" s="363"/>
      <c r="R525" s="363"/>
      <c r="S525" s="363"/>
      <c r="T525" s="363"/>
      <c r="U525" s="363"/>
      <c r="V525" s="363"/>
      <c r="W525" s="363"/>
      <c r="X525" s="363"/>
      <c r="Y525" s="363"/>
      <c r="Z525" s="363"/>
    </row>
    <row r="526" spans="1:26" ht="13.5" customHeight="1" x14ac:dyDescent="0.2">
      <c r="A526" s="363"/>
      <c r="B526" s="363"/>
      <c r="C526" s="363"/>
      <c r="D526" s="363"/>
      <c r="E526" s="363"/>
      <c r="F526" s="363"/>
      <c r="G526" s="363"/>
      <c r="H526" s="363"/>
      <c r="I526" s="363"/>
      <c r="J526" s="363"/>
      <c r="K526" s="363"/>
      <c r="L526" s="363"/>
      <c r="M526" s="363"/>
      <c r="N526" s="363"/>
      <c r="O526" s="363"/>
      <c r="P526" s="363"/>
      <c r="Q526" s="363"/>
      <c r="R526" s="363"/>
      <c r="S526" s="363"/>
      <c r="T526" s="363"/>
      <c r="U526" s="363"/>
      <c r="V526" s="363"/>
      <c r="W526" s="363"/>
      <c r="X526" s="363"/>
      <c r="Y526" s="363"/>
      <c r="Z526" s="363"/>
    </row>
    <row r="527" spans="1:26" ht="13.5" customHeight="1" x14ac:dyDescent="0.2">
      <c r="A527" s="363"/>
      <c r="B527" s="363"/>
      <c r="C527" s="363"/>
      <c r="D527" s="363"/>
      <c r="E527" s="363"/>
      <c r="F527" s="363"/>
      <c r="G527" s="363"/>
      <c r="H527" s="363"/>
      <c r="I527" s="363"/>
      <c r="J527" s="363"/>
      <c r="K527" s="363"/>
      <c r="L527" s="363"/>
      <c r="M527" s="363"/>
      <c r="N527" s="363"/>
      <c r="O527" s="363"/>
      <c r="P527" s="363"/>
      <c r="Q527" s="363"/>
      <c r="R527" s="363"/>
      <c r="S527" s="363"/>
      <c r="T527" s="363"/>
      <c r="U527" s="363"/>
      <c r="V527" s="363"/>
      <c r="W527" s="363"/>
      <c r="X527" s="363"/>
      <c r="Y527" s="363"/>
      <c r="Z527" s="363"/>
    </row>
    <row r="528" spans="1:26" ht="13.5" customHeight="1" x14ac:dyDescent="0.2">
      <c r="A528" s="363"/>
      <c r="B528" s="363"/>
      <c r="C528" s="363"/>
      <c r="D528" s="363"/>
      <c r="E528" s="363"/>
      <c r="F528" s="363"/>
      <c r="G528" s="363"/>
      <c r="H528" s="363"/>
      <c r="I528" s="363"/>
      <c r="J528" s="363"/>
      <c r="K528" s="363"/>
      <c r="L528" s="363"/>
      <c r="M528" s="363"/>
      <c r="N528" s="363"/>
      <c r="O528" s="363"/>
      <c r="P528" s="363"/>
      <c r="Q528" s="363"/>
      <c r="R528" s="363"/>
      <c r="S528" s="363"/>
      <c r="T528" s="363"/>
      <c r="U528" s="363"/>
      <c r="V528" s="363"/>
      <c r="W528" s="363"/>
      <c r="X528" s="363"/>
      <c r="Y528" s="363"/>
      <c r="Z528" s="363"/>
    </row>
    <row r="529" spans="1:26" ht="13.5" customHeight="1" x14ac:dyDescent="0.2">
      <c r="A529" s="363"/>
      <c r="B529" s="363"/>
      <c r="C529" s="363"/>
      <c r="D529" s="363"/>
      <c r="E529" s="363"/>
      <c r="F529" s="363"/>
      <c r="G529" s="363"/>
      <c r="H529" s="363"/>
      <c r="I529" s="363"/>
      <c r="J529" s="363"/>
      <c r="K529" s="363"/>
      <c r="L529" s="363"/>
      <c r="M529" s="363"/>
      <c r="N529" s="363"/>
      <c r="O529" s="363"/>
      <c r="P529" s="363"/>
      <c r="Q529" s="363"/>
      <c r="R529" s="363"/>
      <c r="S529" s="363"/>
      <c r="T529" s="363"/>
      <c r="U529" s="363"/>
      <c r="V529" s="363"/>
      <c r="W529" s="363"/>
      <c r="X529" s="363"/>
      <c r="Y529" s="363"/>
      <c r="Z529" s="363"/>
    </row>
    <row r="530" spans="1:26" ht="13.5" customHeight="1" x14ac:dyDescent="0.2">
      <c r="A530" s="363"/>
      <c r="B530" s="363"/>
      <c r="C530" s="363"/>
      <c r="D530" s="363"/>
      <c r="E530" s="363"/>
      <c r="F530" s="363"/>
      <c r="G530" s="363"/>
      <c r="H530" s="363"/>
      <c r="I530" s="363"/>
      <c r="J530" s="363"/>
      <c r="K530" s="363"/>
      <c r="L530" s="363"/>
      <c r="M530" s="363"/>
      <c r="N530" s="363"/>
      <c r="O530" s="363"/>
      <c r="P530" s="363"/>
      <c r="Q530" s="363"/>
      <c r="R530" s="363"/>
      <c r="S530" s="363"/>
      <c r="T530" s="363"/>
      <c r="U530" s="363"/>
      <c r="V530" s="363"/>
      <c r="W530" s="363"/>
      <c r="X530" s="363"/>
      <c r="Y530" s="363"/>
      <c r="Z530" s="363"/>
    </row>
    <row r="531" spans="1:26" ht="13.5" customHeight="1" x14ac:dyDescent="0.2">
      <c r="A531" s="363"/>
      <c r="B531" s="363"/>
      <c r="C531" s="363"/>
      <c r="D531" s="363"/>
      <c r="E531" s="363"/>
      <c r="F531" s="363"/>
      <c r="G531" s="363"/>
      <c r="H531" s="363"/>
      <c r="I531" s="363"/>
      <c r="J531" s="363"/>
      <c r="K531" s="363"/>
      <c r="L531" s="363"/>
      <c r="M531" s="363"/>
      <c r="N531" s="363"/>
      <c r="O531" s="363"/>
      <c r="P531" s="363"/>
      <c r="Q531" s="363"/>
      <c r="R531" s="363"/>
      <c r="S531" s="363"/>
      <c r="T531" s="363"/>
      <c r="U531" s="363"/>
      <c r="V531" s="363"/>
      <c r="W531" s="363"/>
      <c r="X531" s="363"/>
      <c r="Y531" s="363"/>
      <c r="Z531" s="363"/>
    </row>
    <row r="532" spans="1:26" ht="13.5" customHeight="1" x14ac:dyDescent="0.2">
      <c r="A532" s="363"/>
      <c r="B532" s="363"/>
      <c r="C532" s="363"/>
      <c r="D532" s="363"/>
      <c r="E532" s="363"/>
      <c r="F532" s="363"/>
      <c r="G532" s="363"/>
      <c r="H532" s="363"/>
      <c r="I532" s="363"/>
      <c r="J532" s="363"/>
      <c r="K532" s="363"/>
      <c r="L532" s="363"/>
      <c r="M532" s="363"/>
      <c r="N532" s="363"/>
      <c r="O532" s="363"/>
      <c r="P532" s="363"/>
      <c r="Q532" s="363"/>
      <c r="R532" s="363"/>
      <c r="S532" s="363"/>
      <c r="T532" s="363"/>
      <c r="U532" s="363"/>
      <c r="V532" s="363"/>
      <c r="W532" s="363"/>
      <c r="X532" s="363"/>
      <c r="Y532" s="363"/>
      <c r="Z532" s="363"/>
    </row>
    <row r="533" spans="1:26" ht="13.5" customHeight="1" x14ac:dyDescent="0.2">
      <c r="A533" s="363"/>
      <c r="B533" s="363"/>
      <c r="C533" s="363"/>
      <c r="D533" s="363"/>
      <c r="E533" s="363"/>
      <c r="F533" s="363"/>
      <c r="G533" s="363"/>
      <c r="H533" s="363"/>
      <c r="I533" s="363"/>
      <c r="J533" s="363"/>
      <c r="K533" s="363"/>
      <c r="L533" s="363"/>
      <c r="M533" s="363"/>
      <c r="N533" s="363"/>
      <c r="O533" s="363"/>
      <c r="P533" s="363"/>
      <c r="Q533" s="363"/>
      <c r="R533" s="363"/>
      <c r="S533" s="363"/>
      <c r="T533" s="363"/>
      <c r="U533" s="363"/>
      <c r="V533" s="363"/>
      <c r="W533" s="363"/>
      <c r="X533" s="363"/>
      <c r="Y533" s="363"/>
      <c r="Z533" s="363"/>
    </row>
    <row r="534" spans="1:26" ht="13.5" customHeight="1" x14ac:dyDescent="0.2">
      <c r="A534" s="363"/>
      <c r="B534" s="363"/>
      <c r="C534" s="363"/>
      <c r="D534" s="363"/>
      <c r="E534" s="363"/>
      <c r="F534" s="363"/>
      <c r="G534" s="363"/>
      <c r="H534" s="363"/>
      <c r="I534" s="363"/>
      <c r="J534" s="363"/>
      <c r="K534" s="363"/>
      <c r="L534" s="363"/>
      <c r="M534" s="363"/>
      <c r="N534" s="363"/>
      <c r="O534" s="363"/>
      <c r="P534" s="363"/>
      <c r="Q534" s="363"/>
      <c r="R534" s="363"/>
      <c r="S534" s="363"/>
      <c r="T534" s="363"/>
      <c r="U534" s="363"/>
      <c r="V534" s="363"/>
      <c r="W534" s="363"/>
      <c r="X534" s="363"/>
      <c r="Y534" s="363"/>
      <c r="Z534" s="363"/>
    </row>
    <row r="535" spans="1:26" ht="13.5" customHeight="1" x14ac:dyDescent="0.2">
      <c r="A535" s="363"/>
      <c r="B535" s="363"/>
      <c r="C535" s="363"/>
      <c r="D535" s="363"/>
      <c r="E535" s="363"/>
      <c r="F535" s="363"/>
      <c r="G535" s="363"/>
      <c r="H535" s="363"/>
      <c r="I535" s="363"/>
      <c r="J535" s="363"/>
      <c r="K535" s="363"/>
      <c r="L535" s="363"/>
      <c r="M535" s="363"/>
      <c r="N535" s="363"/>
      <c r="O535" s="363"/>
      <c r="P535" s="363"/>
      <c r="Q535" s="363"/>
      <c r="R535" s="363"/>
      <c r="S535" s="363"/>
      <c r="T535" s="363"/>
      <c r="U535" s="363"/>
      <c r="V535" s="363"/>
      <c r="W535" s="363"/>
      <c r="X535" s="363"/>
      <c r="Y535" s="363"/>
      <c r="Z535" s="363"/>
    </row>
    <row r="536" spans="1:26" ht="13.5" customHeight="1" x14ac:dyDescent="0.2">
      <c r="A536" s="363"/>
      <c r="B536" s="363"/>
      <c r="C536" s="363"/>
      <c r="D536" s="363"/>
      <c r="E536" s="363"/>
      <c r="F536" s="363"/>
      <c r="G536" s="363"/>
      <c r="H536" s="363"/>
      <c r="I536" s="363"/>
      <c r="J536" s="363"/>
      <c r="K536" s="363"/>
      <c r="L536" s="363"/>
      <c r="M536" s="363"/>
      <c r="N536" s="363"/>
      <c r="O536" s="363"/>
      <c r="P536" s="363"/>
      <c r="Q536" s="363"/>
      <c r="R536" s="363"/>
      <c r="S536" s="363"/>
      <c r="T536" s="363"/>
      <c r="U536" s="363"/>
      <c r="V536" s="363"/>
      <c r="W536" s="363"/>
      <c r="X536" s="363"/>
      <c r="Y536" s="363"/>
      <c r="Z536" s="363"/>
    </row>
    <row r="537" spans="1:26" ht="13.5" customHeight="1" x14ac:dyDescent="0.2">
      <c r="A537" s="363"/>
      <c r="B537" s="363"/>
      <c r="C537" s="363"/>
      <c r="D537" s="363"/>
      <c r="E537" s="363"/>
      <c r="F537" s="363"/>
      <c r="G537" s="363"/>
      <c r="H537" s="363"/>
      <c r="I537" s="363"/>
      <c r="J537" s="363"/>
      <c r="K537" s="363"/>
      <c r="L537" s="363"/>
      <c r="M537" s="363"/>
      <c r="N537" s="363"/>
      <c r="O537" s="363"/>
      <c r="P537" s="363"/>
      <c r="Q537" s="363"/>
      <c r="R537" s="363"/>
      <c r="S537" s="363"/>
      <c r="T537" s="363"/>
      <c r="U537" s="363"/>
      <c r="V537" s="363"/>
      <c r="W537" s="363"/>
      <c r="X537" s="363"/>
      <c r="Y537" s="363"/>
      <c r="Z537" s="363"/>
    </row>
    <row r="538" spans="1:26" ht="13.5" customHeight="1" x14ac:dyDescent="0.2">
      <c r="A538" s="363"/>
      <c r="B538" s="363"/>
      <c r="C538" s="363"/>
      <c r="D538" s="363"/>
      <c r="E538" s="363"/>
      <c r="F538" s="363"/>
      <c r="G538" s="363"/>
      <c r="H538" s="363"/>
      <c r="I538" s="363"/>
      <c r="J538" s="363"/>
      <c r="K538" s="363"/>
      <c r="L538" s="363"/>
      <c r="M538" s="363"/>
      <c r="N538" s="363"/>
      <c r="O538" s="363"/>
      <c r="P538" s="363"/>
      <c r="Q538" s="363"/>
      <c r="R538" s="363"/>
      <c r="S538" s="363"/>
      <c r="T538" s="363"/>
      <c r="U538" s="363"/>
      <c r="V538" s="363"/>
      <c r="W538" s="363"/>
      <c r="X538" s="363"/>
      <c r="Y538" s="363"/>
      <c r="Z538" s="363"/>
    </row>
    <row r="539" spans="1:26" ht="13.5" customHeight="1" x14ac:dyDescent="0.2">
      <c r="A539" s="363"/>
      <c r="B539" s="363"/>
      <c r="C539" s="363"/>
      <c r="D539" s="363"/>
      <c r="E539" s="363"/>
      <c r="F539" s="363"/>
      <c r="G539" s="363"/>
      <c r="H539" s="363"/>
      <c r="I539" s="363"/>
      <c r="J539" s="363"/>
      <c r="K539" s="363"/>
      <c r="L539" s="363"/>
      <c r="M539" s="363"/>
      <c r="N539" s="363"/>
      <c r="O539" s="363"/>
      <c r="P539" s="363"/>
      <c r="Q539" s="363"/>
      <c r="R539" s="363"/>
      <c r="S539" s="363"/>
      <c r="T539" s="363"/>
      <c r="U539" s="363"/>
      <c r="V539" s="363"/>
      <c r="W539" s="363"/>
      <c r="X539" s="363"/>
      <c r="Y539" s="363"/>
      <c r="Z539" s="363"/>
    </row>
    <row r="540" spans="1:26" ht="13.5" customHeight="1" x14ac:dyDescent="0.2">
      <c r="A540" s="363"/>
      <c r="B540" s="363"/>
      <c r="C540" s="363"/>
      <c r="D540" s="363"/>
      <c r="E540" s="363"/>
      <c r="F540" s="363"/>
      <c r="G540" s="363"/>
      <c r="H540" s="363"/>
      <c r="I540" s="363"/>
      <c r="J540" s="363"/>
      <c r="K540" s="363"/>
      <c r="L540" s="363"/>
      <c r="M540" s="363"/>
      <c r="N540" s="363"/>
      <c r="O540" s="363"/>
      <c r="P540" s="363"/>
      <c r="Q540" s="363"/>
      <c r="R540" s="363"/>
      <c r="S540" s="363"/>
      <c r="T540" s="363"/>
      <c r="U540" s="363"/>
      <c r="V540" s="363"/>
      <c r="W540" s="363"/>
      <c r="X540" s="363"/>
      <c r="Y540" s="363"/>
      <c r="Z540" s="363"/>
    </row>
    <row r="541" spans="1:26" ht="13.5" customHeight="1" x14ac:dyDescent="0.2">
      <c r="A541" s="363"/>
      <c r="B541" s="363"/>
      <c r="C541" s="363"/>
      <c r="D541" s="363"/>
      <c r="E541" s="363"/>
      <c r="F541" s="363"/>
      <c r="G541" s="363"/>
      <c r="H541" s="363"/>
      <c r="I541" s="363"/>
      <c r="J541" s="363"/>
      <c r="K541" s="363"/>
      <c r="L541" s="363"/>
      <c r="M541" s="363"/>
      <c r="N541" s="363"/>
      <c r="O541" s="363"/>
      <c r="P541" s="363"/>
      <c r="Q541" s="363"/>
      <c r="R541" s="363"/>
      <c r="S541" s="363"/>
      <c r="T541" s="363"/>
      <c r="U541" s="363"/>
      <c r="V541" s="363"/>
      <c r="W541" s="363"/>
      <c r="X541" s="363"/>
      <c r="Y541" s="363"/>
      <c r="Z541" s="363"/>
    </row>
    <row r="542" spans="1:26" ht="13.5" customHeight="1" x14ac:dyDescent="0.2">
      <c r="A542" s="363"/>
      <c r="B542" s="363"/>
      <c r="C542" s="363"/>
      <c r="D542" s="363"/>
      <c r="E542" s="363"/>
      <c r="F542" s="363"/>
      <c r="G542" s="363"/>
      <c r="H542" s="363"/>
      <c r="I542" s="363"/>
      <c r="J542" s="363"/>
      <c r="K542" s="363"/>
      <c r="L542" s="363"/>
      <c r="M542" s="363"/>
      <c r="N542" s="363"/>
      <c r="O542" s="363"/>
      <c r="P542" s="363"/>
      <c r="Q542" s="363"/>
      <c r="R542" s="363"/>
      <c r="S542" s="363"/>
      <c r="T542" s="363"/>
      <c r="U542" s="363"/>
      <c r="V542" s="363"/>
      <c r="W542" s="363"/>
      <c r="X542" s="363"/>
      <c r="Y542" s="363"/>
      <c r="Z542" s="363"/>
    </row>
    <row r="543" spans="1:26" ht="13.5" customHeight="1" x14ac:dyDescent="0.2">
      <c r="A543" s="363"/>
      <c r="B543" s="363"/>
      <c r="C543" s="363"/>
      <c r="D543" s="363"/>
      <c r="E543" s="363"/>
      <c r="F543" s="363"/>
      <c r="G543" s="363"/>
      <c r="H543" s="363"/>
      <c r="I543" s="363"/>
      <c r="J543" s="363"/>
      <c r="K543" s="363"/>
      <c r="L543" s="363"/>
      <c r="M543" s="363"/>
      <c r="N543" s="363"/>
      <c r="O543" s="363"/>
      <c r="P543" s="363"/>
      <c r="Q543" s="363"/>
      <c r="R543" s="363"/>
      <c r="S543" s="363"/>
      <c r="T543" s="363"/>
      <c r="U543" s="363"/>
      <c r="V543" s="363"/>
      <c r="W543" s="363"/>
      <c r="X543" s="363"/>
      <c r="Y543" s="363"/>
      <c r="Z543" s="363"/>
    </row>
    <row r="544" spans="1:26" ht="13.5" customHeight="1" x14ac:dyDescent="0.2">
      <c r="A544" s="363"/>
      <c r="B544" s="363"/>
      <c r="C544" s="363"/>
      <c r="D544" s="363"/>
      <c r="E544" s="363"/>
      <c r="F544" s="363"/>
      <c r="G544" s="363"/>
      <c r="H544" s="363"/>
      <c r="I544" s="363"/>
      <c r="J544" s="363"/>
      <c r="K544" s="363"/>
      <c r="L544" s="363"/>
      <c r="M544" s="363"/>
      <c r="N544" s="363"/>
      <c r="O544" s="363"/>
      <c r="P544" s="363"/>
      <c r="Q544" s="363"/>
      <c r="R544" s="363"/>
      <c r="S544" s="363"/>
      <c r="T544" s="363"/>
      <c r="U544" s="363"/>
      <c r="V544" s="363"/>
      <c r="W544" s="363"/>
      <c r="X544" s="363"/>
      <c r="Y544" s="363"/>
      <c r="Z544" s="363"/>
    </row>
    <row r="545" spans="1:26" ht="13.5" customHeight="1" x14ac:dyDescent="0.2">
      <c r="A545" s="363"/>
      <c r="B545" s="363"/>
      <c r="C545" s="363"/>
      <c r="D545" s="363"/>
      <c r="E545" s="363"/>
      <c r="F545" s="363"/>
      <c r="G545" s="363"/>
      <c r="H545" s="363"/>
      <c r="I545" s="363"/>
      <c r="J545" s="363"/>
      <c r="K545" s="363"/>
      <c r="L545" s="363"/>
      <c r="M545" s="363"/>
      <c r="N545" s="363"/>
      <c r="O545" s="363"/>
      <c r="P545" s="363"/>
      <c r="Q545" s="363"/>
      <c r="R545" s="363"/>
      <c r="S545" s="363"/>
      <c r="T545" s="363"/>
      <c r="U545" s="363"/>
      <c r="V545" s="363"/>
      <c r="W545" s="363"/>
      <c r="X545" s="363"/>
      <c r="Y545" s="363"/>
      <c r="Z545" s="363"/>
    </row>
    <row r="546" spans="1:26" ht="13.5" customHeight="1" x14ac:dyDescent="0.2">
      <c r="A546" s="363"/>
      <c r="B546" s="363"/>
      <c r="C546" s="363"/>
      <c r="D546" s="363"/>
      <c r="E546" s="363"/>
      <c r="F546" s="363"/>
      <c r="G546" s="363"/>
      <c r="H546" s="363"/>
      <c r="I546" s="363"/>
      <c r="J546" s="363"/>
      <c r="K546" s="363"/>
      <c r="L546" s="363"/>
      <c r="M546" s="363"/>
      <c r="N546" s="363"/>
      <c r="O546" s="363"/>
      <c r="P546" s="363"/>
      <c r="Q546" s="363"/>
      <c r="R546" s="363"/>
      <c r="S546" s="363"/>
      <c r="T546" s="363"/>
      <c r="U546" s="363"/>
      <c r="V546" s="363"/>
      <c r="W546" s="363"/>
      <c r="X546" s="363"/>
      <c r="Y546" s="363"/>
      <c r="Z546" s="363"/>
    </row>
    <row r="547" spans="1:26" ht="13.5" customHeight="1" x14ac:dyDescent="0.2">
      <c r="A547" s="363"/>
      <c r="B547" s="363"/>
      <c r="C547" s="363"/>
      <c r="D547" s="363"/>
      <c r="E547" s="363"/>
      <c r="F547" s="363"/>
      <c r="G547" s="363"/>
      <c r="H547" s="363"/>
      <c r="I547" s="363"/>
      <c r="J547" s="363"/>
      <c r="K547" s="363"/>
      <c r="L547" s="363"/>
      <c r="M547" s="363"/>
      <c r="N547" s="363"/>
      <c r="O547" s="363"/>
      <c r="P547" s="363"/>
      <c r="Q547" s="363"/>
      <c r="R547" s="363"/>
      <c r="S547" s="363"/>
      <c r="T547" s="363"/>
      <c r="U547" s="363"/>
      <c r="V547" s="363"/>
      <c r="W547" s="363"/>
      <c r="X547" s="363"/>
      <c r="Y547" s="363"/>
      <c r="Z547" s="363"/>
    </row>
    <row r="548" spans="1:26" ht="13.5" customHeight="1" x14ac:dyDescent="0.2">
      <c r="A548" s="363"/>
      <c r="B548" s="363"/>
      <c r="C548" s="363"/>
      <c r="D548" s="363"/>
      <c r="E548" s="363"/>
      <c r="F548" s="363"/>
      <c r="G548" s="363"/>
      <c r="H548" s="363"/>
      <c r="I548" s="363"/>
      <c r="J548" s="363"/>
      <c r="K548" s="363"/>
      <c r="L548" s="363"/>
      <c r="M548" s="363"/>
      <c r="N548" s="363"/>
      <c r="O548" s="363"/>
      <c r="P548" s="363"/>
      <c r="Q548" s="363"/>
      <c r="R548" s="363"/>
      <c r="S548" s="363"/>
      <c r="T548" s="363"/>
      <c r="U548" s="363"/>
      <c r="V548" s="363"/>
      <c r="W548" s="363"/>
      <c r="X548" s="363"/>
      <c r="Y548" s="363"/>
      <c r="Z548" s="363"/>
    </row>
    <row r="549" spans="1:26" ht="13.5" customHeight="1" x14ac:dyDescent="0.2">
      <c r="A549" s="363"/>
      <c r="B549" s="363"/>
      <c r="C549" s="363"/>
      <c r="D549" s="363"/>
      <c r="E549" s="363"/>
      <c r="F549" s="363"/>
      <c r="G549" s="363"/>
      <c r="H549" s="363"/>
      <c r="I549" s="363"/>
      <c r="J549" s="363"/>
      <c r="K549" s="363"/>
      <c r="L549" s="363"/>
      <c r="M549" s="363"/>
      <c r="N549" s="363"/>
      <c r="O549" s="363"/>
      <c r="P549" s="363"/>
      <c r="Q549" s="363"/>
      <c r="R549" s="363"/>
      <c r="S549" s="363"/>
      <c r="T549" s="363"/>
      <c r="U549" s="363"/>
      <c r="V549" s="363"/>
      <c r="W549" s="363"/>
      <c r="X549" s="363"/>
      <c r="Y549" s="363"/>
      <c r="Z549" s="363"/>
    </row>
    <row r="550" spans="1:26" ht="13.5" customHeight="1" x14ac:dyDescent="0.2">
      <c r="A550" s="363"/>
      <c r="B550" s="363"/>
      <c r="C550" s="363"/>
      <c r="D550" s="363"/>
      <c r="E550" s="363"/>
      <c r="F550" s="363"/>
      <c r="G550" s="363"/>
      <c r="H550" s="363"/>
      <c r="I550" s="363"/>
      <c r="J550" s="363"/>
      <c r="K550" s="363"/>
      <c r="L550" s="363"/>
      <c r="M550" s="363"/>
      <c r="N550" s="363"/>
      <c r="O550" s="363"/>
      <c r="P550" s="363"/>
      <c r="Q550" s="363"/>
      <c r="R550" s="363"/>
      <c r="S550" s="363"/>
      <c r="T550" s="363"/>
      <c r="U550" s="363"/>
      <c r="V550" s="363"/>
      <c r="W550" s="363"/>
      <c r="X550" s="363"/>
      <c r="Y550" s="363"/>
      <c r="Z550" s="363"/>
    </row>
    <row r="551" spans="1:26" ht="13.5" customHeight="1" x14ac:dyDescent="0.2">
      <c r="A551" s="363"/>
      <c r="B551" s="363"/>
      <c r="C551" s="363"/>
      <c r="D551" s="363"/>
      <c r="E551" s="363"/>
      <c r="F551" s="363"/>
      <c r="G551" s="363"/>
      <c r="H551" s="363"/>
      <c r="I551" s="363"/>
      <c r="J551" s="363"/>
      <c r="K551" s="363"/>
      <c r="L551" s="363"/>
      <c r="M551" s="363"/>
      <c r="N551" s="363"/>
      <c r="O551" s="363"/>
      <c r="P551" s="363"/>
      <c r="Q551" s="363"/>
      <c r="R551" s="363"/>
      <c r="S551" s="363"/>
      <c r="T551" s="363"/>
      <c r="U551" s="363"/>
      <c r="V551" s="363"/>
      <c r="W551" s="363"/>
      <c r="X551" s="363"/>
      <c r="Y551" s="363"/>
      <c r="Z551" s="363"/>
    </row>
    <row r="552" spans="1:26" ht="13.5" customHeight="1" x14ac:dyDescent="0.2">
      <c r="A552" s="363"/>
      <c r="B552" s="363"/>
      <c r="C552" s="363"/>
      <c r="D552" s="363"/>
      <c r="E552" s="363"/>
      <c r="F552" s="363"/>
      <c r="G552" s="363"/>
      <c r="H552" s="363"/>
      <c r="I552" s="363"/>
      <c r="J552" s="363"/>
      <c r="K552" s="363"/>
      <c r="L552" s="363"/>
      <c r="M552" s="363"/>
      <c r="N552" s="363"/>
      <c r="O552" s="363"/>
      <c r="P552" s="363"/>
      <c r="Q552" s="363"/>
      <c r="R552" s="363"/>
      <c r="S552" s="363"/>
      <c r="T552" s="363"/>
      <c r="U552" s="363"/>
      <c r="V552" s="363"/>
      <c r="W552" s="363"/>
      <c r="X552" s="363"/>
      <c r="Y552" s="363"/>
      <c r="Z552" s="363"/>
    </row>
    <row r="553" spans="1:26" ht="13.5" customHeight="1" x14ac:dyDescent="0.2">
      <c r="A553" s="363"/>
      <c r="B553" s="363"/>
      <c r="C553" s="363"/>
      <c r="D553" s="363"/>
      <c r="E553" s="363"/>
      <c r="F553" s="363"/>
      <c r="G553" s="363"/>
      <c r="H553" s="363"/>
      <c r="I553" s="363"/>
      <c r="J553" s="363"/>
      <c r="K553" s="363"/>
      <c r="L553" s="363"/>
      <c r="M553" s="363"/>
      <c r="N553" s="363"/>
      <c r="O553" s="363"/>
      <c r="P553" s="363"/>
      <c r="Q553" s="363"/>
      <c r="R553" s="363"/>
      <c r="S553" s="363"/>
      <c r="T553" s="363"/>
      <c r="U553" s="363"/>
      <c r="V553" s="363"/>
      <c r="W553" s="363"/>
      <c r="X553" s="363"/>
      <c r="Y553" s="363"/>
      <c r="Z553" s="363"/>
    </row>
    <row r="554" spans="1:26" ht="13.5" customHeight="1" x14ac:dyDescent="0.2">
      <c r="A554" s="363"/>
      <c r="B554" s="363"/>
      <c r="C554" s="363"/>
      <c r="D554" s="363"/>
      <c r="E554" s="363"/>
      <c r="F554" s="363"/>
      <c r="G554" s="363"/>
      <c r="H554" s="363"/>
      <c r="I554" s="363"/>
      <c r="J554" s="363"/>
      <c r="K554" s="363"/>
      <c r="L554" s="363"/>
      <c r="M554" s="363"/>
      <c r="N554" s="363"/>
      <c r="O554" s="363"/>
      <c r="P554" s="363"/>
      <c r="Q554" s="363"/>
      <c r="R554" s="363"/>
      <c r="S554" s="363"/>
      <c r="T554" s="363"/>
      <c r="U554" s="363"/>
      <c r="V554" s="363"/>
      <c r="W554" s="363"/>
      <c r="X554" s="363"/>
      <c r="Y554" s="363"/>
      <c r="Z554" s="363"/>
    </row>
    <row r="555" spans="1:26" ht="13.5" customHeight="1" x14ac:dyDescent="0.2">
      <c r="A555" s="363"/>
      <c r="B555" s="363"/>
      <c r="C555" s="363"/>
      <c r="D555" s="363"/>
      <c r="E555" s="363"/>
      <c r="F555" s="363"/>
      <c r="G555" s="363"/>
      <c r="H555" s="363"/>
      <c r="I555" s="363"/>
      <c r="J555" s="363"/>
      <c r="K555" s="363"/>
      <c r="L555" s="363"/>
      <c r="M555" s="363"/>
      <c r="N555" s="363"/>
      <c r="O555" s="363"/>
      <c r="P555" s="363"/>
      <c r="Q555" s="363"/>
      <c r="R555" s="363"/>
      <c r="S555" s="363"/>
      <c r="T555" s="363"/>
      <c r="U555" s="363"/>
      <c r="V555" s="363"/>
      <c r="W555" s="363"/>
      <c r="X555" s="363"/>
      <c r="Y555" s="363"/>
      <c r="Z555" s="363"/>
    </row>
    <row r="556" spans="1:26" ht="13.5" customHeight="1" x14ac:dyDescent="0.2">
      <c r="A556" s="363"/>
      <c r="B556" s="363"/>
      <c r="C556" s="363"/>
      <c r="D556" s="363"/>
      <c r="E556" s="363"/>
      <c r="F556" s="363"/>
      <c r="G556" s="363"/>
      <c r="H556" s="363"/>
      <c r="I556" s="363"/>
      <c r="J556" s="363"/>
      <c r="K556" s="363"/>
      <c r="L556" s="363"/>
      <c r="M556" s="363"/>
      <c r="N556" s="363"/>
      <c r="O556" s="363"/>
      <c r="P556" s="363"/>
      <c r="Q556" s="363"/>
      <c r="R556" s="363"/>
      <c r="S556" s="363"/>
      <c r="T556" s="363"/>
      <c r="U556" s="363"/>
      <c r="V556" s="363"/>
      <c r="W556" s="363"/>
      <c r="X556" s="363"/>
      <c r="Y556" s="363"/>
      <c r="Z556" s="363"/>
    </row>
    <row r="557" spans="1:26" ht="13.5" customHeight="1" x14ac:dyDescent="0.2">
      <c r="A557" s="363"/>
      <c r="B557" s="363"/>
      <c r="C557" s="363"/>
      <c r="D557" s="363"/>
      <c r="E557" s="363"/>
      <c r="F557" s="363"/>
      <c r="G557" s="363"/>
      <c r="H557" s="363"/>
      <c r="I557" s="363"/>
      <c r="J557" s="363"/>
      <c r="K557" s="363"/>
      <c r="L557" s="363"/>
      <c r="M557" s="363"/>
      <c r="N557" s="363"/>
      <c r="O557" s="363"/>
      <c r="P557" s="363"/>
      <c r="Q557" s="363"/>
      <c r="R557" s="363"/>
      <c r="S557" s="363"/>
      <c r="T557" s="363"/>
      <c r="U557" s="363"/>
      <c r="V557" s="363"/>
      <c r="W557" s="363"/>
      <c r="X557" s="363"/>
      <c r="Y557" s="363"/>
      <c r="Z557" s="363"/>
    </row>
    <row r="558" spans="1:26" ht="13.5" customHeight="1" x14ac:dyDescent="0.2">
      <c r="A558" s="363"/>
      <c r="B558" s="363"/>
      <c r="C558" s="363"/>
      <c r="D558" s="363"/>
      <c r="E558" s="363"/>
      <c r="F558" s="363"/>
      <c r="G558" s="363"/>
      <c r="H558" s="363"/>
      <c r="I558" s="363"/>
      <c r="J558" s="363"/>
      <c r="K558" s="363"/>
      <c r="L558" s="363"/>
      <c r="M558" s="363"/>
      <c r="N558" s="363"/>
      <c r="O558" s="363"/>
      <c r="P558" s="363"/>
      <c r="Q558" s="363"/>
      <c r="R558" s="363"/>
      <c r="S558" s="363"/>
      <c r="T558" s="363"/>
      <c r="U558" s="363"/>
      <c r="V558" s="363"/>
      <c r="W558" s="363"/>
      <c r="X558" s="363"/>
      <c r="Y558" s="363"/>
      <c r="Z558" s="363"/>
    </row>
    <row r="559" spans="1:26" ht="13.5" customHeight="1" x14ac:dyDescent="0.2">
      <c r="A559" s="363"/>
      <c r="B559" s="363"/>
      <c r="C559" s="363"/>
      <c r="D559" s="363"/>
      <c r="E559" s="363"/>
      <c r="F559" s="363"/>
      <c r="G559" s="363"/>
      <c r="H559" s="363"/>
      <c r="I559" s="363"/>
      <c r="J559" s="363"/>
      <c r="K559" s="363"/>
      <c r="L559" s="363"/>
      <c r="M559" s="363"/>
      <c r="N559" s="363"/>
      <c r="O559" s="363"/>
      <c r="P559" s="363"/>
      <c r="Q559" s="363"/>
      <c r="R559" s="363"/>
      <c r="S559" s="363"/>
      <c r="T559" s="363"/>
      <c r="U559" s="363"/>
      <c r="V559" s="363"/>
      <c r="W559" s="363"/>
      <c r="X559" s="363"/>
      <c r="Y559" s="363"/>
      <c r="Z559" s="363"/>
    </row>
    <row r="560" spans="1:26" ht="13.5" customHeight="1" x14ac:dyDescent="0.2">
      <c r="A560" s="363"/>
      <c r="B560" s="363"/>
      <c r="C560" s="363"/>
      <c r="D560" s="363"/>
      <c r="E560" s="363"/>
      <c r="F560" s="363"/>
      <c r="G560" s="363"/>
      <c r="H560" s="363"/>
      <c r="I560" s="363"/>
      <c r="J560" s="363"/>
      <c r="K560" s="363"/>
      <c r="L560" s="363"/>
      <c r="M560" s="363"/>
      <c r="N560" s="363"/>
      <c r="O560" s="363"/>
      <c r="P560" s="363"/>
      <c r="Q560" s="363"/>
      <c r="R560" s="363"/>
      <c r="S560" s="363"/>
      <c r="T560" s="363"/>
      <c r="U560" s="363"/>
      <c r="V560" s="363"/>
      <c r="W560" s="363"/>
      <c r="X560" s="363"/>
      <c r="Y560" s="363"/>
      <c r="Z560" s="363"/>
    </row>
    <row r="561" spans="1:26" ht="13.5" customHeight="1" x14ac:dyDescent="0.2">
      <c r="A561" s="363"/>
      <c r="B561" s="363"/>
      <c r="C561" s="363"/>
      <c r="D561" s="363"/>
      <c r="E561" s="363"/>
      <c r="F561" s="363"/>
      <c r="G561" s="363"/>
      <c r="H561" s="363"/>
      <c r="I561" s="363"/>
      <c r="J561" s="363"/>
      <c r="K561" s="363"/>
      <c r="L561" s="363"/>
      <c r="M561" s="363"/>
      <c r="N561" s="363"/>
      <c r="O561" s="363"/>
      <c r="P561" s="363"/>
      <c r="Q561" s="363"/>
      <c r="R561" s="363"/>
      <c r="S561" s="363"/>
      <c r="T561" s="363"/>
      <c r="U561" s="363"/>
      <c r="V561" s="363"/>
      <c r="W561" s="363"/>
      <c r="X561" s="363"/>
      <c r="Y561" s="363"/>
      <c r="Z561" s="363"/>
    </row>
    <row r="562" spans="1:26" ht="13.5" customHeight="1" x14ac:dyDescent="0.2">
      <c r="A562" s="363"/>
      <c r="B562" s="363"/>
      <c r="C562" s="363"/>
      <c r="D562" s="363"/>
      <c r="E562" s="363"/>
      <c r="F562" s="363"/>
      <c r="G562" s="363"/>
      <c r="H562" s="363"/>
      <c r="I562" s="363"/>
      <c r="J562" s="363"/>
      <c r="K562" s="363"/>
      <c r="L562" s="363"/>
      <c r="M562" s="363"/>
      <c r="N562" s="363"/>
      <c r="O562" s="363"/>
      <c r="P562" s="363"/>
      <c r="Q562" s="363"/>
      <c r="R562" s="363"/>
      <c r="S562" s="363"/>
      <c r="T562" s="363"/>
      <c r="U562" s="363"/>
      <c r="V562" s="363"/>
      <c r="W562" s="363"/>
      <c r="X562" s="363"/>
      <c r="Y562" s="363"/>
      <c r="Z562" s="363"/>
    </row>
    <row r="563" spans="1:26" ht="13.5" customHeight="1" x14ac:dyDescent="0.2">
      <c r="A563" s="363"/>
      <c r="B563" s="363"/>
      <c r="C563" s="363"/>
      <c r="D563" s="363"/>
      <c r="E563" s="363"/>
      <c r="F563" s="363"/>
      <c r="G563" s="363"/>
      <c r="H563" s="363"/>
      <c r="I563" s="363"/>
      <c r="J563" s="363"/>
      <c r="K563" s="363"/>
      <c r="L563" s="363"/>
      <c r="M563" s="363"/>
      <c r="N563" s="363"/>
      <c r="O563" s="363"/>
      <c r="P563" s="363"/>
      <c r="Q563" s="363"/>
      <c r="R563" s="363"/>
      <c r="S563" s="363"/>
      <c r="T563" s="363"/>
      <c r="U563" s="363"/>
      <c r="V563" s="363"/>
      <c r="W563" s="363"/>
      <c r="X563" s="363"/>
      <c r="Y563" s="363"/>
      <c r="Z563" s="363"/>
    </row>
    <row r="564" spans="1:26" ht="13.5" customHeight="1" x14ac:dyDescent="0.2">
      <c r="A564" s="363"/>
      <c r="B564" s="363"/>
      <c r="C564" s="363"/>
      <c r="D564" s="363"/>
      <c r="E564" s="363"/>
      <c r="F564" s="363"/>
      <c r="G564" s="363"/>
      <c r="H564" s="363"/>
      <c r="I564" s="363"/>
      <c r="J564" s="363"/>
      <c r="K564" s="363"/>
      <c r="L564" s="363"/>
      <c r="M564" s="363"/>
      <c r="N564" s="363"/>
      <c r="O564" s="363"/>
      <c r="P564" s="363"/>
      <c r="Q564" s="363"/>
      <c r="R564" s="363"/>
      <c r="S564" s="363"/>
      <c r="T564" s="363"/>
      <c r="U564" s="363"/>
      <c r="V564" s="363"/>
      <c r="W564" s="363"/>
      <c r="X564" s="363"/>
      <c r="Y564" s="363"/>
      <c r="Z564" s="363"/>
    </row>
    <row r="565" spans="1:26" ht="13.5" customHeight="1" x14ac:dyDescent="0.2">
      <c r="A565" s="363"/>
      <c r="B565" s="363"/>
      <c r="C565" s="363"/>
      <c r="D565" s="363"/>
      <c r="E565" s="363"/>
      <c r="F565" s="363"/>
      <c r="G565" s="363"/>
      <c r="H565" s="363"/>
      <c r="I565" s="363"/>
      <c r="J565" s="363"/>
      <c r="K565" s="363"/>
      <c r="L565" s="363"/>
      <c r="M565" s="363"/>
      <c r="N565" s="363"/>
      <c r="O565" s="363"/>
      <c r="P565" s="363"/>
      <c r="Q565" s="363"/>
      <c r="R565" s="363"/>
      <c r="S565" s="363"/>
      <c r="T565" s="363"/>
      <c r="U565" s="363"/>
      <c r="V565" s="363"/>
      <c r="W565" s="363"/>
      <c r="X565" s="363"/>
      <c r="Y565" s="363"/>
      <c r="Z565" s="363"/>
    </row>
    <row r="566" spans="1:26" ht="13.5" customHeight="1" x14ac:dyDescent="0.2">
      <c r="A566" s="363"/>
      <c r="B566" s="363"/>
      <c r="C566" s="363"/>
      <c r="D566" s="363"/>
      <c r="E566" s="363"/>
      <c r="F566" s="363"/>
      <c r="G566" s="363"/>
      <c r="H566" s="363"/>
      <c r="I566" s="363"/>
      <c r="J566" s="363"/>
      <c r="K566" s="363"/>
      <c r="L566" s="363"/>
      <c r="M566" s="363"/>
      <c r="N566" s="363"/>
      <c r="O566" s="363"/>
      <c r="P566" s="363"/>
      <c r="Q566" s="363"/>
      <c r="R566" s="363"/>
      <c r="S566" s="363"/>
      <c r="T566" s="363"/>
      <c r="U566" s="363"/>
      <c r="V566" s="363"/>
      <c r="W566" s="363"/>
      <c r="X566" s="363"/>
      <c r="Y566" s="363"/>
      <c r="Z566" s="363"/>
    </row>
    <row r="567" spans="1:26" ht="13.5" customHeight="1" x14ac:dyDescent="0.2">
      <c r="A567" s="363"/>
      <c r="B567" s="363"/>
      <c r="C567" s="363"/>
      <c r="D567" s="363"/>
      <c r="E567" s="363"/>
      <c r="F567" s="363"/>
      <c r="G567" s="363"/>
      <c r="H567" s="363"/>
      <c r="I567" s="363"/>
      <c r="J567" s="363"/>
      <c r="K567" s="363"/>
      <c r="L567" s="363"/>
      <c r="M567" s="363"/>
      <c r="N567" s="363"/>
      <c r="O567" s="363"/>
      <c r="P567" s="363"/>
      <c r="Q567" s="363"/>
      <c r="R567" s="363"/>
      <c r="S567" s="363"/>
      <c r="T567" s="363"/>
      <c r="U567" s="363"/>
      <c r="V567" s="363"/>
      <c r="W567" s="363"/>
      <c r="X567" s="363"/>
      <c r="Y567" s="363"/>
      <c r="Z567" s="363"/>
    </row>
    <row r="568" spans="1:26" ht="13.5" customHeight="1" x14ac:dyDescent="0.2">
      <c r="A568" s="363"/>
      <c r="B568" s="363"/>
      <c r="C568" s="363"/>
      <c r="D568" s="363"/>
      <c r="E568" s="363"/>
      <c r="F568" s="363"/>
      <c r="G568" s="363"/>
      <c r="H568" s="363"/>
      <c r="I568" s="363"/>
      <c r="J568" s="363"/>
      <c r="K568" s="363"/>
      <c r="L568" s="363"/>
      <c r="M568" s="363"/>
      <c r="N568" s="363"/>
      <c r="O568" s="363"/>
      <c r="P568" s="363"/>
      <c r="Q568" s="363"/>
      <c r="R568" s="363"/>
      <c r="S568" s="363"/>
      <c r="T568" s="363"/>
      <c r="U568" s="363"/>
      <c r="V568" s="363"/>
      <c r="W568" s="363"/>
      <c r="X568" s="363"/>
      <c r="Y568" s="363"/>
      <c r="Z568" s="363"/>
    </row>
    <row r="569" spans="1:26" ht="13.5" customHeight="1" x14ac:dyDescent="0.2">
      <c r="A569" s="363"/>
      <c r="B569" s="363"/>
      <c r="C569" s="363"/>
      <c r="D569" s="363"/>
      <c r="E569" s="363"/>
      <c r="F569" s="363"/>
      <c r="G569" s="363"/>
      <c r="H569" s="363"/>
      <c r="I569" s="363"/>
      <c r="J569" s="363"/>
      <c r="K569" s="363"/>
      <c r="L569" s="363"/>
      <c r="M569" s="363"/>
      <c r="N569" s="363"/>
      <c r="O569" s="363"/>
      <c r="P569" s="363"/>
      <c r="Q569" s="363"/>
      <c r="R569" s="363"/>
      <c r="S569" s="363"/>
      <c r="T569" s="363"/>
      <c r="U569" s="363"/>
      <c r="V569" s="363"/>
      <c r="W569" s="363"/>
      <c r="X569" s="363"/>
      <c r="Y569" s="363"/>
      <c r="Z569" s="363"/>
    </row>
    <row r="570" spans="1:26" ht="13.5" customHeight="1" x14ac:dyDescent="0.2">
      <c r="A570" s="363"/>
      <c r="B570" s="363"/>
      <c r="C570" s="363"/>
      <c r="D570" s="363"/>
      <c r="E570" s="363"/>
      <c r="F570" s="363"/>
      <c r="G570" s="363"/>
      <c r="H570" s="363"/>
      <c r="I570" s="363"/>
      <c r="J570" s="363"/>
      <c r="K570" s="363"/>
      <c r="L570" s="363"/>
      <c r="M570" s="363"/>
      <c r="N570" s="363"/>
      <c r="O570" s="363"/>
      <c r="P570" s="363"/>
      <c r="Q570" s="363"/>
      <c r="R570" s="363"/>
      <c r="S570" s="363"/>
      <c r="T570" s="363"/>
      <c r="U570" s="363"/>
      <c r="V570" s="363"/>
      <c r="W570" s="363"/>
      <c r="X570" s="363"/>
      <c r="Y570" s="363"/>
      <c r="Z570" s="363"/>
    </row>
    <row r="571" spans="1:26" ht="13.5" customHeight="1" x14ac:dyDescent="0.2">
      <c r="A571" s="363"/>
      <c r="B571" s="363"/>
      <c r="C571" s="363"/>
      <c r="D571" s="363"/>
      <c r="E571" s="363"/>
      <c r="F571" s="363"/>
      <c r="G571" s="363"/>
      <c r="H571" s="363"/>
      <c r="I571" s="363"/>
      <c r="J571" s="363"/>
      <c r="K571" s="363"/>
      <c r="L571" s="363"/>
      <c r="M571" s="363"/>
      <c r="N571" s="363"/>
      <c r="O571" s="363"/>
      <c r="P571" s="363"/>
      <c r="Q571" s="363"/>
      <c r="R571" s="363"/>
      <c r="S571" s="363"/>
      <c r="T571" s="363"/>
      <c r="U571" s="363"/>
      <c r="V571" s="363"/>
      <c r="W571" s="363"/>
      <c r="X571" s="363"/>
      <c r="Y571" s="363"/>
      <c r="Z571" s="363"/>
    </row>
    <row r="572" spans="1:26" ht="13.5" customHeight="1" x14ac:dyDescent="0.2">
      <c r="A572" s="363"/>
      <c r="B572" s="363"/>
      <c r="C572" s="363"/>
      <c r="D572" s="363"/>
      <c r="E572" s="363"/>
      <c r="F572" s="363"/>
      <c r="G572" s="363"/>
      <c r="H572" s="363"/>
      <c r="I572" s="363"/>
      <c r="J572" s="363"/>
      <c r="K572" s="363"/>
      <c r="L572" s="363"/>
      <c r="M572" s="363"/>
      <c r="N572" s="363"/>
      <c r="O572" s="363"/>
      <c r="P572" s="363"/>
      <c r="Q572" s="363"/>
      <c r="R572" s="363"/>
      <c r="S572" s="363"/>
      <c r="T572" s="363"/>
      <c r="U572" s="363"/>
      <c r="V572" s="363"/>
      <c r="W572" s="363"/>
      <c r="X572" s="363"/>
      <c r="Y572" s="363"/>
      <c r="Z572" s="363"/>
    </row>
    <row r="573" spans="1:26" ht="13.5" customHeight="1" x14ac:dyDescent="0.2">
      <c r="A573" s="363"/>
      <c r="B573" s="363"/>
      <c r="C573" s="363"/>
      <c r="D573" s="363"/>
      <c r="E573" s="363"/>
      <c r="F573" s="363"/>
      <c r="G573" s="363"/>
      <c r="H573" s="363"/>
      <c r="I573" s="363"/>
      <c r="J573" s="363"/>
      <c r="K573" s="363"/>
      <c r="L573" s="363"/>
      <c r="M573" s="363"/>
      <c r="N573" s="363"/>
      <c r="O573" s="363"/>
      <c r="P573" s="363"/>
      <c r="Q573" s="363"/>
      <c r="R573" s="363"/>
      <c r="S573" s="363"/>
      <c r="T573" s="363"/>
      <c r="U573" s="363"/>
      <c r="V573" s="363"/>
      <c r="W573" s="363"/>
      <c r="X573" s="363"/>
      <c r="Y573" s="363"/>
      <c r="Z573" s="363"/>
    </row>
    <row r="574" spans="1:26" ht="13.5" customHeight="1" x14ac:dyDescent="0.2">
      <c r="A574" s="363"/>
      <c r="B574" s="363"/>
      <c r="C574" s="363"/>
      <c r="D574" s="363"/>
      <c r="E574" s="363"/>
      <c r="F574" s="363"/>
      <c r="G574" s="363"/>
      <c r="H574" s="363"/>
      <c r="I574" s="363"/>
      <c r="J574" s="363"/>
      <c r="K574" s="363"/>
      <c r="L574" s="363"/>
      <c r="M574" s="363"/>
      <c r="N574" s="363"/>
      <c r="O574" s="363"/>
      <c r="P574" s="363"/>
      <c r="Q574" s="363"/>
      <c r="R574" s="363"/>
      <c r="S574" s="363"/>
      <c r="T574" s="363"/>
      <c r="U574" s="363"/>
      <c r="V574" s="363"/>
      <c r="W574" s="363"/>
      <c r="X574" s="363"/>
      <c r="Y574" s="363"/>
      <c r="Z574" s="363"/>
    </row>
    <row r="575" spans="1:26" ht="13.5" customHeight="1" x14ac:dyDescent="0.2">
      <c r="A575" s="363"/>
      <c r="B575" s="363"/>
      <c r="C575" s="363"/>
      <c r="D575" s="363"/>
      <c r="E575" s="363"/>
      <c r="F575" s="363"/>
      <c r="G575" s="363"/>
      <c r="H575" s="363"/>
      <c r="I575" s="363"/>
      <c r="J575" s="363"/>
      <c r="K575" s="363"/>
      <c r="L575" s="363"/>
      <c r="M575" s="363"/>
      <c r="N575" s="363"/>
      <c r="O575" s="363"/>
      <c r="P575" s="363"/>
      <c r="Q575" s="363"/>
      <c r="R575" s="363"/>
      <c r="S575" s="363"/>
      <c r="T575" s="363"/>
      <c r="U575" s="363"/>
      <c r="V575" s="363"/>
      <c r="W575" s="363"/>
      <c r="X575" s="363"/>
      <c r="Y575" s="363"/>
      <c r="Z575" s="363"/>
    </row>
    <row r="576" spans="1:26" ht="13.5" customHeight="1" x14ac:dyDescent="0.2">
      <c r="A576" s="363"/>
      <c r="B576" s="363"/>
      <c r="C576" s="363"/>
      <c r="D576" s="363"/>
      <c r="E576" s="363"/>
      <c r="F576" s="363"/>
      <c r="G576" s="363"/>
      <c r="H576" s="363"/>
      <c r="I576" s="363"/>
      <c r="J576" s="363"/>
      <c r="K576" s="363"/>
      <c r="L576" s="363"/>
      <c r="M576" s="363"/>
      <c r="N576" s="363"/>
      <c r="O576" s="363"/>
      <c r="P576" s="363"/>
      <c r="Q576" s="363"/>
      <c r="R576" s="363"/>
      <c r="S576" s="363"/>
      <c r="T576" s="363"/>
      <c r="U576" s="363"/>
      <c r="V576" s="363"/>
      <c r="W576" s="363"/>
      <c r="X576" s="363"/>
      <c r="Y576" s="363"/>
      <c r="Z576" s="363"/>
    </row>
    <row r="577" spans="1:26" ht="13.5" customHeight="1" x14ac:dyDescent="0.2">
      <c r="A577" s="363"/>
      <c r="B577" s="363"/>
      <c r="C577" s="363"/>
      <c r="D577" s="363"/>
      <c r="E577" s="363"/>
      <c r="F577" s="363"/>
      <c r="G577" s="363"/>
      <c r="H577" s="363"/>
      <c r="I577" s="363"/>
      <c r="J577" s="363"/>
      <c r="K577" s="363"/>
      <c r="L577" s="363"/>
      <c r="M577" s="363"/>
      <c r="N577" s="363"/>
      <c r="O577" s="363"/>
      <c r="P577" s="363"/>
      <c r="Q577" s="363"/>
      <c r="R577" s="363"/>
      <c r="S577" s="363"/>
      <c r="T577" s="363"/>
      <c r="U577" s="363"/>
      <c r="V577" s="363"/>
      <c r="W577" s="363"/>
      <c r="X577" s="363"/>
      <c r="Y577" s="363"/>
      <c r="Z577" s="363"/>
    </row>
    <row r="578" spans="1:26" ht="13.5" customHeight="1" x14ac:dyDescent="0.2">
      <c r="A578" s="363"/>
      <c r="B578" s="363"/>
      <c r="C578" s="363"/>
      <c r="D578" s="363"/>
      <c r="E578" s="363"/>
      <c r="F578" s="363"/>
      <c r="G578" s="363"/>
      <c r="H578" s="363"/>
      <c r="I578" s="363"/>
      <c r="J578" s="363"/>
      <c r="K578" s="363"/>
      <c r="L578" s="363"/>
      <c r="M578" s="363"/>
      <c r="N578" s="363"/>
      <c r="O578" s="363"/>
      <c r="P578" s="363"/>
      <c r="Q578" s="363"/>
      <c r="R578" s="363"/>
      <c r="S578" s="363"/>
      <c r="T578" s="363"/>
      <c r="U578" s="363"/>
      <c r="V578" s="363"/>
      <c r="W578" s="363"/>
      <c r="X578" s="363"/>
      <c r="Y578" s="363"/>
      <c r="Z578" s="363"/>
    </row>
    <row r="579" spans="1:26" ht="13.5" customHeight="1" x14ac:dyDescent="0.2">
      <c r="A579" s="363"/>
      <c r="B579" s="363"/>
      <c r="C579" s="363"/>
      <c r="D579" s="363"/>
      <c r="E579" s="363"/>
      <c r="F579" s="363"/>
      <c r="G579" s="363"/>
      <c r="H579" s="363"/>
      <c r="I579" s="363"/>
      <c r="J579" s="363"/>
      <c r="K579" s="363"/>
      <c r="L579" s="363"/>
      <c r="M579" s="363"/>
      <c r="N579" s="363"/>
      <c r="O579" s="363"/>
      <c r="P579" s="363"/>
      <c r="Q579" s="363"/>
      <c r="R579" s="363"/>
      <c r="S579" s="363"/>
      <c r="T579" s="363"/>
      <c r="U579" s="363"/>
      <c r="V579" s="363"/>
      <c r="W579" s="363"/>
      <c r="X579" s="363"/>
      <c r="Y579" s="363"/>
      <c r="Z579" s="363"/>
    </row>
    <row r="580" spans="1:26" ht="13.5" customHeight="1" x14ac:dyDescent="0.2">
      <c r="A580" s="363"/>
      <c r="B580" s="363"/>
      <c r="C580" s="363"/>
      <c r="D580" s="363"/>
      <c r="E580" s="363"/>
      <c r="F580" s="363"/>
      <c r="G580" s="363"/>
      <c r="H580" s="363"/>
      <c r="I580" s="363"/>
      <c r="J580" s="363"/>
      <c r="K580" s="363"/>
      <c r="L580" s="363"/>
      <c r="M580" s="363"/>
      <c r="N580" s="363"/>
      <c r="O580" s="363"/>
      <c r="P580" s="363"/>
      <c r="Q580" s="363"/>
      <c r="R580" s="363"/>
      <c r="S580" s="363"/>
      <c r="T580" s="363"/>
      <c r="U580" s="363"/>
      <c r="V580" s="363"/>
      <c r="W580" s="363"/>
      <c r="X580" s="363"/>
      <c r="Y580" s="363"/>
      <c r="Z580" s="363"/>
    </row>
    <row r="581" spans="1:26" ht="13.5" customHeight="1" x14ac:dyDescent="0.2">
      <c r="A581" s="363"/>
      <c r="B581" s="363"/>
      <c r="C581" s="363"/>
      <c r="D581" s="363"/>
      <c r="E581" s="363"/>
      <c r="F581" s="363"/>
      <c r="G581" s="363"/>
      <c r="H581" s="363"/>
      <c r="I581" s="363"/>
      <c r="J581" s="363"/>
      <c r="K581" s="363"/>
      <c r="L581" s="363"/>
      <c r="M581" s="363"/>
      <c r="N581" s="363"/>
      <c r="O581" s="363"/>
      <c r="P581" s="363"/>
      <c r="Q581" s="363"/>
      <c r="R581" s="363"/>
      <c r="S581" s="363"/>
      <c r="T581" s="363"/>
      <c r="U581" s="363"/>
      <c r="V581" s="363"/>
      <c r="W581" s="363"/>
      <c r="X581" s="363"/>
      <c r="Y581" s="363"/>
      <c r="Z581" s="363"/>
    </row>
    <row r="582" spans="1:26" ht="13.5" customHeight="1" x14ac:dyDescent="0.2">
      <c r="A582" s="363"/>
      <c r="B582" s="363"/>
      <c r="C582" s="363"/>
      <c r="D582" s="363"/>
      <c r="E582" s="363"/>
      <c r="F582" s="363"/>
      <c r="G582" s="363"/>
      <c r="H582" s="363"/>
      <c r="I582" s="363"/>
      <c r="J582" s="363"/>
      <c r="K582" s="363"/>
      <c r="L582" s="363"/>
      <c r="M582" s="363"/>
      <c r="N582" s="363"/>
      <c r="O582" s="363"/>
      <c r="P582" s="363"/>
      <c r="Q582" s="363"/>
      <c r="R582" s="363"/>
      <c r="S582" s="363"/>
      <c r="T582" s="363"/>
      <c r="U582" s="363"/>
      <c r="V582" s="363"/>
      <c r="W582" s="363"/>
      <c r="X582" s="363"/>
      <c r="Y582" s="363"/>
      <c r="Z582" s="363"/>
    </row>
    <row r="583" spans="1:26" ht="15.75" customHeight="1" x14ac:dyDescent="0.2"/>
    <row r="584" spans="1:26" ht="15.75" customHeight="1" x14ac:dyDescent="0.2"/>
    <row r="585" spans="1:26" ht="15.75" customHeight="1" x14ac:dyDescent="0.2"/>
    <row r="586" spans="1:26" ht="15.75" customHeight="1" x14ac:dyDescent="0.2"/>
    <row r="587" spans="1:26" ht="15.75" customHeight="1" x14ac:dyDescent="0.2"/>
    <row r="588" spans="1:26" ht="15.75" customHeight="1" x14ac:dyDescent="0.2"/>
    <row r="589" spans="1:26" ht="15.75" customHeight="1" x14ac:dyDescent="0.2"/>
    <row r="590" spans="1:26" ht="15.75" customHeight="1" x14ac:dyDescent="0.2"/>
    <row r="591" spans="1:26" ht="15.75" customHeight="1" x14ac:dyDescent="0.2"/>
    <row r="592" spans="1:26"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1000000000000001" bottom="0.44" header="0" footer="0"/>
  <pageSetup orientation="portrait"/>
  <headerFooter>
    <oddHeader>&amp;CRANCHO DEL REL APARTMENTS_x000D_MORTGAGE AMORTIZATION SCHEDULE_x000D__x000D_WASHINGTON MORTGAGE FINANCIAL</oddHeader>
  </headerFooter>
  <rowBreaks count="2" manualBreakCount="2">
    <brk id="101" man="1"/>
    <brk id="61"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E2EFD9"/>
  </sheetPr>
  <dimension ref="A1:Z1000"/>
  <sheetViews>
    <sheetView showGridLines="0" workbookViewId="0"/>
  </sheetViews>
  <sheetFormatPr baseColWidth="10" defaultColWidth="11.1640625" defaultRowHeight="15" customHeight="1" x14ac:dyDescent="0.2"/>
  <cols>
    <col min="1" max="1" width="11.5" customWidth="1"/>
    <col min="2" max="2" width="5.6640625" customWidth="1"/>
    <col min="3" max="3" width="19.33203125" customWidth="1"/>
    <col min="4" max="4" width="17" customWidth="1"/>
    <col min="5" max="6" width="13.6640625" customWidth="1"/>
    <col min="7" max="7" width="33.5" customWidth="1"/>
    <col min="8" max="8" width="15.5" customWidth="1"/>
    <col min="9" max="26" width="11.5" customWidth="1"/>
  </cols>
  <sheetData>
    <row r="1" spans="1:26" ht="13.5" customHeight="1" x14ac:dyDescent="0.25">
      <c r="A1" s="360" t="s">
        <v>251</v>
      </c>
      <c r="B1" s="361"/>
      <c r="C1" s="361"/>
      <c r="D1" s="362"/>
      <c r="E1" s="361"/>
      <c r="F1" s="361"/>
      <c r="G1" s="361"/>
      <c r="H1" s="363"/>
      <c r="I1" s="363"/>
      <c r="J1" s="363"/>
      <c r="K1" s="363"/>
      <c r="L1" s="363"/>
      <c r="M1" s="363"/>
      <c r="N1" s="363"/>
      <c r="O1" s="363"/>
      <c r="P1" s="363"/>
      <c r="Q1" s="363"/>
      <c r="R1" s="363"/>
      <c r="S1" s="363"/>
      <c r="T1" s="363"/>
      <c r="U1" s="363"/>
      <c r="V1" s="363"/>
      <c r="W1" s="363"/>
      <c r="X1" s="363"/>
      <c r="Y1" s="363"/>
      <c r="Z1" s="363"/>
    </row>
    <row r="2" spans="1:26" ht="13.5" hidden="1" customHeight="1" x14ac:dyDescent="0.2">
      <c r="A2" s="363"/>
      <c r="B2" s="363" t="s">
        <v>252</v>
      </c>
      <c r="C2" s="363"/>
      <c r="D2" s="363"/>
      <c r="E2" s="363"/>
      <c r="F2" s="363"/>
      <c r="G2" s="363"/>
      <c r="H2" s="363"/>
      <c r="I2" s="363"/>
      <c r="J2" s="363"/>
      <c r="K2" s="363"/>
      <c r="L2" s="363"/>
      <c r="M2" s="363"/>
      <c r="N2" s="363"/>
      <c r="O2" s="363"/>
      <c r="P2" s="363"/>
      <c r="Q2" s="363"/>
      <c r="R2" s="363"/>
      <c r="S2" s="363"/>
      <c r="T2" s="363"/>
      <c r="U2" s="363"/>
      <c r="V2" s="363"/>
      <c r="W2" s="363"/>
      <c r="X2" s="363"/>
      <c r="Y2" s="363"/>
      <c r="Z2" s="363"/>
    </row>
    <row r="3" spans="1:26" ht="13.5" hidden="1" customHeight="1" x14ac:dyDescent="0.2">
      <c r="A3" s="363"/>
      <c r="B3" s="363" t="s">
        <v>253</v>
      </c>
      <c r="C3" s="363"/>
      <c r="D3" s="363"/>
      <c r="E3" s="363"/>
      <c r="F3" s="363"/>
      <c r="G3" s="363"/>
      <c r="H3" s="363"/>
      <c r="I3" s="363"/>
      <c r="J3" s="363"/>
      <c r="K3" s="363"/>
      <c r="L3" s="363"/>
      <c r="M3" s="363"/>
      <c r="N3" s="363"/>
      <c r="O3" s="363"/>
      <c r="P3" s="363"/>
      <c r="Q3" s="363"/>
      <c r="R3" s="363"/>
      <c r="S3" s="363"/>
      <c r="T3" s="363"/>
      <c r="U3" s="363"/>
      <c r="V3" s="363"/>
      <c r="W3" s="363"/>
      <c r="X3" s="363"/>
      <c r="Y3" s="363"/>
      <c r="Z3" s="363"/>
    </row>
    <row r="4" spans="1:26" ht="13.5" hidden="1" customHeight="1" x14ac:dyDescent="0.2">
      <c r="A4" s="363"/>
      <c r="B4" s="363" t="s">
        <v>254</v>
      </c>
      <c r="C4" s="363"/>
      <c r="D4" s="363"/>
      <c r="E4" s="363"/>
      <c r="F4" s="363"/>
      <c r="G4" s="363"/>
      <c r="H4" s="363"/>
      <c r="I4" s="363"/>
      <c r="J4" s="363"/>
      <c r="K4" s="363"/>
      <c r="L4" s="363"/>
      <c r="M4" s="363"/>
      <c r="N4" s="363"/>
      <c r="O4" s="363"/>
      <c r="P4" s="363"/>
      <c r="Q4" s="363"/>
      <c r="R4" s="363"/>
      <c r="S4" s="363"/>
      <c r="T4" s="363"/>
      <c r="U4" s="363"/>
      <c r="V4" s="363"/>
      <c r="W4" s="363"/>
      <c r="X4" s="363"/>
      <c r="Y4" s="363"/>
      <c r="Z4" s="363"/>
    </row>
    <row r="5" spans="1:26" ht="13.5" customHeight="1" x14ac:dyDescent="0.25">
      <c r="A5" s="360" t="s">
        <v>255</v>
      </c>
      <c r="B5" s="361"/>
      <c r="C5" s="361"/>
      <c r="D5" s="360"/>
      <c r="E5" s="361"/>
      <c r="F5" s="361"/>
      <c r="G5" s="361"/>
      <c r="H5" s="363"/>
      <c r="I5" s="363"/>
      <c r="J5" s="363"/>
      <c r="K5" s="363"/>
      <c r="L5" s="363"/>
      <c r="M5" s="363"/>
      <c r="N5" s="363"/>
      <c r="O5" s="363"/>
      <c r="P5" s="363"/>
      <c r="Q5" s="363"/>
      <c r="R5" s="363"/>
      <c r="S5" s="363"/>
      <c r="T5" s="363"/>
      <c r="U5" s="363"/>
      <c r="V5" s="363"/>
      <c r="W5" s="363"/>
      <c r="X5" s="363"/>
      <c r="Y5" s="363"/>
      <c r="Z5" s="363"/>
    </row>
    <row r="6" spans="1:26" ht="13.5" customHeight="1" x14ac:dyDescent="0.2">
      <c r="A6" s="364" t="s">
        <v>256</v>
      </c>
      <c r="B6" s="365"/>
      <c r="C6" s="366"/>
      <c r="D6" s="366"/>
      <c r="E6" s="364" t="s">
        <v>257</v>
      </c>
      <c r="F6" s="361"/>
      <c r="G6" s="361"/>
      <c r="H6" s="363"/>
      <c r="I6" s="363"/>
      <c r="J6" s="363"/>
      <c r="K6" s="363"/>
      <c r="L6" s="363"/>
      <c r="M6" s="363"/>
      <c r="N6" s="363"/>
      <c r="O6" s="363"/>
      <c r="P6" s="363"/>
      <c r="Q6" s="363"/>
      <c r="R6" s="363"/>
      <c r="S6" s="363"/>
      <c r="T6" s="363"/>
      <c r="U6" s="363"/>
      <c r="V6" s="363"/>
      <c r="W6" s="363"/>
      <c r="X6" s="363"/>
      <c r="Y6" s="363"/>
      <c r="Z6" s="363"/>
    </row>
    <row r="7" spans="1:26" ht="13.5" customHeight="1" x14ac:dyDescent="0.2">
      <c r="A7" s="363"/>
      <c r="B7" s="367" t="s">
        <v>258</v>
      </c>
      <c r="C7" s="395">
        <f>INPUTS!R19</f>
        <v>1905327.6596086156</v>
      </c>
      <c r="D7" s="363"/>
      <c r="E7" s="363"/>
      <c r="F7" s="367" t="s">
        <v>259</v>
      </c>
      <c r="G7" s="369"/>
      <c r="H7" s="363"/>
      <c r="I7" s="363"/>
      <c r="J7" s="363"/>
      <c r="K7" s="363"/>
      <c r="L7" s="363"/>
      <c r="M7" s="363"/>
      <c r="N7" s="363"/>
      <c r="O7" s="363"/>
      <c r="P7" s="363"/>
      <c r="Q7" s="363"/>
      <c r="R7" s="363"/>
      <c r="S7" s="363"/>
      <c r="T7" s="363"/>
      <c r="U7" s="363"/>
      <c r="V7" s="363"/>
      <c r="W7" s="363"/>
      <c r="X7" s="363"/>
      <c r="Y7" s="363"/>
      <c r="Z7" s="363"/>
    </row>
    <row r="8" spans="1:26" ht="13.5" customHeight="1" x14ac:dyDescent="0.2">
      <c r="A8" s="363"/>
      <c r="B8" s="367" t="s">
        <v>260</v>
      </c>
      <c r="C8" s="370">
        <f>INPUTS!R21</f>
        <v>6.25E-2</v>
      </c>
      <c r="D8" s="363"/>
      <c r="E8" s="363"/>
      <c r="F8" s="367" t="s">
        <v>261</v>
      </c>
      <c r="G8" s="371">
        <v>1</v>
      </c>
      <c r="H8" s="363"/>
      <c r="I8" s="363"/>
      <c r="J8" s="363"/>
      <c r="K8" s="363"/>
      <c r="L8" s="363"/>
      <c r="M8" s="363"/>
      <c r="N8" s="363"/>
      <c r="O8" s="363"/>
      <c r="P8" s="363"/>
      <c r="Q8" s="363"/>
      <c r="R8" s="363"/>
      <c r="S8" s="363"/>
      <c r="T8" s="363"/>
      <c r="U8" s="363"/>
      <c r="V8" s="363"/>
      <c r="W8" s="363"/>
      <c r="X8" s="363"/>
      <c r="Y8" s="363"/>
      <c r="Z8" s="363"/>
    </row>
    <row r="9" spans="1:26" ht="13.5" customHeight="1" x14ac:dyDescent="0.2">
      <c r="A9" s="363"/>
      <c r="B9" s="367" t="s">
        <v>283</v>
      </c>
      <c r="C9" s="396">
        <f>INPUTS!R22</f>
        <v>25</v>
      </c>
      <c r="D9" s="363"/>
      <c r="E9" s="373"/>
      <c r="F9" s="363"/>
      <c r="G9" s="363"/>
      <c r="H9" s="363"/>
      <c r="I9" s="363"/>
      <c r="J9" s="363"/>
      <c r="K9" s="363"/>
      <c r="L9" s="363"/>
      <c r="M9" s="363"/>
      <c r="N9" s="363"/>
      <c r="O9" s="363"/>
      <c r="P9" s="363"/>
      <c r="Q9" s="363"/>
      <c r="R9" s="363"/>
      <c r="S9" s="363"/>
      <c r="T9" s="363"/>
      <c r="U9" s="363"/>
      <c r="V9" s="363"/>
      <c r="W9" s="363"/>
      <c r="X9" s="363"/>
      <c r="Y9" s="363"/>
      <c r="Z9" s="363"/>
    </row>
    <row r="10" spans="1:26" ht="13.5" customHeight="1" x14ac:dyDescent="0.2">
      <c r="A10" s="363"/>
      <c r="B10" s="367" t="s">
        <v>264</v>
      </c>
      <c r="C10" s="374">
        <v>12</v>
      </c>
      <c r="D10" s="375"/>
      <c r="E10" s="363"/>
      <c r="F10" s="376"/>
      <c r="G10" s="363"/>
      <c r="H10" s="363"/>
      <c r="I10" s="363"/>
      <c r="J10" s="363"/>
      <c r="K10" s="363"/>
      <c r="L10" s="363"/>
      <c r="M10" s="363"/>
      <c r="N10" s="363"/>
      <c r="O10" s="363"/>
      <c r="P10" s="363"/>
      <c r="Q10" s="363"/>
      <c r="R10" s="363"/>
      <c r="S10" s="363"/>
      <c r="T10" s="363"/>
      <c r="U10" s="363"/>
      <c r="V10" s="363"/>
      <c r="W10" s="363"/>
      <c r="X10" s="363"/>
      <c r="Y10" s="363"/>
      <c r="Z10" s="363"/>
    </row>
    <row r="11" spans="1:26" ht="13.5" customHeight="1" x14ac:dyDescent="0.2">
      <c r="A11" s="363"/>
      <c r="B11" s="367" t="s">
        <v>265</v>
      </c>
      <c r="C11" s="369">
        <f>EDATE('SENIOR LOAN'!C11,INPUTS!R15*12)</f>
        <v>47239</v>
      </c>
      <c r="D11" s="363"/>
      <c r="E11" s="363"/>
      <c r="F11" s="363"/>
      <c r="G11" s="363"/>
      <c r="H11" s="363"/>
      <c r="I11" s="363"/>
      <c r="J11" s="363"/>
      <c r="K11" s="363"/>
      <c r="L11" s="363"/>
      <c r="M11" s="363"/>
      <c r="N11" s="363"/>
      <c r="O11" s="363"/>
      <c r="P11" s="363"/>
      <c r="Q11" s="363"/>
      <c r="R11" s="363"/>
      <c r="S11" s="363"/>
      <c r="T11" s="363"/>
      <c r="U11" s="363"/>
      <c r="V11" s="363"/>
      <c r="W11" s="363"/>
      <c r="X11" s="363"/>
      <c r="Y11" s="363"/>
      <c r="Z11" s="363"/>
    </row>
    <row r="12" spans="1:26" ht="13.5" customHeight="1" x14ac:dyDescent="0.2">
      <c r="A12" s="364" t="s">
        <v>266</v>
      </c>
      <c r="B12" s="361"/>
      <c r="C12" s="361"/>
      <c r="D12" s="361"/>
      <c r="E12" s="361"/>
      <c r="F12" s="361"/>
      <c r="G12" s="361"/>
      <c r="H12" s="363"/>
      <c r="I12" s="363"/>
      <c r="J12" s="363"/>
      <c r="K12" s="363"/>
      <c r="L12" s="363"/>
      <c r="M12" s="363"/>
      <c r="N12" s="363"/>
      <c r="O12" s="363"/>
      <c r="P12" s="363"/>
      <c r="Q12" s="363"/>
      <c r="R12" s="363"/>
      <c r="S12" s="363"/>
      <c r="T12" s="363"/>
      <c r="U12" s="363"/>
      <c r="V12" s="363"/>
      <c r="W12" s="363"/>
      <c r="X12" s="363"/>
      <c r="Y12" s="363"/>
      <c r="Z12" s="363"/>
    </row>
    <row r="13" spans="1:26" ht="13.5" customHeight="1" x14ac:dyDescent="0.2">
      <c r="A13" s="363"/>
      <c r="B13" s="367" t="s">
        <v>36</v>
      </c>
      <c r="C13" s="378"/>
      <c r="D13" s="379" t="s">
        <v>267</v>
      </c>
      <c r="E13" s="363"/>
      <c r="F13" s="363"/>
      <c r="G13" s="363"/>
      <c r="H13" s="363"/>
      <c r="I13" s="363"/>
      <c r="J13" s="363"/>
      <c r="K13" s="363"/>
      <c r="L13" s="363"/>
      <c r="M13" s="363"/>
      <c r="N13" s="363"/>
      <c r="O13" s="363"/>
      <c r="P13" s="363"/>
      <c r="Q13" s="363"/>
      <c r="R13" s="363"/>
      <c r="S13" s="363"/>
      <c r="T13" s="363"/>
      <c r="U13" s="363"/>
      <c r="V13" s="363"/>
      <c r="W13" s="363"/>
      <c r="X13" s="363"/>
      <c r="Y13" s="363"/>
      <c r="Z13" s="363"/>
    </row>
    <row r="14" spans="1:26" ht="13.5" customHeight="1" x14ac:dyDescent="0.2">
      <c r="A14" s="363"/>
      <c r="B14" s="367" t="s">
        <v>284</v>
      </c>
      <c r="C14" s="397">
        <f>-PMT(C8/12,C9*12-INPUTS!R20*12,C7)</f>
        <v>13030.059134211393</v>
      </c>
      <c r="D14" s="379" t="s">
        <v>269</v>
      </c>
      <c r="E14" s="363"/>
      <c r="F14" s="363"/>
      <c r="G14" s="363"/>
      <c r="H14" s="363"/>
      <c r="I14" s="363"/>
      <c r="J14" s="363"/>
      <c r="K14" s="363"/>
      <c r="L14" s="363"/>
      <c r="M14" s="363"/>
      <c r="N14" s="363"/>
      <c r="O14" s="363"/>
      <c r="P14" s="363"/>
      <c r="Q14" s="363"/>
      <c r="R14" s="363"/>
      <c r="S14" s="363"/>
      <c r="T14" s="363"/>
      <c r="U14" s="363"/>
      <c r="V14" s="363"/>
      <c r="W14" s="363"/>
      <c r="X14" s="363"/>
      <c r="Y14" s="363"/>
      <c r="Z14" s="363"/>
    </row>
    <row r="15" spans="1:26" ht="13.5" customHeight="1" x14ac:dyDescent="0.2">
      <c r="A15" s="364" t="s">
        <v>270</v>
      </c>
      <c r="B15" s="361"/>
      <c r="C15" s="361"/>
      <c r="D15" s="361"/>
      <c r="E15" s="361"/>
      <c r="F15" s="361"/>
      <c r="G15" s="361"/>
      <c r="H15" s="363"/>
      <c r="I15" s="363"/>
      <c r="J15" s="363"/>
      <c r="K15" s="363"/>
      <c r="L15" s="363"/>
      <c r="M15" s="363"/>
      <c r="N15" s="363"/>
      <c r="O15" s="363"/>
      <c r="P15" s="363"/>
      <c r="Q15" s="363"/>
      <c r="R15" s="363"/>
      <c r="S15" s="363"/>
      <c r="T15" s="363"/>
      <c r="U15" s="363"/>
      <c r="V15" s="363"/>
      <c r="W15" s="363"/>
      <c r="X15" s="363"/>
      <c r="Y15" s="363"/>
      <c r="Z15" s="363"/>
    </row>
    <row r="16" spans="1:26" ht="13.5" customHeight="1" x14ac:dyDescent="0.2">
      <c r="A16" s="363"/>
      <c r="B16" s="367" t="s">
        <v>285</v>
      </c>
      <c r="C16" s="381">
        <f>C14</f>
        <v>13030.059134211393</v>
      </c>
      <c r="D16" s="363"/>
      <c r="E16" s="363"/>
      <c r="F16" s="367"/>
      <c r="G16" s="382"/>
      <c r="H16" s="363"/>
      <c r="I16" s="363"/>
      <c r="J16" s="363"/>
      <c r="K16" s="363"/>
      <c r="L16" s="363"/>
      <c r="M16" s="363"/>
      <c r="N16" s="363"/>
      <c r="O16" s="363"/>
      <c r="P16" s="363"/>
      <c r="Q16" s="363"/>
      <c r="R16" s="363"/>
      <c r="S16" s="363"/>
      <c r="T16" s="363"/>
      <c r="U16" s="363"/>
      <c r="V16" s="363"/>
      <c r="W16" s="363"/>
      <c r="X16" s="363"/>
      <c r="Y16" s="363"/>
      <c r="Z16" s="363"/>
    </row>
    <row r="17" spans="1:26" ht="13.5" customHeight="1" x14ac:dyDescent="0.2">
      <c r="A17" s="363"/>
      <c r="B17" s="367" t="s">
        <v>272</v>
      </c>
      <c r="C17" s="383">
        <f>IF(G7=0,IF(G8=0,1,G8),1+C10*(YEAR(G7)-YEAR(C11))+INT(C10*(MONTH(G7)-MONTH(C11))/12)+IF(DAY(G7)&gt;DAY(C11),1))</f>
        <v>1</v>
      </c>
      <c r="D17" s="363"/>
      <c r="E17" s="363"/>
      <c r="F17" s="367"/>
      <c r="G17" s="382"/>
      <c r="H17" s="363"/>
      <c r="I17" s="363"/>
      <c r="J17" s="363"/>
      <c r="K17" s="363"/>
      <c r="L17" s="363"/>
      <c r="M17" s="363"/>
      <c r="N17" s="363"/>
      <c r="O17" s="363"/>
      <c r="P17" s="363"/>
      <c r="Q17" s="363"/>
      <c r="R17" s="363"/>
      <c r="S17" s="363"/>
      <c r="T17" s="363"/>
      <c r="U17" s="363"/>
      <c r="V17" s="363"/>
      <c r="W17" s="363"/>
      <c r="X17" s="363"/>
      <c r="Y17" s="363"/>
      <c r="Z17" s="363"/>
    </row>
    <row r="18" spans="1:26" ht="13.5" customHeight="1" x14ac:dyDescent="0.25">
      <c r="A18" s="360" t="s">
        <v>273</v>
      </c>
      <c r="B18" s="361"/>
      <c r="C18" s="361"/>
      <c r="D18" s="361"/>
      <c r="E18" s="361"/>
      <c r="F18" s="361"/>
      <c r="G18" s="361"/>
      <c r="H18" s="363"/>
      <c r="I18" s="363"/>
      <c r="J18" s="363"/>
      <c r="K18" s="363"/>
      <c r="L18" s="363"/>
      <c r="M18" s="363"/>
      <c r="N18" s="363"/>
      <c r="O18" s="363"/>
      <c r="P18" s="363"/>
      <c r="Q18" s="363"/>
      <c r="R18" s="363"/>
      <c r="S18" s="363"/>
      <c r="T18" s="363"/>
      <c r="U18" s="363"/>
      <c r="V18" s="363"/>
      <c r="W18" s="363"/>
      <c r="X18" s="363"/>
      <c r="Y18" s="363"/>
      <c r="Z18" s="363"/>
    </row>
    <row r="19" spans="1:26" ht="13.5" customHeight="1" x14ac:dyDescent="0.2">
      <c r="A19" s="363"/>
      <c r="B19" s="363"/>
      <c r="C19" s="363"/>
      <c r="D19" s="363"/>
      <c r="E19" s="363"/>
      <c r="F19" s="363"/>
      <c r="G19" s="363"/>
      <c r="H19" s="363"/>
      <c r="I19" s="363"/>
      <c r="J19" s="363"/>
      <c r="K19" s="363"/>
      <c r="L19" s="363"/>
      <c r="M19" s="363"/>
      <c r="N19" s="363"/>
      <c r="O19" s="363"/>
      <c r="P19" s="363"/>
      <c r="Q19" s="363"/>
      <c r="R19" s="363"/>
      <c r="S19" s="363"/>
      <c r="T19" s="363"/>
      <c r="U19" s="363"/>
      <c r="V19" s="363"/>
      <c r="W19" s="363"/>
      <c r="X19" s="363"/>
      <c r="Y19" s="363"/>
      <c r="Z19" s="363"/>
    </row>
    <row r="20" spans="1:26" ht="13.5" customHeight="1" x14ac:dyDescent="0.2">
      <c r="A20" s="384" t="s">
        <v>26</v>
      </c>
      <c r="B20" s="384" t="s">
        <v>25</v>
      </c>
      <c r="C20" s="384" t="s">
        <v>274</v>
      </c>
      <c r="D20" s="384" t="s">
        <v>275</v>
      </c>
      <c r="E20" s="384"/>
      <c r="F20" s="384"/>
      <c r="G20" s="384" t="s">
        <v>276</v>
      </c>
      <c r="H20" s="384" t="s">
        <v>277</v>
      </c>
      <c r="I20" s="363"/>
      <c r="J20" s="363"/>
      <c r="K20" s="363"/>
      <c r="L20" s="363"/>
      <c r="M20" s="363"/>
      <c r="N20" s="363"/>
      <c r="O20" s="363"/>
      <c r="P20" s="363"/>
      <c r="Q20" s="363"/>
      <c r="R20" s="363"/>
      <c r="S20" s="363"/>
      <c r="T20" s="363"/>
      <c r="U20" s="363"/>
      <c r="V20" s="363"/>
      <c r="W20" s="363"/>
      <c r="X20" s="363"/>
      <c r="Y20" s="363"/>
      <c r="Z20" s="363"/>
    </row>
    <row r="21" spans="1:26" ht="13.5" customHeight="1" x14ac:dyDescent="0.2">
      <c r="A21" s="385" t="s">
        <v>278</v>
      </c>
      <c r="B21" s="385" t="s">
        <v>278</v>
      </c>
      <c r="C21" s="385" t="s">
        <v>279</v>
      </c>
      <c r="D21" s="385" t="s">
        <v>280</v>
      </c>
      <c r="E21" s="385" t="s">
        <v>281</v>
      </c>
      <c r="F21" s="385" t="s">
        <v>282</v>
      </c>
      <c r="G21" s="385" t="s">
        <v>280</v>
      </c>
      <c r="H21" s="385" t="s">
        <v>281</v>
      </c>
      <c r="I21" s="363"/>
      <c r="J21" s="363"/>
      <c r="K21" s="363"/>
      <c r="L21" s="363"/>
      <c r="M21" s="363"/>
      <c r="N21" s="363"/>
      <c r="O21" s="363"/>
      <c r="P21" s="363"/>
      <c r="Q21" s="363"/>
      <c r="R21" s="363"/>
      <c r="S21" s="363"/>
      <c r="T21" s="363"/>
      <c r="U21" s="363"/>
      <c r="V21" s="363"/>
      <c r="W21" s="363"/>
      <c r="X21" s="363"/>
      <c r="Y21" s="363"/>
      <c r="Z21" s="363"/>
    </row>
    <row r="22" spans="1:26" ht="13.5" customHeight="1" x14ac:dyDescent="0.2">
      <c r="A22" s="386">
        <f t="shared" ref="A22:A381" si="0">ROUNDUP(B22/12,0)</f>
        <v>4</v>
      </c>
      <c r="B22" s="387">
        <f>INPUTS!R15*12+1</f>
        <v>37</v>
      </c>
      <c r="C22" s="398">
        <f>C11</f>
        <v>47239</v>
      </c>
      <c r="D22" s="389">
        <f>C7</f>
        <v>1905327.6596086156</v>
      </c>
      <c r="E22" s="389">
        <f t="shared" ref="E22:E381" si="1">D22*$C$8/12</f>
        <v>9923.58156046154</v>
      </c>
      <c r="F22" s="389">
        <f>($C$14-E22)*(B22&lt;$C$9*12+$B$22)*(B22&gt;INPUTS!$R$20*12+$B$22-1)</f>
        <v>0</v>
      </c>
      <c r="G22" s="389">
        <f t="shared" ref="G22:G381" si="2">D22-F22</f>
        <v>1905327.6596086156</v>
      </c>
      <c r="H22" s="389">
        <f t="shared" ref="H22:H381" si="3">SUM($E$22:E22)</f>
        <v>9923.58156046154</v>
      </c>
      <c r="I22" s="363"/>
      <c r="J22" s="363"/>
      <c r="K22" s="363"/>
      <c r="L22" s="363"/>
      <c r="M22" s="363"/>
      <c r="N22" s="363"/>
      <c r="O22" s="363"/>
      <c r="P22" s="363"/>
      <c r="Q22" s="363"/>
      <c r="R22" s="363"/>
      <c r="S22" s="363"/>
      <c r="T22" s="363"/>
      <c r="U22" s="363"/>
      <c r="V22" s="363"/>
      <c r="W22" s="363"/>
      <c r="X22" s="363"/>
      <c r="Y22" s="363"/>
      <c r="Z22" s="363"/>
    </row>
    <row r="23" spans="1:26" ht="13.5" customHeight="1" x14ac:dyDescent="0.2">
      <c r="A23" s="386">
        <f t="shared" si="0"/>
        <v>4</v>
      </c>
      <c r="B23" s="387">
        <f t="shared" ref="B23:B381" si="4">B22+1</f>
        <v>38</v>
      </c>
      <c r="C23" s="398">
        <f t="shared" ref="C23:C381" si="5">EDATE(C22,1)</f>
        <v>47270</v>
      </c>
      <c r="D23" s="389">
        <f t="shared" ref="D23:D381" si="6">G22</f>
        <v>1905327.6596086156</v>
      </c>
      <c r="E23" s="389">
        <f t="shared" si="1"/>
        <v>9923.58156046154</v>
      </c>
      <c r="F23" s="389">
        <f>($C$14-E23)*(B23&lt;$C$9*12+$B$22)*(B23&gt;INPUTS!$R$20*12+$B$22-1)</f>
        <v>0</v>
      </c>
      <c r="G23" s="389">
        <f t="shared" si="2"/>
        <v>1905327.6596086156</v>
      </c>
      <c r="H23" s="389">
        <f t="shared" si="3"/>
        <v>19847.16312092308</v>
      </c>
      <c r="I23" s="363"/>
      <c r="J23" s="363"/>
      <c r="K23" s="363"/>
      <c r="L23" s="363"/>
      <c r="M23" s="363"/>
      <c r="N23" s="363"/>
      <c r="O23" s="363"/>
      <c r="P23" s="363"/>
      <c r="Q23" s="363"/>
      <c r="R23" s="363"/>
      <c r="S23" s="363"/>
      <c r="T23" s="363"/>
      <c r="U23" s="363"/>
      <c r="V23" s="363"/>
      <c r="W23" s="363"/>
      <c r="X23" s="363"/>
      <c r="Y23" s="363"/>
      <c r="Z23" s="363"/>
    </row>
    <row r="24" spans="1:26" ht="13.5" customHeight="1" x14ac:dyDescent="0.2">
      <c r="A24" s="386">
        <f t="shared" si="0"/>
        <v>4</v>
      </c>
      <c r="B24" s="387">
        <f t="shared" si="4"/>
        <v>39</v>
      </c>
      <c r="C24" s="398">
        <f t="shared" si="5"/>
        <v>47300</v>
      </c>
      <c r="D24" s="389">
        <f t="shared" si="6"/>
        <v>1905327.6596086156</v>
      </c>
      <c r="E24" s="389">
        <f t="shared" si="1"/>
        <v>9923.58156046154</v>
      </c>
      <c r="F24" s="389">
        <f>($C$14-E24)*(B24&lt;$C$9*12+$B$22)*(B24&gt;INPUTS!$R$20*12+$B$22-1)</f>
        <v>0</v>
      </c>
      <c r="G24" s="389">
        <f t="shared" si="2"/>
        <v>1905327.6596086156</v>
      </c>
      <c r="H24" s="389">
        <f t="shared" si="3"/>
        <v>29770.744681384618</v>
      </c>
      <c r="I24" s="363"/>
      <c r="J24" s="363"/>
      <c r="K24" s="363"/>
      <c r="L24" s="363"/>
      <c r="M24" s="363"/>
      <c r="N24" s="363"/>
      <c r="O24" s="363"/>
      <c r="P24" s="363"/>
      <c r="Q24" s="363"/>
      <c r="R24" s="363"/>
      <c r="S24" s="363"/>
      <c r="T24" s="363"/>
      <c r="U24" s="363"/>
      <c r="V24" s="363"/>
      <c r="W24" s="363"/>
      <c r="X24" s="363"/>
      <c r="Y24" s="363"/>
      <c r="Z24" s="363"/>
    </row>
    <row r="25" spans="1:26" ht="13.5" customHeight="1" x14ac:dyDescent="0.2">
      <c r="A25" s="386">
        <f t="shared" si="0"/>
        <v>4</v>
      </c>
      <c r="B25" s="387">
        <f t="shared" si="4"/>
        <v>40</v>
      </c>
      <c r="C25" s="398">
        <f t="shared" si="5"/>
        <v>47331</v>
      </c>
      <c r="D25" s="389">
        <f t="shared" si="6"/>
        <v>1905327.6596086156</v>
      </c>
      <c r="E25" s="389">
        <f t="shared" si="1"/>
        <v>9923.58156046154</v>
      </c>
      <c r="F25" s="389">
        <f>($C$14-E25)*(B25&lt;$C$9*12+$B$22)*(B25&gt;INPUTS!$R$20*12+$B$22-1)</f>
        <v>0</v>
      </c>
      <c r="G25" s="389">
        <f t="shared" si="2"/>
        <v>1905327.6596086156</v>
      </c>
      <c r="H25" s="389">
        <f t="shared" si="3"/>
        <v>39694.32624184616</v>
      </c>
      <c r="I25" s="363"/>
      <c r="J25" s="363"/>
      <c r="K25" s="363"/>
      <c r="L25" s="363"/>
      <c r="M25" s="363"/>
      <c r="N25" s="363"/>
      <c r="O25" s="363"/>
      <c r="P25" s="363"/>
      <c r="Q25" s="363"/>
      <c r="R25" s="363"/>
      <c r="S25" s="363"/>
      <c r="T25" s="363"/>
      <c r="U25" s="363"/>
      <c r="V25" s="363"/>
      <c r="W25" s="363"/>
      <c r="X25" s="363"/>
      <c r="Y25" s="363"/>
      <c r="Z25" s="363"/>
    </row>
    <row r="26" spans="1:26" ht="13.5" customHeight="1" x14ac:dyDescent="0.2">
      <c r="A26" s="386">
        <f t="shared" si="0"/>
        <v>4</v>
      </c>
      <c r="B26" s="387">
        <f t="shared" si="4"/>
        <v>41</v>
      </c>
      <c r="C26" s="398">
        <f t="shared" si="5"/>
        <v>47362</v>
      </c>
      <c r="D26" s="389">
        <f t="shared" si="6"/>
        <v>1905327.6596086156</v>
      </c>
      <c r="E26" s="389">
        <f t="shared" si="1"/>
        <v>9923.58156046154</v>
      </c>
      <c r="F26" s="389">
        <f>($C$14-E26)*(B26&lt;$C$9*12+$B$22)*(B26&gt;INPUTS!$R$20*12+$B$22-1)</f>
        <v>0</v>
      </c>
      <c r="G26" s="389">
        <f t="shared" si="2"/>
        <v>1905327.6596086156</v>
      </c>
      <c r="H26" s="389">
        <f t="shared" si="3"/>
        <v>49617.907802307702</v>
      </c>
      <c r="I26" s="363"/>
      <c r="J26" s="363"/>
      <c r="K26" s="363"/>
      <c r="L26" s="363"/>
      <c r="M26" s="363"/>
      <c r="N26" s="363"/>
      <c r="O26" s="363"/>
      <c r="P26" s="363"/>
      <c r="Q26" s="363"/>
      <c r="R26" s="363"/>
      <c r="S26" s="363"/>
      <c r="T26" s="363"/>
      <c r="U26" s="363"/>
      <c r="V26" s="363"/>
      <c r="W26" s="363"/>
      <c r="X26" s="363"/>
      <c r="Y26" s="363"/>
      <c r="Z26" s="363"/>
    </row>
    <row r="27" spans="1:26" ht="13.5" customHeight="1" x14ac:dyDescent="0.2">
      <c r="A27" s="386">
        <f t="shared" si="0"/>
        <v>4</v>
      </c>
      <c r="B27" s="387">
        <f t="shared" si="4"/>
        <v>42</v>
      </c>
      <c r="C27" s="398">
        <f t="shared" si="5"/>
        <v>47392</v>
      </c>
      <c r="D27" s="389">
        <f t="shared" si="6"/>
        <v>1905327.6596086156</v>
      </c>
      <c r="E27" s="389">
        <f t="shared" si="1"/>
        <v>9923.58156046154</v>
      </c>
      <c r="F27" s="389">
        <f>($C$14-E27)*(B27&lt;$C$9*12+$B$22)*(B27&gt;INPUTS!$R$20*12+$B$22-1)</f>
        <v>0</v>
      </c>
      <c r="G27" s="389">
        <f t="shared" si="2"/>
        <v>1905327.6596086156</v>
      </c>
      <c r="H27" s="389">
        <f t="shared" si="3"/>
        <v>59541.489362769244</v>
      </c>
      <c r="I27" s="363"/>
      <c r="J27" s="363"/>
      <c r="K27" s="363"/>
      <c r="L27" s="363"/>
      <c r="M27" s="363"/>
      <c r="N27" s="363"/>
      <c r="O27" s="363"/>
      <c r="P27" s="363"/>
      <c r="Q27" s="363"/>
      <c r="R27" s="363"/>
      <c r="S27" s="363"/>
      <c r="T27" s="363"/>
      <c r="U27" s="363"/>
      <c r="V27" s="363"/>
      <c r="W27" s="363"/>
      <c r="X27" s="363"/>
      <c r="Y27" s="363"/>
      <c r="Z27" s="363"/>
    </row>
    <row r="28" spans="1:26" ht="13.5" customHeight="1" x14ac:dyDescent="0.2">
      <c r="A28" s="386">
        <f t="shared" si="0"/>
        <v>4</v>
      </c>
      <c r="B28" s="387">
        <f t="shared" si="4"/>
        <v>43</v>
      </c>
      <c r="C28" s="398">
        <f t="shared" si="5"/>
        <v>47423</v>
      </c>
      <c r="D28" s="389">
        <f t="shared" si="6"/>
        <v>1905327.6596086156</v>
      </c>
      <c r="E28" s="389">
        <f t="shared" si="1"/>
        <v>9923.58156046154</v>
      </c>
      <c r="F28" s="389">
        <f>($C$14-E28)*(B28&lt;$C$9*12+$B$22)*(B28&gt;INPUTS!$R$20*12+$B$22-1)</f>
        <v>0</v>
      </c>
      <c r="G28" s="389">
        <f t="shared" si="2"/>
        <v>1905327.6596086156</v>
      </c>
      <c r="H28" s="389">
        <f t="shared" si="3"/>
        <v>69465.070923230785</v>
      </c>
      <c r="I28" s="363"/>
      <c r="J28" s="363"/>
      <c r="K28" s="363"/>
      <c r="L28" s="363"/>
      <c r="M28" s="363"/>
      <c r="N28" s="363"/>
      <c r="O28" s="363"/>
      <c r="P28" s="363"/>
      <c r="Q28" s="363"/>
      <c r="R28" s="363"/>
      <c r="S28" s="363"/>
      <c r="T28" s="363"/>
      <c r="U28" s="363"/>
      <c r="V28" s="363"/>
      <c r="W28" s="363"/>
      <c r="X28" s="363"/>
      <c r="Y28" s="363"/>
      <c r="Z28" s="363"/>
    </row>
    <row r="29" spans="1:26" ht="13.5" customHeight="1" x14ac:dyDescent="0.2">
      <c r="A29" s="386">
        <f t="shared" si="0"/>
        <v>4</v>
      </c>
      <c r="B29" s="387">
        <f t="shared" si="4"/>
        <v>44</v>
      </c>
      <c r="C29" s="398">
        <f t="shared" si="5"/>
        <v>47453</v>
      </c>
      <c r="D29" s="389">
        <f t="shared" si="6"/>
        <v>1905327.6596086156</v>
      </c>
      <c r="E29" s="389">
        <f t="shared" si="1"/>
        <v>9923.58156046154</v>
      </c>
      <c r="F29" s="389">
        <f>($C$14-E29)*(B29&lt;$C$9*12+$B$22)*(B29&gt;INPUTS!$R$20*12+$B$22-1)</f>
        <v>0</v>
      </c>
      <c r="G29" s="389">
        <f t="shared" si="2"/>
        <v>1905327.6596086156</v>
      </c>
      <c r="H29" s="389">
        <f t="shared" si="3"/>
        <v>79388.65248369232</v>
      </c>
      <c r="I29" s="363"/>
      <c r="J29" s="363"/>
      <c r="K29" s="363"/>
      <c r="L29" s="363"/>
      <c r="M29" s="363"/>
      <c r="N29" s="363"/>
      <c r="O29" s="363"/>
      <c r="P29" s="363"/>
      <c r="Q29" s="363"/>
      <c r="R29" s="363"/>
      <c r="S29" s="363"/>
      <c r="T29" s="363"/>
      <c r="U29" s="363"/>
      <c r="V29" s="363"/>
      <c r="W29" s="363"/>
      <c r="X29" s="363"/>
      <c r="Y29" s="363"/>
      <c r="Z29" s="363"/>
    </row>
    <row r="30" spans="1:26" ht="13.5" customHeight="1" x14ac:dyDescent="0.2">
      <c r="A30" s="386">
        <f t="shared" si="0"/>
        <v>4</v>
      </c>
      <c r="B30" s="387">
        <f t="shared" si="4"/>
        <v>45</v>
      </c>
      <c r="C30" s="398">
        <f t="shared" si="5"/>
        <v>47484</v>
      </c>
      <c r="D30" s="389">
        <f t="shared" si="6"/>
        <v>1905327.6596086156</v>
      </c>
      <c r="E30" s="389">
        <f t="shared" si="1"/>
        <v>9923.58156046154</v>
      </c>
      <c r="F30" s="389">
        <f>($C$14-E30)*(B30&lt;$C$9*12+$B$22)*(B30&gt;INPUTS!$R$20*12+$B$22-1)</f>
        <v>0</v>
      </c>
      <c r="G30" s="389">
        <f t="shared" si="2"/>
        <v>1905327.6596086156</v>
      </c>
      <c r="H30" s="389">
        <f t="shared" si="3"/>
        <v>89312.234044153854</v>
      </c>
      <c r="I30" s="363"/>
      <c r="J30" s="363"/>
      <c r="K30" s="363"/>
      <c r="L30" s="363"/>
      <c r="M30" s="363"/>
      <c r="N30" s="363"/>
      <c r="O30" s="363"/>
      <c r="P30" s="363"/>
      <c r="Q30" s="363"/>
      <c r="R30" s="363"/>
      <c r="S30" s="363"/>
      <c r="T30" s="363"/>
      <c r="U30" s="363"/>
      <c r="V30" s="363"/>
      <c r="W30" s="363"/>
      <c r="X30" s="363"/>
      <c r="Y30" s="363"/>
      <c r="Z30" s="363"/>
    </row>
    <row r="31" spans="1:26" ht="13.5" customHeight="1" x14ac:dyDescent="0.2">
      <c r="A31" s="386">
        <f t="shared" si="0"/>
        <v>4</v>
      </c>
      <c r="B31" s="387">
        <f t="shared" si="4"/>
        <v>46</v>
      </c>
      <c r="C31" s="398">
        <f t="shared" si="5"/>
        <v>47515</v>
      </c>
      <c r="D31" s="389">
        <f t="shared" si="6"/>
        <v>1905327.6596086156</v>
      </c>
      <c r="E31" s="389">
        <f t="shared" si="1"/>
        <v>9923.58156046154</v>
      </c>
      <c r="F31" s="389">
        <f>($C$14-E31)*(B31&lt;$C$9*12+$B$22)*(B31&gt;INPUTS!$R$20*12+$B$22-1)</f>
        <v>0</v>
      </c>
      <c r="G31" s="389">
        <f t="shared" si="2"/>
        <v>1905327.6596086156</v>
      </c>
      <c r="H31" s="389">
        <f t="shared" si="3"/>
        <v>99235.815604615389</v>
      </c>
      <c r="I31" s="363"/>
      <c r="J31" s="363"/>
      <c r="K31" s="363"/>
      <c r="L31" s="363"/>
      <c r="M31" s="363"/>
      <c r="N31" s="363"/>
      <c r="O31" s="363"/>
      <c r="P31" s="363"/>
      <c r="Q31" s="363"/>
      <c r="R31" s="363"/>
      <c r="S31" s="363"/>
      <c r="T31" s="363"/>
      <c r="U31" s="363"/>
      <c r="V31" s="363"/>
      <c r="W31" s="363"/>
      <c r="X31" s="363"/>
      <c r="Y31" s="363"/>
      <c r="Z31" s="363"/>
    </row>
    <row r="32" spans="1:26" ht="13.5" customHeight="1" x14ac:dyDescent="0.2">
      <c r="A32" s="386">
        <f t="shared" si="0"/>
        <v>4</v>
      </c>
      <c r="B32" s="387">
        <f t="shared" si="4"/>
        <v>47</v>
      </c>
      <c r="C32" s="398">
        <f t="shared" si="5"/>
        <v>47543</v>
      </c>
      <c r="D32" s="389">
        <f t="shared" si="6"/>
        <v>1905327.6596086156</v>
      </c>
      <c r="E32" s="389">
        <f t="shared" si="1"/>
        <v>9923.58156046154</v>
      </c>
      <c r="F32" s="389">
        <f>($C$14-E32)*(B32&lt;$C$9*12+$B$22)*(B32&gt;INPUTS!$R$20*12+$B$22-1)</f>
        <v>0</v>
      </c>
      <c r="G32" s="389">
        <f t="shared" si="2"/>
        <v>1905327.6596086156</v>
      </c>
      <c r="H32" s="389">
        <f t="shared" si="3"/>
        <v>109159.39716507692</v>
      </c>
      <c r="I32" s="363"/>
      <c r="J32" s="363"/>
      <c r="K32" s="363"/>
      <c r="L32" s="363"/>
      <c r="M32" s="363"/>
      <c r="N32" s="363"/>
      <c r="O32" s="363"/>
      <c r="P32" s="363"/>
      <c r="Q32" s="363"/>
      <c r="R32" s="363"/>
      <c r="S32" s="363"/>
      <c r="T32" s="363"/>
      <c r="U32" s="363"/>
      <c r="V32" s="363"/>
      <c r="W32" s="363"/>
      <c r="X32" s="363"/>
      <c r="Y32" s="363"/>
      <c r="Z32" s="363"/>
    </row>
    <row r="33" spans="1:26" ht="13.5" customHeight="1" x14ac:dyDescent="0.2">
      <c r="A33" s="386">
        <f t="shared" si="0"/>
        <v>4</v>
      </c>
      <c r="B33" s="387">
        <f t="shared" si="4"/>
        <v>48</v>
      </c>
      <c r="C33" s="398">
        <f t="shared" si="5"/>
        <v>47574</v>
      </c>
      <c r="D33" s="389">
        <f t="shared" si="6"/>
        <v>1905327.6596086156</v>
      </c>
      <c r="E33" s="389">
        <f t="shared" si="1"/>
        <v>9923.58156046154</v>
      </c>
      <c r="F33" s="389">
        <f>($C$14-E33)*(B33&lt;$C$9*12+$B$22)*(B33&gt;INPUTS!$R$20*12+$B$22-1)</f>
        <v>0</v>
      </c>
      <c r="G33" s="389">
        <f t="shared" si="2"/>
        <v>1905327.6596086156</v>
      </c>
      <c r="H33" s="389">
        <f t="shared" si="3"/>
        <v>119082.97872553846</v>
      </c>
      <c r="I33" s="363"/>
      <c r="J33" s="363"/>
      <c r="K33" s="363"/>
      <c r="L33" s="363"/>
      <c r="M33" s="363"/>
      <c r="N33" s="363"/>
      <c r="O33" s="363"/>
      <c r="P33" s="363"/>
      <c r="Q33" s="363"/>
      <c r="R33" s="363"/>
      <c r="S33" s="363"/>
      <c r="T33" s="363"/>
      <c r="U33" s="363"/>
      <c r="V33" s="363"/>
      <c r="W33" s="363"/>
      <c r="X33" s="363"/>
      <c r="Y33" s="363"/>
      <c r="Z33" s="363"/>
    </row>
    <row r="34" spans="1:26" ht="13.5" customHeight="1" x14ac:dyDescent="0.2">
      <c r="A34" s="386">
        <f t="shared" si="0"/>
        <v>5</v>
      </c>
      <c r="B34" s="387">
        <f t="shared" si="4"/>
        <v>49</v>
      </c>
      <c r="C34" s="398">
        <f t="shared" si="5"/>
        <v>47604</v>
      </c>
      <c r="D34" s="389">
        <f t="shared" si="6"/>
        <v>1905327.6596086156</v>
      </c>
      <c r="E34" s="389">
        <f t="shared" si="1"/>
        <v>9923.58156046154</v>
      </c>
      <c r="F34" s="389">
        <f>($C$14-E34)*(B34&lt;$C$9*12+$B$22)*(B34&gt;INPUTS!$R$20*12+$B$22-1)</f>
        <v>0</v>
      </c>
      <c r="G34" s="389">
        <f t="shared" si="2"/>
        <v>1905327.6596086156</v>
      </c>
      <c r="H34" s="389">
        <f t="shared" si="3"/>
        <v>129006.56028599999</v>
      </c>
      <c r="I34" s="363"/>
      <c r="J34" s="363"/>
      <c r="K34" s="363"/>
      <c r="L34" s="363"/>
      <c r="M34" s="363"/>
      <c r="N34" s="363"/>
      <c r="O34" s="363"/>
      <c r="P34" s="363"/>
      <c r="Q34" s="363"/>
      <c r="R34" s="363"/>
      <c r="S34" s="363"/>
      <c r="T34" s="363"/>
      <c r="U34" s="363"/>
      <c r="V34" s="363"/>
      <c r="W34" s="363"/>
      <c r="X34" s="363"/>
      <c r="Y34" s="363"/>
      <c r="Z34" s="363"/>
    </row>
    <row r="35" spans="1:26" ht="13.5" customHeight="1" x14ac:dyDescent="0.2">
      <c r="A35" s="386">
        <f t="shared" si="0"/>
        <v>5</v>
      </c>
      <c r="B35" s="387">
        <f t="shared" si="4"/>
        <v>50</v>
      </c>
      <c r="C35" s="398">
        <f t="shared" si="5"/>
        <v>47635</v>
      </c>
      <c r="D35" s="389">
        <f t="shared" si="6"/>
        <v>1905327.6596086156</v>
      </c>
      <c r="E35" s="389">
        <f t="shared" si="1"/>
        <v>9923.58156046154</v>
      </c>
      <c r="F35" s="389">
        <f>($C$14-E35)*(B35&lt;$C$9*12+$B$22)*(B35&gt;INPUTS!$R$20*12+$B$22-1)</f>
        <v>0</v>
      </c>
      <c r="G35" s="389">
        <f t="shared" si="2"/>
        <v>1905327.6596086156</v>
      </c>
      <c r="H35" s="389">
        <f t="shared" si="3"/>
        <v>138930.14184646154</v>
      </c>
      <c r="I35" s="363"/>
      <c r="J35" s="363"/>
      <c r="K35" s="363"/>
      <c r="L35" s="363"/>
      <c r="M35" s="363"/>
      <c r="N35" s="363"/>
      <c r="O35" s="363"/>
      <c r="P35" s="363"/>
      <c r="Q35" s="363"/>
      <c r="R35" s="363"/>
      <c r="S35" s="363"/>
      <c r="T35" s="363"/>
      <c r="U35" s="363"/>
      <c r="V35" s="363"/>
      <c r="W35" s="363"/>
      <c r="X35" s="363"/>
      <c r="Y35" s="363"/>
      <c r="Z35" s="363"/>
    </row>
    <row r="36" spans="1:26" ht="13.5" customHeight="1" x14ac:dyDescent="0.2">
      <c r="A36" s="386">
        <f t="shared" si="0"/>
        <v>5</v>
      </c>
      <c r="B36" s="387">
        <f t="shared" si="4"/>
        <v>51</v>
      </c>
      <c r="C36" s="398">
        <f t="shared" si="5"/>
        <v>47665</v>
      </c>
      <c r="D36" s="389">
        <f t="shared" si="6"/>
        <v>1905327.6596086156</v>
      </c>
      <c r="E36" s="389">
        <f t="shared" si="1"/>
        <v>9923.58156046154</v>
      </c>
      <c r="F36" s="389">
        <f>($C$14-E36)*(B36&lt;$C$9*12+$B$22)*(B36&gt;INPUTS!$R$20*12+$B$22-1)</f>
        <v>0</v>
      </c>
      <c r="G36" s="389">
        <f t="shared" si="2"/>
        <v>1905327.6596086156</v>
      </c>
      <c r="H36" s="389">
        <f t="shared" si="3"/>
        <v>148853.72340692309</v>
      </c>
      <c r="I36" s="363"/>
      <c r="J36" s="363"/>
      <c r="K36" s="363"/>
      <c r="L36" s="363"/>
      <c r="M36" s="363"/>
      <c r="N36" s="363"/>
      <c r="O36" s="363"/>
      <c r="P36" s="363"/>
      <c r="Q36" s="363"/>
      <c r="R36" s="363"/>
      <c r="S36" s="363"/>
      <c r="T36" s="363"/>
      <c r="U36" s="363"/>
      <c r="V36" s="363"/>
      <c r="W36" s="363"/>
      <c r="X36" s="363"/>
      <c r="Y36" s="363"/>
      <c r="Z36" s="363"/>
    </row>
    <row r="37" spans="1:26" ht="13.5" customHeight="1" x14ac:dyDescent="0.2">
      <c r="A37" s="386">
        <f t="shared" si="0"/>
        <v>5</v>
      </c>
      <c r="B37" s="387">
        <f t="shared" si="4"/>
        <v>52</v>
      </c>
      <c r="C37" s="398">
        <f t="shared" si="5"/>
        <v>47696</v>
      </c>
      <c r="D37" s="389">
        <f t="shared" si="6"/>
        <v>1905327.6596086156</v>
      </c>
      <c r="E37" s="389">
        <f t="shared" si="1"/>
        <v>9923.58156046154</v>
      </c>
      <c r="F37" s="389">
        <f>($C$14-E37)*(B37&lt;$C$9*12+$B$22)*(B37&gt;INPUTS!$R$20*12+$B$22-1)</f>
        <v>0</v>
      </c>
      <c r="G37" s="389">
        <f t="shared" si="2"/>
        <v>1905327.6596086156</v>
      </c>
      <c r="H37" s="389">
        <f t="shared" si="3"/>
        <v>158777.30496738464</v>
      </c>
      <c r="I37" s="363"/>
      <c r="J37" s="363"/>
      <c r="K37" s="363"/>
      <c r="L37" s="363"/>
      <c r="M37" s="363"/>
      <c r="N37" s="363"/>
      <c r="O37" s="363"/>
      <c r="P37" s="363"/>
      <c r="Q37" s="363"/>
      <c r="R37" s="363"/>
      <c r="S37" s="363"/>
      <c r="T37" s="363"/>
      <c r="U37" s="363"/>
      <c r="V37" s="363"/>
      <c r="W37" s="363"/>
      <c r="X37" s="363"/>
      <c r="Y37" s="363"/>
      <c r="Z37" s="363"/>
    </row>
    <row r="38" spans="1:26" ht="13.5" customHeight="1" x14ac:dyDescent="0.2">
      <c r="A38" s="386">
        <f t="shared" si="0"/>
        <v>5</v>
      </c>
      <c r="B38" s="387">
        <f t="shared" si="4"/>
        <v>53</v>
      </c>
      <c r="C38" s="398">
        <f t="shared" si="5"/>
        <v>47727</v>
      </c>
      <c r="D38" s="389">
        <f t="shared" si="6"/>
        <v>1905327.6596086156</v>
      </c>
      <c r="E38" s="389">
        <f t="shared" si="1"/>
        <v>9923.58156046154</v>
      </c>
      <c r="F38" s="389">
        <f>($C$14-E38)*(B38&lt;$C$9*12+$B$22)*(B38&gt;INPUTS!$R$20*12+$B$22-1)</f>
        <v>0</v>
      </c>
      <c r="G38" s="389">
        <f t="shared" si="2"/>
        <v>1905327.6596086156</v>
      </c>
      <c r="H38" s="389">
        <f t="shared" si="3"/>
        <v>168700.88652784619</v>
      </c>
      <c r="I38" s="363"/>
      <c r="J38" s="363"/>
      <c r="K38" s="363"/>
      <c r="L38" s="363"/>
      <c r="M38" s="363"/>
      <c r="N38" s="363"/>
      <c r="O38" s="363"/>
      <c r="P38" s="363"/>
      <c r="Q38" s="363"/>
      <c r="R38" s="363"/>
      <c r="S38" s="363"/>
      <c r="T38" s="363"/>
      <c r="U38" s="363"/>
      <c r="V38" s="363"/>
      <c r="W38" s="363"/>
      <c r="X38" s="363"/>
      <c r="Y38" s="363"/>
      <c r="Z38" s="363"/>
    </row>
    <row r="39" spans="1:26" ht="13.5" customHeight="1" x14ac:dyDescent="0.2">
      <c r="A39" s="386">
        <f t="shared" si="0"/>
        <v>5</v>
      </c>
      <c r="B39" s="387">
        <f t="shared" si="4"/>
        <v>54</v>
      </c>
      <c r="C39" s="398">
        <f t="shared" si="5"/>
        <v>47757</v>
      </c>
      <c r="D39" s="389">
        <f t="shared" si="6"/>
        <v>1905327.6596086156</v>
      </c>
      <c r="E39" s="389">
        <f t="shared" si="1"/>
        <v>9923.58156046154</v>
      </c>
      <c r="F39" s="389">
        <f>($C$14-E39)*(B39&lt;$C$9*12+$B$22)*(B39&gt;INPUTS!$R$20*12+$B$22-1)</f>
        <v>0</v>
      </c>
      <c r="G39" s="389">
        <f t="shared" si="2"/>
        <v>1905327.6596086156</v>
      </c>
      <c r="H39" s="389">
        <f t="shared" si="3"/>
        <v>178624.46808830774</v>
      </c>
      <c r="I39" s="363"/>
      <c r="J39" s="363"/>
      <c r="K39" s="363"/>
      <c r="L39" s="363"/>
      <c r="M39" s="363"/>
      <c r="N39" s="363"/>
      <c r="O39" s="363"/>
      <c r="P39" s="363"/>
      <c r="Q39" s="363"/>
      <c r="R39" s="363"/>
      <c r="S39" s="363"/>
      <c r="T39" s="363"/>
      <c r="U39" s="363"/>
      <c r="V39" s="363"/>
      <c r="W39" s="363"/>
      <c r="X39" s="363"/>
      <c r="Y39" s="363"/>
      <c r="Z39" s="363"/>
    </row>
    <row r="40" spans="1:26" ht="13.5" customHeight="1" x14ac:dyDescent="0.2">
      <c r="A40" s="386">
        <f t="shared" si="0"/>
        <v>5</v>
      </c>
      <c r="B40" s="387">
        <f t="shared" si="4"/>
        <v>55</v>
      </c>
      <c r="C40" s="398">
        <f t="shared" si="5"/>
        <v>47788</v>
      </c>
      <c r="D40" s="389">
        <f t="shared" si="6"/>
        <v>1905327.6596086156</v>
      </c>
      <c r="E40" s="389">
        <f t="shared" si="1"/>
        <v>9923.58156046154</v>
      </c>
      <c r="F40" s="389">
        <f>($C$14-E40)*(B40&lt;$C$9*12+$B$22)*(B40&gt;INPUTS!$R$20*12+$B$22-1)</f>
        <v>0</v>
      </c>
      <c r="G40" s="389">
        <f t="shared" si="2"/>
        <v>1905327.6596086156</v>
      </c>
      <c r="H40" s="389">
        <f t="shared" si="3"/>
        <v>188548.04964876929</v>
      </c>
      <c r="I40" s="363"/>
      <c r="J40" s="363"/>
      <c r="K40" s="363"/>
      <c r="L40" s="363"/>
      <c r="M40" s="363"/>
      <c r="N40" s="363"/>
      <c r="O40" s="363"/>
      <c r="P40" s="363"/>
      <c r="Q40" s="363"/>
      <c r="R40" s="363"/>
      <c r="S40" s="363"/>
      <c r="T40" s="363"/>
      <c r="U40" s="363"/>
      <c r="V40" s="363"/>
      <c r="W40" s="363"/>
      <c r="X40" s="363"/>
      <c r="Y40" s="363"/>
      <c r="Z40" s="363"/>
    </row>
    <row r="41" spans="1:26" ht="13.5" customHeight="1" x14ac:dyDescent="0.2">
      <c r="A41" s="386">
        <f t="shared" si="0"/>
        <v>5</v>
      </c>
      <c r="B41" s="387">
        <f t="shared" si="4"/>
        <v>56</v>
      </c>
      <c r="C41" s="398">
        <f t="shared" si="5"/>
        <v>47818</v>
      </c>
      <c r="D41" s="389">
        <f t="shared" si="6"/>
        <v>1905327.6596086156</v>
      </c>
      <c r="E41" s="389">
        <f t="shared" si="1"/>
        <v>9923.58156046154</v>
      </c>
      <c r="F41" s="389">
        <f>($C$14-E41)*(B41&lt;$C$9*12+$B$22)*(B41&gt;INPUTS!$R$20*12+$B$22-1)</f>
        <v>0</v>
      </c>
      <c r="G41" s="389">
        <f t="shared" si="2"/>
        <v>1905327.6596086156</v>
      </c>
      <c r="H41" s="389">
        <f t="shared" si="3"/>
        <v>198471.63120923084</v>
      </c>
      <c r="I41" s="363"/>
      <c r="J41" s="363"/>
      <c r="K41" s="363"/>
      <c r="L41" s="363"/>
      <c r="M41" s="363"/>
      <c r="N41" s="363"/>
      <c r="O41" s="363"/>
      <c r="P41" s="363"/>
      <c r="Q41" s="363"/>
      <c r="R41" s="363"/>
      <c r="S41" s="363"/>
      <c r="T41" s="363"/>
      <c r="U41" s="363"/>
      <c r="V41" s="363"/>
      <c r="W41" s="363"/>
      <c r="X41" s="363"/>
      <c r="Y41" s="363"/>
      <c r="Z41" s="363"/>
    </row>
    <row r="42" spans="1:26" ht="13.5" customHeight="1" x14ac:dyDescent="0.2">
      <c r="A42" s="386">
        <f t="shared" si="0"/>
        <v>5</v>
      </c>
      <c r="B42" s="387">
        <f t="shared" si="4"/>
        <v>57</v>
      </c>
      <c r="C42" s="398">
        <f t="shared" si="5"/>
        <v>47849</v>
      </c>
      <c r="D42" s="389">
        <f t="shared" si="6"/>
        <v>1905327.6596086156</v>
      </c>
      <c r="E42" s="389">
        <f t="shared" si="1"/>
        <v>9923.58156046154</v>
      </c>
      <c r="F42" s="389">
        <f>($C$14-E42)*(B42&lt;$C$9*12+$B$22)*(B42&gt;INPUTS!$R$20*12+$B$22-1)</f>
        <v>0</v>
      </c>
      <c r="G42" s="389">
        <f t="shared" si="2"/>
        <v>1905327.6596086156</v>
      </c>
      <c r="H42" s="389">
        <f t="shared" si="3"/>
        <v>208395.21276969239</v>
      </c>
      <c r="I42" s="363"/>
      <c r="J42" s="363"/>
      <c r="K42" s="363"/>
      <c r="L42" s="363"/>
      <c r="M42" s="363"/>
      <c r="N42" s="363"/>
      <c r="O42" s="363"/>
      <c r="P42" s="363"/>
      <c r="Q42" s="363"/>
      <c r="R42" s="363"/>
      <c r="S42" s="363"/>
      <c r="T42" s="363"/>
      <c r="U42" s="363"/>
      <c r="V42" s="363"/>
      <c r="W42" s="363"/>
      <c r="X42" s="363"/>
      <c r="Y42" s="363"/>
      <c r="Z42" s="363"/>
    </row>
    <row r="43" spans="1:26" ht="13.5" customHeight="1" x14ac:dyDescent="0.2">
      <c r="A43" s="386">
        <f t="shared" si="0"/>
        <v>5</v>
      </c>
      <c r="B43" s="387">
        <f t="shared" si="4"/>
        <v>58</v>
      </c>
      <c r="C43" s="398">
        <f t="shared" si="5"/>
        <v>47880</v>
      </c>
      <c r="D43" s="389">
        <f t="shared" si="6"/>
        <v>1905327.6596086156</v>
      </c>
      <c r="E43" s="389">
        <f t="shared" si="1"/>
        <v>9923.58156046154</v>
      </c>
      <c r="F43" s="389">
        <f>($C$14-E43)*(B43&lt;$C$9*12+$B$22)*(B43&gt;INPUTS!$R$20*12+$B$22-1)</f>
        <v>0</v>
      </c>
      <c r="G43" s="389">
        <f t="shared" si="2"/>
        <v>1905327.6596086156</v>
      </c>
      <c r="H43" s="389">
        <f t="shared" si="3"/>
        <v>218318.79433015393</v>
      </c>
      <c r="I43" s="363"/>
      <c r="J43" s="363"/>
      <c r="K43" s="363"/>
      <c r="L43" s="363"/>
      <c r="M43" s="363"/>
      <c r="N43" s="363"/>
      <c r="O43" s="363"/>
      <c r="P43" s="363"/>
      <c r="Q43" s="363"/>
      <c r="R43" s="363"/>
      <c r="S43" s="363"/>
      <c r="T43" s="363"/>
      <c r="U43" s="363"/>
      <c r="V43" s="363"/>
      <c r="W43" s="363"/>
      <c r="X43" s="363"/>
      <c r="Y43" s="363"/>
      <c r="Z43" s="363"/>
    </row>
    <row r="44" spans="1:26" ht="13.5" customHeight="1" x14ac:dyDescent="0.2">
      <c r="A44" s="386">
        <f t="shared" si="0"/>
        <v>5</v>
      </c>
      <c r="B44" s="387">
        <f t="shared" si="4"/>
        <v>59</v>
      </c>
      <c r="C44" s="398">
        <f t="shared" si="5"/>
        <v>47908</v>
      </c>
      <c r="D44" s="389">
        <f t="shared" si="6"/>
        <v>1905327.6596086156</v>
      </c>
      <c r="E44" s="389">
        <f t="shared" si="1"/>
        <v>9923.58156046154</v>
      </c>
      <c r="F44" s="389">
        <f>($C$14-E44)*(B44&lt;$C$9*12+$B$22)*(B44&gt;INPUTS!$R$20*12+$B$22-1)</f>
        <v>0</v>
      </c>
      <c r="G44" s="389">
        <f t="shared" si="2"/>
        <v>1905327.6596086156</v>
      </c>
      <c r="H44" s="389">
        <f t="shared" si="3"/>
        <v>228242.37589061548</v>
      </c>
      <c r="I44" s="363"/>
      <c r="J44" s="363"/>
      <c r="K44" s="363"/>
      <c r="L44" s="363"/>
      <c r="M44" s="363"/>
      <c r="N44" s="363"/>
      <c r="O44" s="363"/>
      <c r="P44" s="363"/>
      <c r="Q44" s="363"/>
      <c r="R44" s="363"/>
      <c r="S44" s="363"/>
      <c r="T44" s="363"/>
      <c r="U44" s="363"/>
      <c r="V44" s="363"/>
      <c r="W44" s="363"/>
      <c r="X44" s="363"/>
      <c r="Y44" s="363"/>
      <c r="Z44" s="363"/>
    </row>
    <row r="45" spans="1:26" ht="13.5" customHeight="1" x14ac:dyDescent="0.2">
      <c r="A45" s="386">
        <f t="shared" si="0"/>
        <v>5</v>
      </c>
      <c r="B45" s="387">
        <f t="shared" si="4"/>
        <v>60</v>
      </c>
      <c r="C45" s="398">
        <f t="shared" si="5"/>
        <v>47939</v>
      </c>
      <c r="D45" s="389">
        <f t="shared" si="6"/>
        <v>1905327.6596086156</v>
      </c>
      <c r="E45" s="389">
        <f t="shared" si="1"/>
        <v>9923.58156046154</v>
      </c>
      <c r="F45" s="389">
        <f>($C$14-E45)*(B45&lt;$C$9*12+$B$22)*(B45&gt;INPUTS!$R$20*12+$B$22-1)</f>
        <v>0</v>
      </c>
      <c r="G45" s="389">
        <f t="shared" si="2"/>
        <v>1905327.6596086156</v>
      </c>
      <c r="H45" s="389">
        <f t="shared" si="3"/>
        <v>238165.95745107703</v>
      </c>
      <c r="I45" s="363"/>
      <c r="J45" s="363"/>
      <c r="K45" s="363"/>
      <c r="L45" s="363"/>
      <c r="M45" s="363"/>
      <c r="N45" s="363"/>
      <c r="O45" s="363"/>
      <c r="P45" s="363"/>
      <c r="Q45" s="363"/>
      <c r="R45" s="363"/>
      <c r="S45" s="363"/>
      <c r="T45" s="363"/>
      <c r="U45" s="363"/>
      <c r="V45" s="363"/>
      <c r="W45" s="363"/>
      <c r="X45" s="363"/>
      <c r="Y45" s="363"/>
      <c r="Z45" s="363"/>
    </row>
    <row r="46" spans="1:26" ht="13.5" customHeight="1" x14ac:dyDescent="0.2">
      <c r="A46" s="386">
        <f t="shared" si="0"/>
        <v>6</v>
      </c>
      <c r="B46" s="387">
        <f t="shared" si="4"/>
        <v>61</v>
      </c>
      <c r="C46" s="398">
        <f t="shared" si="5"/>
        <v>47969</v>
      </c>
      <c r="D46" s="389">
        <f t="shared" si="6"/>
        <v>1905327.6596086156</v>
      </c>
      <c r="E46" s="389">
        <f t="shared" si="1"/>
        <v>9923.58156046154</v>
      </c>
      <c r="F46" s="389">
        <f>($C$14-E46)*(B46&lt;$C$9*12+$B$22)*(B46&gt;INPUTS!$R$20*12+$B$22-1)</f>
        <v>3106.477573749853</v>
      </c>
      <c r="G46" s="389">
        <f t="shared" si="2"/>
        <v>1902221.1820348657</v>
      </c>
      <c r="H46" s="389">
        <f t="shared" si="3"/>
        <v>248089.53901153858</v>
      </c>
      <c r="I46" s="363"/>
      <c r="J46" s="363"/>
      <c r="K46" s="363"/>
      <c r="L46" s="363"/>
      <c r="M46" s="363"/>
      <c r="N46" s="363"/>
      <c r="O46" s="363"/>
      <c r="P46" s="363"/>
      <c r="Q46" s="363"/>
      <c r="R46" s="363"/>
      <c r="S46" s="363"/>
      <c r="T46" s="363"/>
      <c r="U46" s="363"/>
      <c r="V46" s="363"/>
      <c r="W46" s="363"/>
      <c r="X46" s="363"/>
      <c r="Y46" s="363"/>
      <c r="Z46" s="363"/>
    </row>
    <row r="47" spans="1:26" ht="13.5" customHeight="1" x14ac:dyDescent="0.2">
      <c r="A47" s="386">
        <f t="shared" si="0"/>
        <v>6</v>
      </c>
      <c r="B47" s="387">
        <f t="shared" si="4"/>
        <v>62</v>
      </c>
      <c r="C47" s="398">
        <f t="shared" si="5"/>
        <v>48000</v>
      </c>
      <c r="D47" s="389">
        <f t="shared" si="6"/>
        <v>1902221.1820348657</v>
      </c>
      <c r="E47" s="389">
        <f t="shared" si="1"/>
        <v>9907.401989764925</v>
      </c>
      <c r="F47" s="389">
        <f>($C$14-E47)*(B47&lt;$C$9*12+$B$22)*(B47&gt;INPUTS!$R$20*12+$B$22-1)</f>
        <v>3122.657144446468</v>
      </c>
      <c r="G47" s="389">
        <f t="shared" si="2"/>
        <v>1899098.5248904193</v>
      </c>
      <c r="H47" s="389">
        <f t="shared" si="3"/>
        <v>257996.94100130349</v>
      </c>
      <c r="I47" s="363"/>
      <c r="J47" s="363"/>
      <c r="K47" s="363"/>
      <c r="L47" s="363"/>
      <c r="M47" s="363"/>
      <c r="N47" s="363"/>
      <c r="O47" s="363"/>
      <c r="P47" s="363"/>
      <c r="Q47" s="363"/>
      <c r="R47" s="363"/>
      <c r="S47" s="363"/>
      <c r="T47" s="363"/>
      <c r="U47" s="363"/>
      <c r="V47" s="363"/>
      <c r="W47" s="363"/>
      <c r="X47" s="363"/>
      <c r="Y47" s="363"/>
      <c r="Z47" s="363"/>
    </row>
    <row r="48" spans="1:26" ht="13.5" customHeight="1" x14ac:dyDescent="0.2">
      <c r="A48" s="386">
        <f t="shared" si="0"/>
        <v>6</v>
      </c>
      <c r="B48" s="387">
        <f t="shared" si="4"/>
        <v>63</v>
      </c>
      <c r="C48" s="398">
        <f t="shared" si="5"/>
        <v>48030</v>
      </c>
      <c r="D48" s="389">
        <f t="shared" si="6"/>
        <v>1899098.5248904193</v>
      </c>
      <c r="E48" s="389">
        <f t="shared" si="1"/>
        <v>9891.1381504709334</v>
      </c>
      <c r="F48" s="389">
        <f>($C$14-E48)*(B48&lt;$C$9*12+$B$22)*(B48&gt;INPUTS!$R$20*12+$B$22-1)</f>
        <v>3138.9209837404596</v>
      </c>
      <c r="G48" s="389">
        <f t="shared" si="2"/>
        <v>1895959.603906679</v>
      </c>
      <c r="H48" s="389">
        <f t="shared" si="3"/>
        <v>267888.07915177441</v>
      </c>
      <c r="I48" s="363"/>
      <c r="J48" s="363"/>
      <c r="K48" s="363"/>
      <c r="L48" s="363"/>
      <c r="M48" s="363"/>
      <c r="N48" s="363"/>
      <c r="O48" s="363"/>
      <c r="P48" s="363"/>
      <c r="Q48" s="363"/>
      <c r="R48" s="363"/>
      <c r="S48" s="363"/>
      <c r="T48" s="363"/>
      <c r="U48" s="363"/>
      <c r="V48" s="363"/>
      <c r="W48" s="363"/>
      <c r="X48" s="363"/>
      <c r="Y48" s="363"/>
      <c r="Z48" s="363"/>
    </row>
    <row r="49" spans="1:26" ht="13.5" customHeight="1" x14ac:dyDescent="0.2">
      <c r="A49" s="386">
        <f t="shared" si="0"/>
        <v>6</v>
      </c>
      <c r="B49" s="387">
        <f t="shared" si="4"/>
        <v>64</v>
      </c>
      <c r="C49" s="398">
        <f t="shared" si="5"/>
        <v>48061</v>
      </c>
      <c r="D49" s="389">
        <f t="shared" si="6"/>
        <v>1895959.603906679</v>
      </c>
      <c r="E49" s="389">
        <f t="shared" si="1"/>
        <v>9874.7896036806196</v>
      </c>
      <c r="F49" s="389">
        <f>($C$14-E49)*(B49&lt;$C$9*12+$B$22)*(B49&gt;INPUTS!$R$20*12+$B$22-1)</f>
        <v>3155.2695305307734</v>
      </c>
      <c r="G49" s="389">
        <f t="shared" si="2"/>
        <v>1892804.3343761482</v>
      </c>
      <c r="H49" s="389">
        <f t="shared" si="3"/>
        <v>277762.86875545501</v>
      </c>
      <c r="I49" s="363"/>
      <c r="J49" s="363"/>
      <c r="K49" s="363"/>
      <c r="L49" s="363"/>
      <c r="M49" s="363"/>
      <c r="N49" s="363"/>
      <c r="O49" s="363"/>
      <c r="P49" s="363"/>
      <c r="Q49" s="363"/>
      <c r="R49" s="363"/>
      <c r="S49" s="363"/>
      <c r="T49" s="363"/>
      <c r="U49" s="363"/>
      <c r="V49" s="363"/>
      <c r="W49" s="363"/>
      <c r="X49" s="363"/>
      <c r="Y49" s="363"/>
      <c r="Z49" s="363"/>
    </row>
    <row r="50" spans="1:26" ht="13.5" customHeight="1" x14ac:dyDescent="0.2">
      <c r="A50" s="386">
        <f t="shared" si="0"/>
        <v>6</v>
      </c>
      <c r="B50" s="387">
        <f t="shared" si="4"/>
        <v>65</v>
      </c>
      <c r="C50" s="398">
        <f t="shared" si="5"/>
        <v>48092</v>
      </c>
      <c r="D50" s="389">
        <f t="shared" si="6"/>
        <v>1892804.3343761482</v>
      </c>
      <c r="E50" s="389">
        <f t="shared" si="1"/>
        <v>9858.3559082091051</v>
      </c>
      <c r="F50" s="389">
        <f>($C$14-E50)*(B50&lt;$C$9*12+$B$22)*(B50&gt;INPUTS!$R$20*12+$B$22-1)</f>
        <v>3171.7032260022879</v>
      </c>
      <c r="G50" s="389">
        <f t="shared" si="2"/>
        <v>1889632.6311501458</v>
      </c>
      <c r="H50" s="389">
        <f t="shared" si="3"/>
        <v>287621.22466366412</v>
      </c>
      <c r="I50" s="363"/>
      <c r="J50" s="363"/>
      <c r="K50" s="363"/>
      <c r="L50" s="363"/>
      <c r="M50" s="363"/>
      <c r="N50" s="363"/>
      <c r="O50" s="363"/>
      <c r="P50" s="363"/>
      <c r="Q50" s="363"/>
      <c r="R50" s="363"/>
      <c r="S50" s="363"/>
      <c r="T50" s="363"/>
      <c r="U50" s="363"/>
      <c r="V50" s="363"/>
      <c r="W50" s="363"/>
      <c r="X50" s="363"/>
      <c r="Y50" s="363"/>
      <c r="Z50" s="363"/>
    </row>
    <row r="51" spans="1:26" ht="13.5" customHeight="1" x14ac:dyDescent="0.2">
      <c r="A51" s="386">
        <f t="shared" si="0"/>
        <v>6</v>
      </c>
      <c r="B51" s="387">
        <f t="shared" si="4"/>
        <v>66</v>
      </c>
      <c r="C51" s="398">
        <f t="shared" si="5"/>
        <v>48122</v>
      </c>
      <c r="D51" s="389">
        <f t="shared" si="6"/>
        <v>1889632.6311501458</v>
      </c>
      <c r="E51" s="389">
        <f t="shared" si="1"/>
        <v>9841.8366205736766</v>
      </c>
      <c r="F51" s="389">
        <f>($C$14-E51)*(B51&lt;$C$9*12+$B$22)*(B51&gt;INPUTS!$R$20*12+$B$22-1)</f>
        <v>3188.2225136377165</v>
      </c>
      <c r="G51" s="389">
        <f t="shared" si="2"/>
        <v>1886444.408636508</v>
      </c>
      <c r="H51" s="389">
        <f t="shared" si="3"/>
        <v>297463.06128423777</v>
      </c>
      <c r="I51" s="363"/>
      <c r="J51" s="363"/>
      <c r="K51" s="363"/>
      <c r="L51" s="363"/>
      <c r="M51" s="363"/>
      <c r="N51" s="363"/>
      <c r="O51" s="363"/>
      <c r="P51" s="363"/>
      <c r="Q51" s="363"/>
      <c r="R51" s="363"/>
      <c r="S51" s="363"/>
      <c r="T51" s="363"/>
      <c r="U51" s="363"/>
      <c r="V51" s="363"/>
      <c r="W51" s="363"/>
      <c r="X51" s="363"/>
      <c r="Y51" s="363"/>
      <c r="Z51" s="363"/>
    </row>
    <row r="52" spans="1:26" ht="13.5" customHeight="1" x14ac:dyDescent="0.2">
      <c r="A52" s="386">
        <f t="shared" si="0"/>
        <v>6</v>
      </c>
      <c r="B52" s="387">
        <f t="shared" si="4"/>
        <v>67</v>
      </c>
      <c r="C52" s="398">
        <f t="shared" si="5"/>
        <v>48153</v>
      </c>
      <c r="D52" s="389">
        <f t="shared" si="6"/>
        <v>1886444.408636508</v>
      </c>
      <c r="E52" s="389">
        <f t="shared" si="1"/>
        <v>9825.2312949818133</v>
      </c>
      <c r="F52" s="389">
        <f>($C$14-E52)*(B52&lt;$C$9*12+$B$22)*(B52&gt;INPUTS!$R$20*12+$B$22-1)</f>
        <v>3204.8278392295797</v>
      </c>
      <c r="G52" s="389">
        <f t="shared" si="2"/>
        <v>1883239.5807972786</v>
      </c>
      <c r="H52" s="389">
        <f t="shared" si="3"/>
        <v>307288.29257921956</v>
      </c>
      <c r="I52" s="363"/>
      <c r="J52" s="363"/>
      <c r="K52" s="363"/>
      <c r="L52" s="363"/>
      <c r="M52" s="363"/>
      <c r="N52" s="363"/>
      <c r="O52" s="363"/>
      <c r="P52" s="363"/>
      <c r="Q52" s="363"/>
      <c r="R52" s="363"/>
      <c r="S52" s="363"/>
      <c r="T52" s="363"/>
      <c r="U52" s="363"/>
      <c r="V52" s="363"/>
      <c r="W52" s="363"/>
      <c r="X52" s="363"/>
      <c r="Y52" s="363"/>
      <c r="Z52" s="363"/>
    </row>
    <row r="53" spans="1:26" ht="13.5" customHeight="1" x14ac:dyDescent="0.2">
      <c r="A53" s="386">
        <f t="shared" si="0"/>
        <v>6</v>
      </c>
      <c r="B53" s="387">
        <f t="shared" si="4"/>
        <v>68</v>
      </c>
      <c r="C53" s="398">
        <f t="shared" si="5"/>
        <v>48183</v>
      </c>
      <c r="D53" s="389">
        <f t="shared" si="6"/>
        <v>1883239.5807972786</v>
      </c>
      <c r="E53" s="389">
        <f t="shared" si="1"/>
        <v>9808.5394833191585</v>
      </c>
      <c r="F53" s="389">
        <f>($C$14-E53)*(B53&lt;$C$9*12+$B$22)*(B53&gt;INPUTS!$R$20*12+$B$22-1)</f>
        <v>3221.5196508922345</v>
      </c>
      <c r="G53" s="389">
        <f t="shared" si="2"/>
        <v>1880018.0611463864</v>
      </c>
      <c r="H53" s="389">
        <f t="shared" si="3"/>
        <v>317096.83206253871</v>
      </c>
      <c r="I53" s="363"/>
      <c r="J53" s="363"/>
      <c r="K53" s="363"/>
      <c r="L53" s="363"/>
      <c r="M53" s="363"/>
      <c r="N53" s="363"/>
      <c r="O53" s="363"/>
      <c r="P53" s="363"/>
      <c r="Q53" s="363"/>
      <c r="R53" s="363"/>
      <c r="S53" s="363"/>
      <c r="T53" s="363"/>
      <c r="U53" s="363"/>
      <c r="V53" s="363"/>
      <c r="W53" s="363"/>
      <c r="X53" s="363"/>
      <c r="Y53" s="363"/>
      <c r="Z53" s="363"/>
    </row>
    <row r="54" spans="1:26" ht="13.5" customHeight="1" x14ac:dyDescent="0.2">
      <c r="A54" s="386">
        <f t="shared" si="0"/>
        <v>6</v>
      </c>
      <c r="B54" s="387">
        <f t="shared" si="4"/>
        <v>69</v>
      </c>
      <c r="C54" s="398">
        <f t="shared" si="5"/>
        <v>48214</v>
      </c>
      <c r="D54" s="389">
        <f t="shared" si="6"/>
        <v>1880018.0611463864</v>
      </c>
      <c r="E54" s="389">
        <f t="shared" si="1"/>
        <v>9791.7607351374299</v>
      </c>
      <c r="F54" s="389">
        <f>($C$14-E54)*(B54&lt;$C$9*12+$B$22)*(B54&gt;INPUTS!$R$20*12+$B$22-1)</f>
        <v>3238.2983990739631</v>
      </c>
      <c r="G54" s="389">
        <f t="shared" si="2"/>
        <v>1876779.7627473124</v>
      </c>
      <c r="H54" s="389">
        <f t="shared" si="3"/>
        <v>326888.59279767616</v>
      </c>
      <c r="I54" s="363"/>
      <c r="J54" s="363"/>
      <c r="K54" s="363"/>
      <c r="L54" s="363"/>
      <c r="M54" s="363"/>
      <c r="N54" s="363"/>
      <c r="O54" s="363"/>
      <c r="P54" s="363"/>
      <c r="Q54" s="363"/>
      <c r="R54" s="363"/>
      <c r="S54" s="363"/>
      <c r="T54" s="363"/>
      <c r="U54" s="363"/>
      <c r="V54" s="363"/>
      <c r="W54" s="363"/>
      <c r="X54" s="363"/>
      <c r="Y54" s="363"/>
      <c r="Z54" s="363"/>
    </row>
    <row r="55" spans="1:26" ht="13.5" customHeight="1" x14ac:dyDescent="0.2">
      <c r="A55" s="386">
        <f t="shared" si="0"/>
        <v>6</v>
      </c>
      <c r="B55" s="387">
        <f t="shared" si="4"/>
        <v>70</v>
      </c>
      <c r="C55" s="398">
        <f t="shared" si="5"/>
        <v>48245</v>
      </c>
      <c r="D55" s="389">
        <f t="shared" si="6"/>
        <v>1876779.7627473124</v>
      </c>
      <c r="E55" s="389">
        <f t="shared" si="1"/>
        <v>9774.8945976422528</v>
      </c>
      <c r="F55" s="389">
        <f>($C$14-E55)*(B55&lt;$C$9*12+$B$22)*(B55&gt;INPUTS!$R$20*12+$B$22-1)</f>
        <v>3255.1645365691402</v>
      </c>
      <c r="G55" s="389">
        <f t="shared" si="2"/>
        <v>1873524.5982107434</v>
      </c>
      <c r="H55" s="389">
        <f t="shared" si="3"/>
        <v>336663.4873953184</v>
      </c>
      <c r="I55" s="363"/>
      <c r="J55" s="363"/>
      <c r="K55" s="363"/>
      <c r="L55" s="363"/>
      <c r="M55" s="363"/>
      <c r="N55" s="363"/>
      <c r="O55" s="363"/>
      <c r="P55" s="363"/>
      <c r="Q55" s="363"/>
      <c r="R55" s="363"/>
      <c r="S55" s="363"/>
      <c r="T55" s="363"/>
      <c r="U55" s="363"/>
      <c r="V55" s="363"/>
      <c r="W55" s="363"/>
      <c r="X55" s="363"/>
      <c r="Y55" s="363"/>
      <c r="Z55" s="363"/>
    </row>
    <row r="56" spans="1:26" ht="13.5" customHeight="1" x14ac:dyDescent="0.2">
      <c r="A56" s="386">
        <f t="shared" si="0"/>
        <v>6</v>
      </c>
      <c r="B56" s="387">
        <f t="shared" si="4"/>
        <v>71</v>
      </c>
      <c r="C56" s="398">
        <f t="shared" si="5"/>
        <v>48274</v>
      </c>
      <c r="D56" s="389">
        <f t="shared" si="6"/>
        <v>1873524.5982107434</v>
      </c>
      <c r="E56" s="389">
        <f t="shared" si="1"/>
        <v>9757.9406156809546</v>
      </c>
      <c r="F56" s="389">
        <f>($C$14-E56)*(B56&lt;$C$9*12+$B$22)*(B56&gt;INPUTS!$R$20*12+$B$22-1)</f>
        <v>3272.1185185304385</v>
      </c>
      <c r="G56" s="389">
        <f t="shared" si="2"/>
        <v>1870252.479692213</v>
      </c>
      <c r="H56" s="389">
        <f t="shared" si="3"/>
        <v>346421.42801099934</v>
      </c>
      <c r="I56" s="363"/>
      <c r="J56" s="363"/>
      <c r="K56" s="363"/>
      <c r="L56" s="363"/>
      <c r="M56" s="363"/>
      <c r="N56" s="363"/>
      <c r="O56" s="363"/>
      <c r="P56" s="363"/>
      <c r="Q56" s="363"/>
      <c r="R56" s="363"/>
      <c r="S56" s="363"/>
      <c r="T56" s="363"/>
      <c r="U56" s="363"/>
      <c r="V56" s="363"/>
      <c r="W56" s="363"/>
      <c r="X56" s="363"/>
      <c r="Y56" s="363"/>
      <c r="Z56" s="363"/>
    </row>
    <row r="57" spans="1:26" ht="13.5" customHeight="1" x14ac:dyDescent="0.2">
      <c r="A57" s="386">
        <f t="shared" si="0"/>
        <v>6</v>
      </c>
      <c r="B57" s="387">
        <f t="shared" si="4"/>
        <v>72</v>
      </c>
      <c r="C57" s="398">
        <f t="shared" si="5"/>
        <v>48305</v>
      </c>
      <c r="D57" s="389">
        <f t="shared" si="6"/>
        <v>1870252.479692213</v>
      </c>
      <c r="E57" s="389">
        <f t="shared" si="1"/>
        <v>9740.8983317302755</v>
      </c>
      <c r="F57" s="389">
        <f>($C$14-E57)*(B57&lt;$C$9*12+$B$22)*(B57&gt;INPUTS!$R$20*12+$B$22-1)</f>
        <v>3289.1608024811176</v>
      </c>
      <c r="G57" s="389">
        <f t="shared" si="2"/>
        <v>1866963.3188897318</v>
      </c>
      <c r="H57" s="389">
        <f t="shared" si="3"/>
        <v>356162.32634272962</v>
      </c>
      <c r="I57" s="363"/>
      <c r="J57" s="363"/>
      <c r="K57" s="363"/>
      <c r="L57" s="363"/>
      <c r="M57" s="363"/>
      <c r="N57" s="363"/>
      <c r="O57" s="363"/>
      <c r="P57" s="363"/>
      <c r="Q57" s="363"/>
      <c r="R57" s="363"/>
      <c r="S57" s="363"/>
      <c r="T57" s="363"/>
      <c r="U57" s="363"/>
      <c r="V57" s="363"/>
      <c r="W57" s="363"/>
      <c r="X57" s="363"/>
      <c r="Y57" s="363"/>
      <c r="Z57" s="363"/>
    </row>
    <row r="58" spans="1:26" ht="13.5" customHeight="1" x14ac:dyDescent="0.2">
      <c r="A58" s="386">
        <f t="shared" si="0"/>
        <v>7</v>
      </c>
      <c r="B58" s="387">
        <f t="shared" si="4"/>
        <v>73</v>
      </c>
      <c r="C58" s="398">
        <f t="shared" si="5"/>
        <v>48335</v>
      </c>
      <c r="D58" s="389">
        <f t="shared" si="6"/>
        <v>1866963.3188897318</v>
      </c>
      <c r="E58" s="389">
        <f t="shared" si="1"/>
        <v>9723.7672858840197</v>
      </c>
      <c r="F58" s="389">
        <f>($C$14-E58)*(B58&lt;$C$9*12+$B$22)*(B58&gt;INPUTS!$R$20*12+$B$22-1)</f>
        <v>3306.2918483273734</v>
      </c>
      <c r="G58" s="389">
        <f t="shared" si="2"/>
        <v>1863657.0270414045</v>
      </c>
      <c r="H58" s="389">
        <f t="shared" si="3"/>
        <v>365886.09362861363</v>
      </c>
      <c r="I58" s="363"/>
      <c r="J58" s="363"/>
      <c r="K58" s="363"/>
      <c r="L58" s="363"/>
      <c r="M58" s="363"/>
      <c r="N58" s="363"/>
      <c r="O58" s="363"/>
      <c r="P58" s="363"/>
      <c r="Q58" s="363"/>
      <c r="R58" s="363"/>
      <c r="S58" s="363"/>
      <c r="T58" s="363"/>
      <c r="U58" s="363"/>
      <c r="V58" s="363"/>
      <c r="W58" s="363"/>
      <c r="X58" s="363"/>
      <c r="Y58" s="363"/>
      <c r="Z58" s="363"/>
    </row>
    <row r="59" spans="1:26" ht="13.5" customHeight="1" x14ac:dyDescent="0.2">
      <c r="A59" s="386">
        <f t="shared" si="0"/>
        <v>7</v>
      </c>
      <c r="B59" s="387">
        <f t="shared" si="4"/>
        <v>74</v>
      </c>
      <c r="C59" s="398">
        <f t="shared" si="5"/>
        <v>48366</v>
      </c>
      <c r="D59" s="389">
        <f t="shared" si="6"/>
        <v>1863657.0270414045</v>
      </c>
      <c r="E59" s="389">
        <f t="shared" si="1"/>
        <v>9706.5470158406479</v>
      </c>
      <c r="F59" s="389">
        <f>($C$14-E59)*(B59&lt;$C$9*12+$B$22)*(B59&gt;INPUTS!$R$20*12+$B$22-1)</f>
        <v>3323.5121183707452</v>
      </c>
      <c r="G59" s="389">
        <f t="shared" si="2"/>
        <v>1860333.5149230338</v>
      </c>
      <c r="H59" s="389">
        <f t="shared" si="3"/>
        <v>375592.64064445428</v>
      </c>
      <c r="I59" s="363"/>
      <c r="J59" s="363"/>
      <c r="K59" s="363"/>
      <c r="L59" s="363"/>
      <c r="M59" s="363"/>
      <c r="N59" s="363"/>
      <c r="O59" s="363"/>
      <c r="P59" s="363"/>
      <c r="Q59" s="363"/>
      <c r="R59" s="363"/>
      <c r="S59" s="363"/>
      <c r="T59" s="363"/>
      <c r="U59" s="363"/>
      <c r="V59" s="363"/>
      <c r="W59" s="363"/>
      <c r="X59" s="363"/>
      <c r="Y59" s="363"/>
      <c r="Z59" s="363"/>
    </row>
    <row r="60" spans="1:26" ht="13.5" customHeight="1" x14ac:dyDescent="0.2">
      <c r="A60" s="386">
        <f t="shared" si="0"/>
        <v>7</v>
      </c>
      <c r="B60" s="387">
        <f t="shared" si="4"/>
        <v>75</v>
      </c>
      <c r="C60" s="398">
        <f t="shared" si="5"/>
        <v>48396</v>
      </c>
      <c r="D60" s="389">
        <f t="shared" si="6"/>
        <v>1860333.5149230338</v>
      </c>
      <c r="E60" s="389">
        <f t="shared" si="1"/>
        <v>9689.2370568908009</v>
      </c>
      <c r="F60" s="389">
        <f>($C$14-E60)*(B60&lt;$C$9*12+$B$22)*(B60&gt;INPUTS!$R$20*12+$B$22-1)</f>
        <v>3340.8220773205921</v>
      </c>
      <c r="G60" s="389">
        <f t="shared" si="2"/>
        <v>1856992.6928457131</v>
      </c>
      <c r="H60" s="389">
        <f t="shared" si="3"/>
        <v>385281.87770134507</v>
      </c>
      <c r="I60" s="363"/>
      <c r="J60" s="363"/>
      <c r="K60" s="363"/>
      <c r="L60" s="363"/>
      <c r="M60" s="363"/>
      <c r="N60" s="363"/>
      <c r="O60" s="363"/>
      <c r="P60" s="363"/>
      <c r="Q60" s="363"/>
      <c r="R60" s="363"/>
      <c r="S60" s="363"/>
      <c r="T60" s="363"/>
      <c r="U60" s="363"/>
      <c r="V60" s="363"/>
      <c r="W60" s="363"/>
      <c r="X60" s="363"/>
      <c r="Y60" s="363"/>
      <c r="Z60" s="363"/>
    </row>
    <row r="61" spans="1:26" ht="13.5" customHeight="1" x14ac:dyDescent="0.2">
      <c r="A61" s="386">
        <f t="shared" si="0"/>
        <v>7</v>
      </c>
      <c r="B61" s="387">
        <f t="shared" si="4"/>
        <v>76</v>
      </c>
      <c r="C61" s="398">
        <f t="shared" si="5"/>
        <v>48427</v>
      </c>
      <c r="D61" s="389">
        <f t="shared" si="6"/>
        <v>1856992.6928457131</v>
      </c>
      <c r="E61" s="389">
        <f t="shared" si="1"/>
        <v>9671.8369419047558</v>
      </c>
      <c r="F61" s="389">
        <f>($C$14-E61)*(B61&lt;$C$9*12+$B$22)*(B61&gt;INPUTS!$R$20*12+$B$22-1)</f>
        <v>3358.2221923066372</v>
      </c>
      <c r="G61" s="389">
        <f t="shared" si="2"/>
        <v>1853634.4706534066</v>
      </c>
      <c r="H61" s="389">
        <f t="shared" si="3"/>
        <v>394953.71464324981</v>
      </c>
      <c r="I61" s="363"/>
      <c r="J61" s="363"/>
      <c r="K61" s="363"/>
      <c r="L61" s="363"/>
      <c r="M61" s="363"/>
      <c r="N61" s="363"/>
      <c r="O61" s="363"/>
      <c r="P61" s="363"/>
      <c r="Q61" s="363"/>
      <c r="R61" s="363"/>
      <c r="S61" s="363"/>
      <c r="T61" s="363"/>
      <c r="U61" s="363"/>
      <c r="V61" s="363"/>
      <c r="W61" s="363"/>
      <c r="X61" s="363"/>
      <c r="Y61" s="363"/>
      <c r="Z61" s="363"/>
    </row>
    <row r="62" spans="1:26" ht="13.5" customHeight="1" x14ac:dyDescent="0.2">
      <c r="A62" s="386">
        <f t="shared" si="0"/>
        <v>7</v>
      </c>
      <c r="B62" s="387">
        <f t="shared" si="4"/>
        <v>77</v>
      </c>
      <c r="C62" s="398">
        <f t="shared" si="5"/>
        <v>48458</v>
      </c>
      <c r="D62" s="389">
        <f t="shared" si="6"/>
        <v>1853634.4706534066</v>
      </c>
      <c r="E62" s="389">
        <f t="shared" si="1"/>
        <v>9654.3462013198259</v>
      </c>
      <c r="F62" s="389">
        <f>($C$14-E62)*(B62&lt;$C$9*12+$B$22)*(B62&gt;INPUTS!$R$20*12+$B$22-1)</f>
        <v>3375.7129328915671</v>
      </c>
      <c r="G62" s="389">
        <f t="shared" si="2"/>
        <v>1850258.7577205149</v>
      </c>
      <c r="H62" s="389">
        <f t="shared" si="3"/>
        <v>404608.06084456964</v>
      </c>
      <c r="I62" s="363"/>
      <c r="J62" s="363"/>
      <c r="K62" s="363"/>
      <c r="L62" s="363"/>
      <c r="M62" s="363"/>
      <c r="N62" s="363"/>
      <c r="O62" s="363"/>
      <c r="P62" s="363"/>
      <c r="Q62" s="363"/>
      <c r="R62" s="363"/>
      <c r="S62" s="363"/>
      <c r="T62" s="363"/>
      <c r="U62" s="363"/>
      <c r="V62" s="363"/>
      <c r="W62" s="363"/>
      <c r="X62" s="363"/>
      <c r="Y62" s="363"/>
      <c r="Z62" s="363"/>
    </row>
    <row r="63" spans="1:26" ht="13.5" customHeight="1" x14ac:dyDescent="0.2">
      <c r="A63" s="386">
        <f t="shared" si="0"/>
        <v>7</v>
      </c>
      <c r="B63" s="387">
        <f t="shared" si="4"/>
        <v>78</v>
      </c>
      <c r="C63" s="398">
        <f t="shared" si="5"/>
        <v>48488</v>
      </c>
      <c r="D63" s="389">
        <f t="shared" si="6"/>
        <v>1850258.7577205149</v>
      </c>
      <c r="E63" s="389">
        <f t="shared" si="1"/>
        <v>9636.7643631276824</v>
      </c>
      <c r="F63" s="389">
        <f>($C$14-E63)*(B63&lt;$C$9*12+$B$22)*(B63&gt;INPUTS!$R$20*12+$B$22-1)</f>
        <v>3393.2947710837107</v>
      </c>
      <c r="G63" s="389">
        <f t="shared" si="2"/>
        <v>1846865.4629494313</v>
      </c>
      <c r="H63" s="389">
        <f t="shared" si="3"/>
        <v>414244.82520769734</v>
      </c>
      <c r="I63" s="363"/>
      <c r="J63" s="363"/>
      <c r="K63" s="363"/>
      <c r="L63" s="363"/>
      <c r="M63" s="363"/>
      <c r="N63" s="363"/>
      <c r="O63" s="363"/>
      <c r="P63" s="363"/>
      <c r="Q63" s="363"/>
      <c r="R63" s="363"/>
      <c r="S63" s="363"/>
      <c r="T63" s="363"/>
      <c r="U63" s="363"/>
      <c r="V63" s="363"/>
      <c r="W63" s="363"/>
      <c r="X63" s="363"/>
      <c r="Y63" s="363"/>
      <c r="Z63" s="363"/>
    </row>
    <row r="64" spans="1:26" ht="13.5" customHeight="1" x14ac:dyDescent="0.2">
      <c r="A64" s="386">
        <f t="shared" si="0"/>
        <v>7</v>
      </c>
      <c r="B64" s="387">
        <f t="shared" si="4"/>
        <v>79</v>
      </c>
      <c r="C64" s="398">
        <f t="shared" si="5"/>
        <v>48519</v>
      </c>
      <c r="D64" s="389">
        <f t="shared" si="6"/>
        <v>1846865.4629494313</v>
      </c>
      <c r="E64" s="389">
        <f t="shared" si="1"/>
        <v>9619.0909528616212</v>
      </c>
      <c r="F64" s="389">
        <f>($C$14-E64)*(B64&lt;$C$9*12+$B$22)*(B64&gt;INPUTS!$R$20*12+$B$22-1)</f>
        <v>3410.9681813497718</v>
      </c>
      <c r="G64" s="389">
        <f t="shared" si="2"/>
        <v>1843454.4947680815</v>
      </c>
      <c r="H64" s="389">
        <f t="shared" si="3"/>
        <v>423863.91616055899</v>
      </c>
      <c r="I64" s="363"/>
      <c r="J64" s="363"/>
      <c r="K64" s="363"/>
      <c r="L64" s="363"/>
      <c r="M64" s="363"/>
      <c r="N64" s="363"/>
      <c r="O64" s="363"/>
      <c r="P64" s="363"/>
      <c r="Q64" s="363"/>
      <c r="R64" s="363"/>
      <c r="S64" s="363"/>
      <c r="T64" s="363"/>
      <c r="U64" s="363"/>
      <c r="V64" s="363"/>
      <c r="W64" s="363"/>
      <c r="X64" s="363"/>
      <c r="Y64" s="363"/>
      <c r="Z64" s="363"/>
    </row>
    <row r="65" spans="1:26" ht="13.5" customHeight="1" x14ac:dyDescent="0.2">
      <c r="A65" s="386">
        <f t="shared" si="0"/>
        <v>7</v>
      </c>
      <c r="B65" s="387">
        <f t="shared" si="4"/>
        <v>80</v>
      </c>
      <c r="C65" s="398">
        <f t="shared" si="5"/>
        <v>48549</v>
      </c>
      <c r="D65" s="389">
        <f t="shared" si="6"/>
        <v>1843454.4947680815</v>
      </c>
      <c r="E65" s="389">
        <f t="shared" si="1"/>
        <v>9601.3254935837576</v>
      </c>
      <c r="F65" s="389">
        <f>($C$14-E65)*(B65&lt;$C$9*12+$B$22)*(B65&gt;INPUTS!$R$20*12+$B$22-1)</f>
        <v>3428.7336406276354</v>
      </c>
      <c r="G65" s="389">
        <f t="shared" si="2"/>
        <v>1840025.7611274538</v>
      </c>
      <c r="H65" s="389">
        <f t="shared" si="3"/>
        <v>433465.24165414274</v>
      </c>
      <c r="I65" s="363"/>
      <c r="J65" s="363"/>
      <c r="K65" s="363"/>
      <c r="L65" s="363"/>
      <c r="M65" s="363"/>
      <c r="N65" s="363"/>
      <c r="O65" s="363"/>
      <c r="P65" s="363"/>
      <c r="Q65" s="363"/>
      <c r="R65" s="363"/>
      <c r="S65" s="363"/>
      <c r="T65" s="363"/>
      <c r="U65" s="363"/>
      <c r="V65" s="363"/>
      <c r="W65" s="363"/>
      <c r="X65" s="363"/>
      <c r="Y65" s="363"/>
      <c r="Z65" s="363"/>
    </row>
    <row r="66" spans="1:26" ht="13.5" customHeight="1" x14ac:dyDescent="0.2">
      <c r="A66" s="386">
        <f t="shared" si="0"/>
        <v>7</v>
      </c>
      <c r="B66" s="387">
        <f t="shared" si="4"/>
        <v>81</v>
      </c>
      <c r="C66" s="398">
        <f t="shared" si="5"/>
        <v>48580</v>
      </c>
      <c r="D66" s="389">
        <f t="shared" si="6"/>
        <v>1840025.7611274538</v>
      </c>
      <c r="E66" s="389">
        <f t="shared" si="1"/>
        <v>9583.467505872155</v>
      </c>
      <c r="F66" s="389">
        <f>($C$14-E66)*(B66&lt;$C$9*12+$B$22)*(B66&gt;INPUTS!$R$20*12+$B$22-1)</f>
        <v>3446.591628339238</v>
      </c>
      <c r="G66" s="389">
        <f t="shared" si="2"/>
        <v>1836579.1694991146</v>
      </c>
      <c r="H66" s="389">
        <f t="shared" si="3"/>
        <v>443048.70916001487</v>
      </c>
      <c r="I66" s="363"/>
      <c r="J66" s="363"/>
      <c r="K66" s="363"/>
      <c r="L66" s="363"/>
      <c r="M66" s="363"/>
      <c r="N66" s="363"/>
      <c r="O66" s="363"/>
      <c r="P66" s="363"/>
      <c r="Q66" s="363"/>
      <c r="R66" s="363"/>
      <c r="S66" s="363"/>
      <c r="T66" s="363"/>
      <c r="U66" s="363"/>
      <c r="V66" s="363"/>
      <c r="W66" s="363"/>
      <c r="X66" s="363"/>
      <c r="Y66" s="363"/>
      <c r="Z66" s="363"/>
    </row>
    <row r="67" spans="1:26" ht="13.5" customHeight="1" x14ac:dyDescent="0.2">
      <c r="A67" s="386">
        <f t="shared" si="0"/>
        <v>7</v>
      </c>
      <c r="B67" s="387">
        <f t="shared" si="4"/>
        <v>82</v>
      </c>
      <c r="C67" s="398">
        <f t="shared" si="5"/>
        <v>48611</v>
      </c>
      <c r="D67" s="389">
        <f t="shared" si="6"/>
        <v>1836579.1694991146</v>
      </c>
      <c r="E67" s="389">
        <f t="shared" si="1"/>
        <v>9565.516507807888</v>
      </c>
      <c r="F67" s="389">
        <f>($C$14-E67)*(B67&lt;$C$9*12+$B$22)*(B67&gt;INPUTS!$R$20*12+$B$22-1)</f>
        <v>3464.542626403505</v>
      </c>
      <c r="G67" s="389">
        <f t="shared" si="2"/>
        <v>1833114.6268727111</v>
      </c>
      <c r="H67" s="389">
        <f t="shared" si="3"/>
        <v>452614.22566782276</v>
      </c>
      <c r="I67" s="363"/>
      <c r="J67" s="363"/>
      <c r="K67" s="363"/>
      <c r="L67" s="363"/>
      <c r="M67" s="363"/>
      <c r="N67" s="363"/>
      <c r="O67" s="363"/>
      <c r="P67" s="363"/>
      <c r="Q67" s="363"/>
      <c r="R67" s="363"/>
      <c r="S67" s="363"/>
      <c r="T67" s="363"/>
      <c r="U67" s="363"/>
      <c r="V67" s="363"/>
      <c r="W67" s="363"/>
      <c r="X67" s="363"/>
      <c r="Y67" s="363"/>
      <c r="Z67" s="363"/>
    </row>
    <row r="68" spans="1:26" ht="13.5" customHeight="1" x14ac:dyDescent="0.2">
      <c r="A68" s="386">
        <f t="shared" si="0"/>
        <v>7</v>
      </c>
      <c r="B68" s="387">
        <f t="shared" si="4"/>
        <v>83</v>
      </c>
      <c r="C68" s="398">
        <f t="shared" si="5"/>
        <v>48639</v>
      </c>
      <c r="D68" s="389">
        <f t="shared" si="6"/>
        <v>1833114.6268727111</v>
      </c>
      <c r="E68" s="389">
        <f t="shared" si="1"/>
        <v>9547.4720149620371</v>
      </c>
      <c r="F68" s="389">
        <f>($C$14-E68)*(B68&lt;$C$9*12+$B$22)*(B68&gt;INPUTS!$R$20*12+$B$22-1)</f>
        <v>3482.587119249356</v>
      </c>
      <c r="G68" s="389">
        <f t="shared" si="2"/>
        <v>1829632.0397534617</v>
      </c>
      <c r="H68" s="389">
        <f t="shared" si="3"/>
        <v>462161.69768278481</v>
      </c>
      <c r="I68" s="363"/>
      <c r="J68" s="363"/>
      <c r="K68" s="363"/>
      <c r="L68" s="363"/>
      <c r="M68" s="363"/>
      <c r="N68" s="363"/>
      <c r="O68" s="363"/>
      <c r="P68" s="363"/>
      <c r="Q68" s="363"/>
      <c r="R68" s="363"/>
      <c r="S68" s="363"/>
      <c r="T68" s="363"/>
      <c r="U68" s="363"/>
      <c r="V68" s="363"/>
      <c r="W68" s="363"/>
      <c r="X68" s="363"/>
      <c r="Y68" s="363"/>
      <c r="Z68" s="363"/>
    </row>
    <row r="69" spans="1:26" ht="13.5" customHeight="1" x14ac:dyDescent="0.2">
      <c r="A69" s="386">
        <f t="shared" si="0"/>
        <v>7</v>
      </c>
      <c r="B69" s="387">
        <f t="shared" si="4"/>
        <v>84</v>
      </c>
      <c r="C69" s="398">
        <f t="shared" si="5"/>
        <v>48670</v>
      </c>
      <c r="D69" s="389">
        <f t="shared" si="6"/>
        <v>1829632.0397534617</v>
      </c>
      <c r="E69" s="389">
        <f t="shared" si="1"/>
        <v>9529.3335403826131</v>
      </c>
      <c r="F69" s="389">
        <f>($C$14-E69)*(B69&lt;$C$9*12+$B$22)*(B69&gt;INPUTS!$R$20*12+$B$22-1)</f>
        <v>3500.7255938287799</v>
      </c>
      <c r="G69" s="389">
        <f t="shared" si="2"/>
        <v>1826131.3141596329</v>
      </c>
      <c r="H69" s="389">
        <f t="shared" si="3"/>
        <v>471691.03122316743</v>
      </c>
      <c r="I69" s="363"/>
      <c r="J69" s="363"/>
      <c r="K69" s="363"/>
      <c r="L69" s="363"/>
      <c r="M69" s="363"/>
      <c r="N69" s="363"/>
      <c r="O69" s="363"/>
      <c r="P69" s="363"/>
      <c r="Q69" s="363"/>
      <c r="R69" s="363"/>
      <c r="S69" s="363"/>
      <c r="T69" s="363"/>
      <c r="U69" s="363"/>
      <c r="V69" s="363"/>
      <c r="W69" s="363"/>
      <c r="X69" s="363"/>
      <c r="Y69" s="363"/>
      <c r="Z69" s="363"/>
    </row>
    <row r="70" spans="1:26" ht="13.5" customHeight="1" x14ac:dyDescent="0.2">
      <c r="A70" s="386">
        <f t="shared" si="0"/>
        <v>8</v>
      </c>
      <c r="B70" s="387">
        <f t="shared" si="4"/>
        <v>85</v>
      </c>
      <c r="C70" s="398">
        <f t="shared" si="5"/>
        <v>48700</v>
      </c>
      <c r="D70" s="389">
        <f t="shared" si="6"/>
        <v>1826131.3141596329</v>
      </c>
      <c r="E70" s="389">
        <f t="shared" si="1"/>
        <v>9511.1005945814213</v>
      </c>
      <c r="F70" s="389">
        <f>($C$14-E70)*(B70&lt;$C$9*12+$B$22)*(B70&gt;INPUTS!$R$20*12+$B$22-1)</f>
        <v>3518.9585396299717</v>
      </c>
      <c r="G70" s="389">
        <f t="shared" si="2"/>
        <v>1822612.3556200028</v>
      </c>
      <c r="H70" s="389">
        <f t="shared" si="3"/>
        <v>481202.13181774883</v>
      </c>
      <c r="I70" s="363"/>
      <c r="J70" s="363"/>
      <c r="K70" s="363"/>
      <c r="L70" s="363"/>
      <c r="M70" s="363"/>
      <c r="N70" s="363"/>
      <c r="O70" s="363"/>
      <c r="P70" s="363"/>
      <c r="Q70" s="363"/>
      <c r="R70" s="363"/>
      <c r="S70" s="363"/>
      <c r="T70" s="363"/>
      <c r="U70" s="363"/>
      <c r="V70" s="363"/>
      <c r="W70" s="363"/>
      <c r="X70" s="363"/>
      <c r="Y70" s="363"/>
      <c r="Z70" s="363"/>
    </row>
    <row r="71" spans="1:26" ht="13.5" customHeight="1" x14ac:dyDescent="0.2">
      <c r="A71" s="386">
        <f t="shared" si="0"/>
        <v>8</v>
      </c>
      <c r="B71" s="387">
        <f t="shared" si="4"/>
        <v>86</v>
      </c>
      <c r="C71" s="398">
        <f t="shared" si="5"/>
        <v>48731</v>
      </c>
      <c r="D71" s="389">
        <f t="shared" si="6"/>
        <v>1822612.3556200028</v>
      </c>
      <c r="E71" s="389">
        <f t="shared" si="1"/>
        <v>9492.7726855208475</v>
      </c>
      <c r="F71" s="389">
        <f>($C$14-E71)*(B71&lt;$C$9*12+$B$22)*(B71&gt;INPUTS!$R$20*12+$B$22-1)</f>
        <v>3537.2864486905455</v>
      </c>
      <c r="G71" s="389">
        <f t="shared" si="2"/>
        <v>1819075.0691713123</v>
      </c>
      <c r="H71" s="389">
        <f t="shared" si="3"/>
        <v>490694.9045032697</v>
      </c>
      <c r="I71" s="363"/>
      <c r="J71" s="363"/>
      <c r="K71" s="363"/>
      <c r="L71" s="363"/>
      <c r="M71" s="363"/>
      <c r="N71" s="363"/>
      <c r="O71" s="363"/>
      <c r="P71" s="363"/>
      <c r="Q71" s="363"/>
      <c r="R71" s="363"/>
      <c r="S71" s="363"/>
      <c r="T71" s="363"/>
      <c r="U71" s="363"/>
      <c r="V71" s="363"/>
      <c r="W71" s="363"/>
      <c r="X71" s="363"/>
      <c r="Y71" s="363"/>
      <c r="Z71" s="363"/>
    </row>
    <row r="72" spans="1:26" ht="13.5" customHeight="1" x14ac:dyDescent="0.2">
      <c r="A72" s="386">
        <f t="shared" si="0"/>
        <v>8</v>
      </c>
      <c r="B72" s="387">
        <f t="shared" si="4"/>
        <v>87</v>
      </c>
      <c r="C72" s="398">
        <f t="shared" si="5"/>
        <v>48761</v>
      </c>
      <c r="D72" s="389">
        <f t="shared" si="6"/>
        <v>1819075.0691713123</v>
      </c>
      <c r="E72" s="389">
        <f t="shared" si="1"/>
        <v>9474.3493186005853</v>
      </c>
      <c r="F72" s="389">
        <f>($C$14-E72)*(B72&lt;$C$9*12+$B$22)*(B72&gt;INPUTS!$R$20*12+$B$22-1)</f>
        <v>3555.7098156108077</v>
      </c>
      <c r="G72" s="389">
        <f t="shared" si="2"/>
        <v>1815519.3593557014</v>
      </c>
      <c r="H72" s="389">
        <f t="shared" si="3"/>
        <v>500169.25382187031</v>
      </c>
      <c r="I72" s="363"/>
      <c r="J72" s="363"/>
      <c r="K72" s="363"/>
      <c r="L72" s="363"/>
      <c r="M72" s="363"/>
      <c r="N72" s="363"/>
      <c r="O72" s="363"/>
      <c r="P72" s="363"/>
      <c r="Q72" s="363"/>
      <c r="R72" s="363"/>
      <c r="S72" s="363"/>
      <c r="T72" s="363"/>
      <c r="U72" s="363"/>
      <c r="V72" s="363"/>
      <c r="W72" s="363"/>
      <c r="X72" s="363"/>
      <c r="Y72" s="363"/>
      <c r="Z72" s="363"/>
    </row>
    <row r="73" spans="1:26" ht="13.5" customHeight="1" x14ac:dyDescent="0.2">
      <c r="A73" s="386">
        <f t="shared" si="0"/>
        <v>8</v>
      </c>
      <c r="B73" s="387">
        <f t="shared" si="4"/>
        <v>88</v>
      </c>
      <c r="C73" s="398">
        <f t="shared" si="5"/>
        <v>48792</v>
      </c>
      <c r="D73" s="389">
        <f t="shared" si="6"/>
        <v>1815519.3593557014</v>
      </c>
      <c r="E73" s="389">
        <f t="shared" si="1"/>
        <v>9455.8299966442773</v>
      </c>
      <c r="F73" s="389">
        <f>($C$14-E73)*(B73&lt;$C$9*12+$B$22)*(B73&gt;INPUTS!$R$20*12+$B$22-1)</f>
        <v>3574.2291375671157</v>
      </c>
      <c r="G73" s="389">
        <f t="shared" si="2"/>
        <v>1811945.1302181343</v>
      </c>
      <c r="H73" s="389">
        <f t="shared" si="3"/>
        <v>509625.0838185146</v>
      </c>
      <c r="I73" s="363"/>
      <c r="J73" s="363"/>
      <c r="K73" s="363"/>
      <c r="L73" s="363"/>
      <c r="M73" s="363"/>
      <c r="N73" s="363"/>
      <c r="O73" s="363"/>
      <c r="P73" s="363"/>
      <c r="Q73" s="363"/>
      <c r="R73" s="363"/>
      <c r="S73" s="363"/>
      <c r="T73" s="363"/>
      <c r="U73" s="363"/>
      <c r="V73" s="363"/>
      <c r="W73" s="363"/>
      <c r="X73" s="363"/>
      <c r="Y73" s="363"/>
      <c r="Z73" s="363"/>
    </row>
    <row r="74" spans="1:26" ht="13.5" customHeight="1" x14ac:dyDescent="0.2">
      <c r="A74" s="386">
        <f t="shared" si="0"/>
        <v>8</v>
      </c>
      <c r="B74" s="387">
        <f t="shared" si="4"/>
        <v>89</v>
      </c>
      <c r="C74" s="398">
        <f t="shared" si="5"/>
        <v>48823</v>
      </c>
      <c r="D74" s="389">
        <f t="shared" si="6"/>
        <v>1811945.1302181343</v>
      </c>
      <c r="E74" s="389">
        <f t="shared" si="1"/>
        <v>9437.2142198861166</v>
      </c>
      <c r="F74" s="389">
        <f>($C$14-E74)*(B74&lt;$C$9*12+$B$22)*(B74&gt;INPUTS!$R$20*12+$B$22-1)</f>
        <v>3592.8449143252765</v>
      </c>
      <c r="G74" s="389">
        <f t="shared" si="2"/>
        <v>1808352.285303809</v>
      </c>
      <c r="H74" s="389">
        <f t="shared" si="3"/>
        <v>519062.29803840071</v>
      </c>
      <c r="I74" s="363"/>
      <c r="J74" s="363"/>
      <c r="K74" s="363"/>
      <c r="L74" s="363"/>
      <c r="M74" s="363"/>
      <c r="N74" s="363"/>
      <c r="O74" s="363"/>
      <c r="P74" s="363"/>
      <c r="Q74" s="363"/>
      <c r="R74" s="363"/>
      <c r="S74" s="363"/>
      <c r="T74" s="363"/>
      <c r="U74" s="363"/>
      <c r="V74" s="363"/>
      <c r="W74" s="363"/>
      <c r="X74" s="363"/>
      <c r="Y74" s="363"/>
      <c r="Z74" s="363"/>
    </row>
    <row r="75" spans="1:26" ht="13.5" customHeight="1" x14ac:dyDescent="0.2">
      <c r="A75" s="386">
        <f t="shared" si="0"/>
        <v>8</v>
      </c>
      <c r="B75" s="387">
        <f t="shared" si="4"/>
        <v>90</v>
      </c>
      <c r="C75" s="398">
        <f t="shared" si="5"/>
        <v>48853</v>
      </c>
      <c r="D75" s="389">
        <f t="shared" si="6"/>
        <v>1808352.285303809</v>
      </c>
      <c r="E75" s="389">
        <f t="shared" si="1"/>
        <v>9418.5014859573384</v>
      </c>
      <c r="F75" s="389">
        <f>($C$14-E75)*(B75&lt;$C$9*12+$B$22)*(B75&gt;INPUTS!$R$20*12+$B$22-1)</f>
        <v>3611.5576482540546</v>
      </c>
      <c r="G75" s="389">
        <f t="shared" si="2"/>
        <v>1804740.7276555549</v>
      </c>
      <c r="H75" s="389">
        <f t="shared" si="3"/>
        <v>528480.79952435801</v>
      </c>
      <c r="I75" s="363"/>
      <c r="J75" s="363"/>
      <c r="K75" s="363"/>
      <c r="L75" s="363"/>
      <c r="M75" s="363"/>
      <c r="N75" s="363"/>
      <c r="O75" s="363"/>
      <c r="P75" s="363"/>
      <c r="Q75" s="363"/>
      <c r="R75" s="363"/>
      <c r="S75" s="363"/>
      <c r="T75" s="363"/>
      <c r="U75" s="363"/>
      <c r="V75" s="363"/>
      <c r="W75" s="363"/>
      <c r="X75" s="363"/>
      <c r="Y75" s="363"/>
      <c r="Z75" s="363"/>
    </row>
    <row r="76" spans="1:26" ht="13.5" customHeight="1" x14ac:dyDescent="0.2">
      <c r="A76" s="386">
        <f t="shared" si="0"/>
        <v>8</v>
      </c>
      <c r="B76" s="387">
        <f t="shared" si="4"/>
        <v>91</v>
      </c>
      <c r="C76" s="398">
        <f t="shared" si="5"/>
        <v>48884</v>
      </c>
      <c r="D76" s="389">
        <f t="shared" si="6"/>
        <v>1804740.7276555549</v>
      </c>
      <c r="E76" s="389">
        <f t="shared" si="1"/>
        <v>9399.6912898726823</v>
      </c>
      <c r="F76" s="389">
        <f>($C$14-E76)*(B76&lt;$C$9*12+$B$22)*(B76&gt;INPUTS!$R$20*12+$B$22-1)</f>
        <v>3630.3678443387107</v>
      </c>
      <c r="G76" s="389">
        <f t="shared" si="2"/>
        <v>1801110.3598112161</v>
      </c>
      <c r="H76" s="389">
        <f t="shared" si="3"/>
        <v>537880.49081423064</v>
      </c>
      <c r="I76" s="363"/>
      <c r="J76" s="363"/>
      <c r="K76" s="363"/>
      <c r="L76" s="363"/>
      <c r="M76" s="363"/>
      <c r="N76" s="363"/>
      <c r="O76" s="363"/>
      <c r="P76" s="363"/>
      <c r="Q76" s="363"/>
      <c r="R76" s="363"/>
      <c r="S76" s="363"/>
      <c r="T76" s="363"/>
      <c r="U76" s="363"/>
      <c r="V76" s="363"/>
      <c r="W76" s="363"/>
      <c r="X76" s="363"/>
      <c r="Y76" s="363"/>
      <c r="Z76" s="363"/>
    </row>
    <row r="77" spans="1:26" ht="13.5" customHeight="1" x14ac:dyDescent="0.2">
      <c r="A77" s="386">
        <f t="shared" si="0"/>
        <v>8</v>
      </c>
      <c r="B77" s="387">
        <f t="shared" si="4"/>
        <v>92</v>
      </c>
      <c r="C77" s="398">
        <f t="shared" si="5"/>
        <v>48914</v>
      </c>
      <c r="D77" s="389">
        <f t="shared" si="6"/>
        <v>1801110.3598112161</v>
      </c>
      <c r="E77" s="389">
        <f t="shared" si="1"/>
        <v>9380.7831240167507</v>
      </c>
      <c r="F77" s="389">
        <f>($C$14-E77)*(B77&lt;$C$9*12+$B$22)*(B77&gt;INPUTS!$R$20*12+$B$22-1)</f>
        <v>3649.2760101946424</v>
      </c>
      <c r="G77" s="389">
        <f t="shared" si="2"/>
        <v>1797461.0838010216</v>
      </c>
      <c r="H77" s="389">
        <f t="shared" si="3"/>
        <v>547261.27393824735</v>
      </c>
      <c r="I77" s="363"/>
      <c r="J77" s="363"/>
      <c r="K77" s="363"/>
      <c r="L77" s="363"/>
      <c r="M77" s="363"/>
      <c r="N77" s="363"/>
      <c r="O77" s="363"/>
      <c r="P77" s="363"/>
      <c r="Q77" s="363"/>
      <c r="R77" s="363"/>
      <c r="S77" s="363"/>
      <c r="T77" s="363"/>
      <c r="U77" s="363"/>
      <c r="V77" s="363"/>
      <c r="W77" s="363"/>
      <c r="X77" s="363"/>
      <c r="Y77" s="363"/>
      <c r="Z77" s="363"/>
    </row>
    <row r="78" spans="1:26" ht="13.5" customHeight="1" x14ac:dyDescent="0.2">
      <c r="A78" s="386">
        <f t="shared" si="0"/>
        <v>8</v>
      </c>
      <c r="B78" s="387">
        <f t="shared" si="4"/>
        <v>93</v>
      </c>
      <c r="C78" s="398">
        <f t="shared" si="5"/>
        <v>48945</v>
      </c>
      <c r="D78" s="389">
        <f t="shared" si="6"/>
        <v>1797461.0838010216</v>
      </c>
      <c r="E78" s="389">
        <f t="shared" si="1"/>
        <v>9361.7764781303213</v>
      </c>
      <c r="F78" s="389">
        <f>($C$14-E78)*(B78&lt;$C$9*12+$B$22)*(B78&gt;INPUTS!$R$20*12+$B$22-1)</f>
        <v>3668.2826560810718</v>
      </c>
      <c r="G78" s="389">
        <f t="shared" si="2"/>
        <v>1793792.8011449405</v>
      </c>
      <c r="H78" s="389">
        <f t="shared" si="3"/>
        <v>556623.05041637772</v>
      </c>
      <c r="I78" s="363"/>
      <c r="J78" s="363"/>
      <c r="K78" s="363"/>
      <c r="L78" s="363"/>
      <c r="M78" s="363"/>
      <c r="N78" s="363"/>
      <c r="O78" s="363"/>
      <c r="P78" s="363"/>
      <c r="Q78" s="363"/>
      <c r="R78" s="363"/>
      <c r="S78" s="363"/>
      <c r="T78" s="363"/>
      <c r="U78" s="363"/>
      <c r="V78" s="363"/>
      <c r="W78" s="363"/>
      <c r="X78" s="363"/>
      <c r="Y78" s="363"/>
      <c r="Z78" s="363"/>
    </row>
    <row r="79" spans="1:26" ht="13.5" customHeight="1" x14ac:dyDescent="0.2">
      <c r="A79" s="386">
        <f t="shared" si="0"/>
        <v>8</v>
      </c>
      <c r="B79" s="387">
        <f t="shared" si="4"/>
        <v>94</v>
      </c>
      <c r="C79" s="398">
        <f t="shared" si="5"/>
        <v>48976</v>
      </c>
      <c r="D79" s="389">
        <f t="shared" si="6"/>
        <v>1793792.8011449405</v>
      </c>
      <c r="E79" s="389">
        <f t="shared" si="1"/>
        <v>9342.6708392965647</v>
      </c>
      <c r="F79" s="389">
        <f>($C$14-E79)*(B79&lt;$C$9*12+$B$22)*(B79&gt;INPUTS!$R$20*12+$B$22-1)</f>
        <v>3687.3882949148283</v>
      </c>
      <c r="G79" s="389">
        <f t="shared" si="2"/>
        <v>1790105.4128500258</v>
      </c>
      <c r="H79" s="389">
        <f t="shared" si="3"/>
        <v>565965.72125567426</v>
      </c>
      <c r="I79" s="363"/>
      <c r="J79" s="363"/>
      <c r="K79" s="363"/>
      <c r="L79" s="363"/>
      <c r="M79" s="363"/>
      <c r="N79" s="363"/>
      <c r="O79" s="363"/>
      <c r="P79" s="363"/>
      <c r="Q79" s="363"/>
      <c r="R79" s="363"/>
      <c r="S79" s="363"/>
      <c r="T79" s="363"/>
      <c r="U79" s="363"/>
      <c r="V79" s="363"/>
      <c r="W79" s="363"/>
      <c r="X79" s="363"/>
      <c r="Y79" s="363"/>
      <c r="Z79" s="363"/>
    </row>
    <row r="80" spans="1:26" ht="13.5" customHeight="1" x14ac:dyDescent="0.2">
      <c r="A80" s="386">
        <f t="shared" si="0"/>
        <v>8</v>
      </c>
      <c r="B80" s="387">
        <f t="shared" si="4"/>
        <v>95</v>
      </c>
      <c r="C80" s="398">
        <f t="shared" si="5"/>
        <v>49004</v>
      </c>
      <c r="D80" s="389">
        <f t="shared" si="6"/>
        <v>1790105.4128500258</v>
      </c>
      <c r="E80" s="389">
        <f t="shared" si="1"/>
        <v>9323.4656919272184</v>
      </c>
      <c r="F80" s="389">
        <f>($C$14-E80)*(B80&lt;$C$9*12+$B$22)*(B80&gt;INPUTS!$R$20*12+$B$22-1)</f>
        <v>3706.5934422841747</v>
      </c>
      <c r="G80" s="389">
        <f t="shared" si="2"/>
        <v>1786398.8194077415</v>
      </c>
      <c r="H80" s="389">
        <f t="shared" si="3"/>
        <v>575289.1869476015</v>
      </c>
      <c r="I80" s="363"/>
      <c r="J80" s="363"/>
      <c r="K80" s="363"/>
      <c r="L80" s="363"/>
      <c r="M80" s="363"/>
      <c r="N80" s="363"/>
      <c r="O80" s="363"/>
      <c r="P80" s="363"/>
      <c r="Q80" s="363"/>
      <c r="R80" s="363"/>
      <c r="S80" s="363"/>
      <c r="T80" s="363"/>
      <c r="U80" s="363"/>
      <c r="V80" s="363"/>
      <c r="W80" s="363"/>
      <c r="X80" s="363"/>
      <c r="Y80" s="363"/>
      <c r="Z80" s="363"/>
    </row>
    <row r="81" spans="1:26" ht="13.5" customHeight="1" x14ac:dyDescent="0.2">
      <c r="A81" s="386">
        <f t="shared" si="0"/>
        <v>8</v>
      </c>
      <c r="B81" s="387">
        <f t="shared" si="4"/>
        <v>96</v>
      </c>
      <c r="C81" s="398">
        <f t="shared" si="5"/>
        <v>49035</v>
      </c>
      <c r="D81" s="389">
        <f t="shared" si="6"/>
        <v>1786398.8194077415</v>
      </c>
      <c r="E81" s="389">
        <f t="shared" si="1"/>
        <v>9304.1605177486545</v>
      </c>
      <c r="F81" s="389">
        <f>($C$14-E81)*(B81&lt;$C$9*12+$B$22)*(B81&gt;INPUTS!$R$20*12+$B$22-1)</f>
        <v>3725.8986164627386</v>
      </c>
      <c r="G81" s="389">
        <f t="shared" si="2"/>
        <v>1782672.9207912788</v>
      </c>
      <c r="H81" s="389">
        <f t="shared" si="3"/>
        <v>584593.34746535018</v>
      </c>
      <c r="I81" s="363"/>
      <c r="J81" s="363"/>
      <c r="K81" s="363"/>
      <c r="L81" s="363"/>
      <c r="M81" s="363"/>
      <c r="N81" s="363"/>
      <c r="O81" s="363"/>
      <c r="P81" s="363"/>
      <c r="Q81" s="363"/>
      <c r="R81" s="363"/>
      <c r="S81" s="363"/>
      <c r="T81" s="363"/>
      <c r="U81" s="363"/>
      <c r="V81" s="363"/>
      <c r="W81" s="363"/>
      <c r="X81" s="363"/>
      <c r="Y81" s="363"/>
      <c r="Z81" s="363"/>
    </row>
    <row r="82" spans="1:26" ht="13.5" customHeight="1" x14ac:dyDescent="0.2">
      <c r="A82" s="386">
        <f t="shared" si="0"/>
        <v>9</v>
      </c>
      <c r="B82" s="387">
        <f t="shared" si="4"/>
        <v>97</v>
      </c>
      <c r="C82" s="398">
        <f t="shared" si="5"/>
        <v>49065</v>
      </c>
      <c r="D82" s="389">
        <f t="shared" si="6"/>
        <v>1782672.9207912788</v>
      </c>
      <c r="E82" s="389">
        <f t="shared" si="1"/>
        <v>9284.7547957879106</v>
      </c>
      <c r="F82" s="389">
        <f>($C$14-E82)*(B82&lt;$C$9*12+$B$22)*(B82&gt;INPUTS!$R$20*12+$B$22-1)</f>
        <v>3745.3043384234825</v>
      </c>
      <c r="G82" s="389">
        <f t="shared" si="2"/>
        <v>1778927.6164528553</v>
      </c>
      <c r="H82" s="389">
        <f t="shared" si="3"/>
        <v>593878.10226113803</v>
      </c>
      <c r="I82" s="363"/>
      <c r="J82" s="363"/>
      <c r="K82" s="363"/>
      <c r="L82" s="363"/>
      <c r="M82" s="363"/>
      <c r="N82" s="363"/>
      <c r="O82" s="363"/>
      <c r="P82" s="363"/>
      <c r="Q82" s="363"/>
      <c r="R82" s="363"/>
      <c r="S82" s="363"/>
      <c r="T82" s="363"/>
      <c r="U82" s="363"/>
      <c r="V82" s="363"/>
      <c r="W82" s="363"/>
      <c r="X82" s="363"/>
      <c r="Y82" s="363"/>
      <c r="Z82" s="363"/>
    </row>
    <row r="83" spans="1:26" ht="13.5" customHeight="1" x14ac:dyDescent="0.2">
      <c r="A83" s="386">
        <f t="shared" si="0"/>
        <v>9</v>
      </c>
      <c r="B83" s="387">
        <f t="shared" si="4"/>
        <v>98</v>
      </c>
      <c r="C83" s="398">
        <f t="shared" si="5"/>
        <v>49096</v>
      </c>
      <c r="D83" s="389">
        <f t="shared" si="6"/>
        <v>1778927.6164528553</v>
      </c>
      <c r="E83" s="389">
        <f t="shared" si="1"/>
        <v>9265.2480023586213</v>
      </c>
      <c r="F83" s="389">
        <f>($C$14-E83)*(B83&lt;$C$9*12+$B$22)*(B83&gt;INPUTS!$R$20*12+$B$22-1)</f>
        <v>3764.8111318527717</v>
      </c>
      <c r="G83" s="389">
        <f t="shared" si="2"/>
        <v>1775162.8053210026</v>
      </c>
      <c r="H83" s="389">
        <f t="shared" si="3"/>
        <v>603143.35026349663</v>
      </c>
      <c r="I83" s="363"/>
      <c r="J83" s="363"/>
      <c r="K83" s="363"/>
      <c r="L83" s="363"/>
      <c r="M83" s="363"/>
      <c r="N83" s="363"/>
      <c r="O83" s="363"/>
      <c r="P83" s="363"/>
      <c r="Q83" s="363"/>
      <c r="R83" s="363"/>
      <c r="S83" s="363"/>
      <c r="T83" s="363"/>
      <c r="U83" s="363"/>
      <c r="V83" s="363"/>
      <c r="W83" s="363"/>
      <c r="X83" s="363"/>
      <c r="Y83" s="363"/>
      <c r="Z83" s="363"/>
    </row>
    <row r="84" spans="1:26" ht="13.5" customHeight="1" x14ac:dyDescent="0.2">
      <c r="A84" s="386">
        <f t="shared" si="0"/>
        <v>9</v>
      </c>
      <c r="B84" s="387">
        <f t="shared" si="4"/>
        <v>99</v>
      </c>
      <c r="C84" s="398">
        <f t="shared" si="5"/>
        <v>49126</v>
      </c>
      <c r="D84" s="389">
        <f t="shared" si="6"/>
        <v>1775162.8053210026</v>
      </c>
      <c r="E84" s="389">
        <f t="shared" si="1"/>
        <v>9245.6396110468886</v>
      </c>
      <c r="F84" s="389">
        <f>($C$14-E84)*(B84&lt;$C$9*12+$B$22)*(B84&gt;INPUTS!$R$20*12+$B$22-1)</f>
        <v>3784.4195231645044</v>
      </c>
      <c r="G84" s="389">
        <f t="shared" si="2"/>
        <v>1771378.3857978382</v>
      </c>
      <c r="H84" s="389">
        <f t="shared" si="3"/>
        <v>612388.98987454351</v>
      </c>
      <c r="I84" s="363"/>
      <c r="J84" s="363"/>
      <c r="K84" s="363"/>
      <c r="L84" s="363"/>
      <c r="M84" s="363"/>
      <c r="N84" s="363"/>
      <c r="O84" s="363"/>
      <c r="P84" s="363"/>
      <c r="Q84" s="363"/>
      <c r="R84" s="363"/>
      <c r="S84" s="363"/>
      <c r="T84" s="363"/>
      <c r="U84" s="363"/>
      <c r="V84" s="363"/>
      <c r="W84" s="363"/>
      <c r="X84" s="363"/>
      <c r="Y84" s="363"/>
      <c r="Z84" s="363"/>
    </row>
    <row r="85" spans="1:26" ht="13.5" customHeight="1" x14ac:dyDescent="0.2">
      <c r="A85" s="386">
        <f t="shared" si="0"/>
        <v>9</v>
      </c>
      <c r="B85" s="387">
        <f t="shared" si="4"/>
        <v>100</v>
      </c>
      <c r="C85" s="398">
        <f t="shared" si="5"/>
        <v>49157</v>
      </c>
      <c r="D85" s="389">
        <f t="shared" si="6"/>
        <v>1771378.3857978382</v>
      </c>
      <c r="E85" s="389">
        <f t="shared" si="1"/>
        <v>9225.9290926970734</v>
      </c>
      <c r="F85" s="389">
        <f>($C$14-E85)*(B85&lt;$C$9*12+$B$22)*(B85&gt;INPUTS!$R$20*12+$B$22-1)</f>
        <v>3804.1300415143196</v>
      </c>
      <c r="G85" s="389">
        <f t="shared" si="2"/>
        <v>1767574.2557563239</v>
      </c>
      <c r="H85" s="389">
        <f t="shared" si="3"/>
        <v>621614.91896724061</v>
      </c>
      <c r="I85" s="363"/>
      <c r="J85" s="363"/>
      <c r="K85" s="363"/>
      <c r="L85" s="363"/>
      <c r="M85" s="363"/>
      <c r="N85" s="363"/>
      <c r="O85" s="363"/>
      <c r="P85" s="363"/>
      <c r="Q85" s="363"/>
      <c r="R85" s="363"/>
      <c r="S85" s="363"/>
      <c r="T85" s="363"/>
      <c r="U85" s="363"/>
      <c r="V85" s="363"/>
      <c r="W85" s="363"/>
      <c r="X85" s="363"/>
      <c r="Y85" s="363"/>
      <c r="Z85" s="363"/>
    </row>
    <row r="86" spans="1:26" ht="13.5" customHeight="1" x14ac:dyDescent="0.2">
      <c r="A86" s="386">
        <f t="shared" si="0"/>
        <v>9</v>
      </c>
      <c r="B86" s="387">
        <f t="shared" si="4"/>
        <v>101</v>
      </c>
      <c r="C86" s="398">
        <f t="shared" si="5"/>
        <v>49188</v>
      </c>
      <c r="D86" s="389">
        <f t="shared" si="6"/>
        <v>1767574.2557563239</v>
      </c>
      <c r="E86" s="389">
        <f t="shared" si="1"/>
        <v>9206.1159153975204</v>
      </c>
      <c r="F86" s="389">
        <f>($C$14-E86)*(B86&lt;$C$9*12+$B$22)*(B86&gt;INPUTS!$R$20*12+$B$22-1)</f>
        <v>3823.9432188138726</v>
      </c>
      <c r="G86" s="389">
        <f t="shared" si="2"/>
        <v>1763750.3125375099</v>
      </c>
      <c r="H86" s="389">
        <f t="shared" si="3"/>
        <v>630821.03488263814</v>
      </c>
      <c r="I86" s="363"/>
      <c r="J86" s="363"/>
      <c r="K86" s="363"/>
      <c r="L86" s="363"/>
      <c r="M86" s="363"/>
      <c r="N86" s="363"/>
      <c r="O86" s="363"/>
      <c r="P86" s="363"/>
      <c r="Q86" s="363"/>
      <c r="R86" s="363"/>
      <c r="S86" s="363"/>
      <c r="T86" s="363"/>
      <c r="U86" s="363"/>
      <c r="V86" s="363"/>
      <c r="W86" s="363"/>
      <c r="X86" s="363"/>
      <c r="Y86" s="363"/>
      <c r="Z86" s="363"/>
    </row>
    <row r="87" spans="1:26" ht="13.5" customHeight="1" x14ac:dyDescent="0.2">
      <c r="A87" s="386">
        <f t="shared" si="0"/>
        <v>9</v>
      </c>
      <c r="B87" s="387">
        <f t="shared" si="4"/>
        <v>102</v>
      </c>
      <c r="C87" s="398">
        <f t="shared" si="5"/>
        <v>49218</v>
      </c>
      <c r="D87" s="389">
        <f t="shared" si="6"/>
        <v>1763750.3125375099</v>
      </c>
      <c r="E87" s="389">
        <f t="shared" si="1"/>
        <v>9186.199544466197</v>
      </c>
      <c r="F87" s="389">
        <f>($C$14-E87)*(B87&lt;$C$9*12+$B$22)*(B87&gt;INPUTS!$R$20*12+$B$22-1)</f>
        <v>3843.859589745196</v>
      </c>
      <c r="G87" s="389">
        <f t="shared" si="2"/>
        <v>1759906.4529477647</v>
      </c>
      <c r="H87" s="389">
        <f t="shared" si="3"/>
        <v>640007.23442710435</v>
      </c>
      <c r="I87" s="363"/>
      <c r="J87" s="363"/>
      <c r="K87" s="363"/>
      <c r="L87" s="363"/>
      <c r="M87" s="363"/>
      <c r="N87" s="363"/>
      <c r="O87" s="363"/>
      <c r="P87" s="363"/>
      <c r="Q87" s="363"/>
      <c r="R87" s="363"/>
      <c r="S87" s="363"/>
      <c r="T87" s="363"/>
      <c r="U87" s="363"/>
      <c r="V87" s="363"/>
      <c r="W87" s="363"/>
      <c r="X87" s="363"/>
      <c r="Y87" s="363"/>
      <c r="Z87" s="363"/>
    </row>
    <row r="88" spans="1:26" ht="13.5" customHeight="1" x14ac:dyDescent="0.2">
      <c r="A88" s="386">
        <f t="shared" si="0"/>
        <v>9</v>
      </c>
      <c r="B88" s="387">
        <f t="shared" si="4"/>
        <v>103</v>
      </c>
      <c r="C88" s="398">
        <f t="shared" si="5"/>
        <v>49249</v>
      </c>
      <c r="D88" s="389">
        <f t="shared" si="6"/>
        <v>1759906.4529477647</v>
      </c>
      <c r="E88" s="389">
        <f t="shared" si="1"/>
        <v>9166.1794424362743</v>
      </c>
      <c r="F88" s="389">
        <f>($C$14-E88)*(B88&lt;$C$9*12+$B$22)*(B88&gt;INPUTS!$R$20*12+$B$22-1)</f>
        <v>3863.8796917751188</v>
      </c>
      <c r="G88" s="389">
        <f t="shared" si="2"/>
        <v>1756042.5732559895</v>
      </c>
      <c r="H88" s="389">
        <f t="shared" si="3"/>
        <v>649173.41386954067</v>
      </c>
      <c r="I88" s="363"/>
      <c r="J88" s="363"/>
      <c r="K88" s="363"/>
      <c r="L88" s="363"/>
      <c r="M88" s="363"/>
      <c r="N88" s="363"/>
      <c r="O88" s="363"/>
      <c r="P88" s="363"/>
      <c r="Q88" s="363"/>
      <c r="R88" s="363"/>
      <c r="S88" s="363"/>
      <c r="T88" s="363"/>
      <c r="U88" s="363"/>
      <c r="V88" s="363"/>
      <c r="W88" s="363"/>
      <c r="X88" s="363"/>
      <c r="Y88" s="363"/>
      <c r="Z88" s="363"/>
    </row>
    <row r="89" spans="1:26" ht="13.5" customHeight="1" x14ac:dyDescent="0.2">
      <c r="A89" s="386">
        <f t="shared" si="0"/>
        <v>9</v>
      </c>
      <c r="B89" s="387">
        <f t="shared" si="4"/>
        <v>104</v>
      </c>
      <c r="C89" s="398">
        <f t="shared" si="5"/>
        <v>49279</v>
      </c>
      <c r="D89" s="389">
        <f t="shared" si="6"/>
        <v>1756042.5732559895</v>
      </c>
      <c r="E89" s="389">
        <f t="shared" si="1"/>
        <v>9146.0550690416112</v>
      </c>
      <c r="F89" s="389">
        <f>($C$14-E89)*(B89&lt;$C$9*12+$B$22)*(B89&gt;INPUTS!$R$20*12+$B$22-1)</f>
        <v>3884.0040651697818</v>
      </c>
      <c r="G89" s="389">
        <f t="shared" si="2"/>
        <v>1752158.5691908197</v>
      </c>
      <c r="H89" s="389">
        <f t="shared" si="3"/>
        <v>658319.46893858223</v>
      </c>
      <c r="I89" s="363"/>
      <c r="J89" s="363"/>
      <c r="K89" s="363"/>
      <c r="L89" s="363"/>
      <c r="M89" s="363"/>
      <c r="N89" s="363"/>
      <c r="O89" s="363"/>
      <c r="P89" s="363"/>
      <c r="Q89" s="363"/>
      <c r="R89" s="363"/>
      <c r="S89" s="363"/>
      <c r="T89" s="363"/>
      <c r="U89" s="363"/>
      <c r="V89" s="363"/>
      <c r="W89" s="363"/>
      <c r="X89" s="363"/>
      <c r="Y89" s="363"/>
      <c r="Z89" s="363"/>
    </row>
    <row r="90" spans="1:26" ht="13.5" customHeight="1" x14ac:dyDescent="0.2">
      <c r="A90" s="386">
        <f t="shared" si="0"/>
        <v>9</v>
      </c>
      <c r="B90" s="387">
        <f t="shared" si="4"/>
        <v>105</v>
      </c>
      <c r="C90" s="398">
        <f t="shared" si="5"/>
        <v>49310</v>
      </c>
      <c r="D90" s="389">
        <f t="shared" si="6"/>
        <v>1752158.5691908197</v>
      </c>
      <c r="E90" s="389">
        <f t="shared" si="1"/>
        <v>9125.8258812021868</v>
      </c>
      <c r="F90" s="389">
        <f>($C$14-E90)*(B90&lt;$C$9*12+$B$22)*(B90&gt;INPUTS!$R$20*12+$B$22-1)</f>
        <v>3904.2332530092062</v>
      </c>
      <c r="G90" s="389">
        <f t="shared" si="2"/>
        <v>1748254.3359378106</v>
      </c>
      <c r="H90" s="389">
        <f t="shared" si="3"/>
        <v>667445.29481978447</v>
      </c>
      <c r="I90" s="363"/>
      <c r="J90" s="363"/>
      <c r="K90" s="363"/>
      <c r="L90" s="363"/>
      <c r="M90" s="363"/>
      <c r="N90" s="363"/>
      <c r="O90" s="363"/>
      <c r="P90" s="363"/>
      <c r="Q90" s="363"/>
      <c r="R90" s="363"/>
      <c r="S90" s="363"/>
      <c r="T90" s="363"/>
      <c r="U90" s="363"/>
      <c r="V90" s="363"/>
      <c r="W90" s="363"/>
      <c r="X90" s="363"/>
      <c r="Y90" s="363"/>
      <c r="Z90" s="363"/>
    </row>
    <row r="91" spans="1:26" ht="13.5" customHeight="1" x14ac:dyDescent="0.2">
      <c r="A91" s="386">
        <f t="shared" si="0"/>
        <v>9</v>
      </c>
      <c r="B91" s="387">
        <f t="shared" si="4"/>
        <v>106</v>
      </c>
      <c r="C91" s="398">
        <f t="shared" si="5"/>
        <v>49341</v>
      </c>
      <c r="D91" s="389">
        <f t="shared" si="6"/>
        <v>1748254.3359378106</v>
      </c>
      <c r="E91" s="389">
        <f t="shared" si="1"/>
        <v>9105.4913330094296</v>
      </c>
      <c r="F91" s="389">
        <f>($C$14-E91)*(B91&lt;$C$9*12+$B$22)*(B91&gt;INPUTS!$R$20*12+$B$22-1)</f>
        <v>3924.5678012019634</v>
      </c>
      <c r="G91" s="389">
        <f t="shared" si="2"/>
        <v>1744329.7681366086</v>
      </c>
      <c r="H91" s="389">
        <f t="shared" si="3"/>
        <v>676550.78615279391</v>
      </c>
      <c r="I91" s="363"/>
      <c r="J91" s="363"/>
      <c r="K91" s="363"/>
      <c r="L91" s="363"/>
      <c r="M91" s="363"/>
      <c r="N91" s="363"/>
      <c r="O91" s="363"/>
      <c r="P91" s="363"/>
      <c r="Q91" s="363"/>
      <c r="R91" s="363"/>
      <c r="S91" s="363"/>
      <c r="T91" s="363"/>
      <c r="U91" s="363"/>
      <c r="V91" s="363"/>
      <c r="W91" s="363"/>
      <c r="X91" s="363"/>
      <c r="Y91" s="363"/>
      <c r="Z91" s="363"/>
    </row>
    <row r="92" spans="1:26" ht="13.5" customHeight="1" x14ac:dyDescent="0.2">
      <c r="A92" s="386">
        <f t="shared" si="0"/>
        <v>9</v>
      </c>
      <c r="B92" s="387">
        <f t="shared" si="4"/>
        <v>107</v>
      </c>
      <c r="C92" s="398">
        <f t="shared" si="5"/>
        <v>49369</v>
      </c>
      <c r="D92" s="389">
        <f t="shared" si="6"/>
        <v>1744329.7681366086</v>
      </c>
      <c r="E92" s="389">
        <f t="shared" si="1"/>
        <v>9085.050875711504</v>
      </c>
      <c r="F92" s="389">
        <f>($C$14-E92)*(B92&lt;$C$9*12+$B$22)*(B92&gt;INPUTS!$R$20*12+$B$22-1)</f>
        <v>3945.0082584998891</v>
      </c>
      <c r="G92" s="389">
        <f t="shared" si="2"/>
        <v>1740384.7598781087</v>
      </c>
      <c r="H92" s="389">
        <f t="shared" si="3"/>
        <v>685635.8370285054</v>
      </c>
      <c r="I92" s="363"/>
      <c r="J92" s="363"/>
      <c r="K92" s="363"/>
      <c r="L92" s="363"/>
      <c r="M92" s="363"/>
      <c r="N92" s="363"/>
      <c r="O92" s="363"/>
      <c r="P92" s="363"/>
      <c r="Q92" s="363"/>
      <c r="R92" s="363"/>
      <c r="S92" s="363"/>
      <c r="T92" s="363"/>
      <c r="U92" s="363"/>
      <c r="V92" s="363"/>
      <c r="W92" s="363"/>
      <c r="X92" s="363"/>
      <c r="Y92" s="363"/>
      <c r="Z92" s="363"/>
    </row>
    <row r="93" spans="1:26" ht="13.5" customHeight="1" x14ac:dyDescent="0.2">
      <c r="A93" s="386">
        <f t="shared" si="0"/>
        <v>9</v>
      </c>
      <c r="B93" s="387">
        <f t="shared" si="4"/>
        <v>108</v>
      </c>
      <c r="C93" s="398">
        <f t="shared" si="5"/>
        <v>49400</v>
      </c>
      <c r="D93" s="389">
        <f t="shared" si="6"/>
        <v>1740384.7598781087</v>
      </c>
      <c r="E93" s="389">
        <f t="shared" si="1"/>
        <v>9064.5039576984836</v>
      </c>
      <c r="F93" s="389">
        <f>($C$14-E93)*(B93&lt;$C$9*12+$B$22)*(B93&gt;INPUTS!$R$20*12+$B$22-1)</f>
        <v>3965.5551765129094</v>
      </c>
      <c r="G93" s="389">
        <f t="shared" si="2"/>
        <v>1736419.2047015959</v>
      </c>
      <c r="H93" s="389">
        <f t="shared" si="3"/>
        <v>694700.34098620387</v>
      </c>
      <c r="I93" s="363"/>
      <c r="J93" s="363"/>
      <c r="K93" s="363"/>
      <c r="L93" s="363"/>
      <c r="M93" s="363"/>
      <c r="N93" s="363"/>
      <c r="O93" s="363"/>
      <c r="P93" s="363"/>
      <c r="Q93" s="363"/>
      <c r="R93" s="363"/>
      <c r="S93" s="363"/>
      <c r="T93" s="363"/>
      <c r="U93" s="363"/>
      <c r="V93" s="363"/>
      <c r="W93" s="363"/>
      <c r="X93" s="363"/>
      <c r="Y93" s="363"/>
      <c r="Z93" s="363"/>
    </row>
    <row r="94" spans="1:26" ht="13.5" customHeight="1" x14ac:dyDescent="0.2">
      <c r="A94" s="386">
        <f t="shared" si="0"/>
        <v>10</v>
      </c>
      <c r="B94" s="387">
        <f t="shared" si="4"/>
        <v>109</v>
      </c>
      <c r="C94" s="398">
        <f t="shared" si="5"/>
        <v>49430</v>
      </c>
      <c r="D94" s="389">
        <f t="shared" si="6"/>
        <v>1736419.2047015959</v>
      </c>
      <c r="E94" s="389">
        <f t="shared" si="1"/>
        <v>9043.8500244874795</v>
      </c>
      <c r="F94" s="389">
        <f>($C$14-E94)*(B94&lt;$C$9*12+$B$22)*(B94&gt;INPUTS!$R$20*12+$B$22-1)</f>
        <v>3986.2091097239136</v>
      </c>
      <c r="G94" s="389">
        <f t="shared" si="2"/>
        <v>1732432.9955918721</v>
      </c>
      <c r="H94" s="389">
        <f t="shared" si="3"/>
        <v>703744.19101069134</v>
      </c>
      <c r="I94" s="363"/>
      <c r="J94" s="363"/>
      <c r="K94" s="363"/>
      <c r="L94" s="363"/>
      <c r="M94" s="363"/>
      <c r="N94" s="363"/>
      <c r="O94" s="363"/>
      <c r="P94" s="363"/>
      <c r="Q94" s="363"/>
      <c r="R94" s="363"/>
      <c r="S94" s="363"/>
      <c r="T94" s="363"/>
      <c r="U94" s="363"/>
      <c r="V94" s="363"/>
      <c r="W94" s="363"/>
      <c r="X94" s="363"/>
      <c r="Y94" s="363"/>
      <c r="Z94" s="363"/>
    </row>
    <row r="95" spans="1:26" ht="13.5" customHeight="1" x14ac:dyDescent="0.2">
      <c r="A95" s="386">
        <f t="shared" si="0"/>
        <v>10</v>
      </c>
      <c r="B95" s="387">
        <f t="shared" si="4"/>
        <v>110</v>
      </c>
      <c r="C95" s="398">
        <f t="shared" si="5"/>
        <v>49461</v>
      </c>
      <c r="D95" s="389">
        <f t="shared" si="6"/>
        <v>1732432.9955918721</v>
      </c>
      <c r="E95" s="389">
        <f t="shared" si="1"/>
        <v>9023.0885187076674</v>
      </c>
      <c r="F95" s="389">
        <f>($C$14-E95)*(B95&lt;$C$9*12+$B$22)*(B95&gt;INPUTS!$R$20*12+$B$22-1)</f>
        <v>4006.9706155037256</v>
      </c>
      <c r="G95" s="389">
        <f t="shared" si="2"/>
        <v>1728426.0249763685</v>
      </c>
      <c r="H95" s="389">
        <f t="shared" si="3"/>
        <v>712767.27952939901</v>
      </c>
      <c r="I95" s="363"/>
      <c r="J95" s="363"/>
      <c r="K95" s="363"/>
      <c r="L95" s="363"/>
      <c r="M95" s="363"/>
      <c r="N95" s="363"/>
      <c r="O95" s="363"/>
      <c r="P95" s="363"/>
      <c r="Q95" s="363"/>
      <c r="R95" s="363"/>
      <c r="S95" s="363"/>
      <c r="T95" s="363"/>
      <c r="U95" s="363"/>
      <c r="V95" s="363"/>
      <c r="W95" s="363"/>
      <c r="X95" s="363"/>
      <c r="Y95" s="363"/>
      <c r="Z95" s="363"/>
    </row>
    <row r="96" spans="1:26" ht="13.5" customHeight="1" x14ac:dyDescent="0.2">
      <c r="A96" s="386">
        <f t="shared" si="0"/>
        <v>10</v>
      </c>
      <c r="B96" s="387">
        <f t="shared" si="4"/>
        <v>111</v>
      </c>
      <c r="C96" s="398">
        <f t="shared" si="5"/>
        <v>49491</v>
      </c>
      <c r="D96" s="389">
        <f t="shared" si="6"/>
        <v>1728426.0249763685</v>
      </c>
      <c r="E96" s="389">
        <f t="shared" si="1"/>
        <v>9002.2188800852527</v>
      </c>
      <c r="F96" s="389">
        <f>($C$14-E96)*(B96&lt;$C$9*12+$B$22)*(B96&gt;INPUTS!$R$20*12+$B$22-1)</f>
        <v>4027.8402541261403</v>
      </c>
      <c r="G96" s="389">
        <f t="shared" si="2"/>
        <v>1724398.1847222424</v>
      </c>
      <c r="H96" s="389">
        <f t="shared" si="3"/>
        <v>721769.49840948428</v>
      </c>
      <c r="I96" s="363"/>
      <c r="J96" s="363"/>
      <c r="K96" s="363"/>
      <c r="L96" s="363"/>
      <c r="M96" s="363"/>
      <c r="N96" s="363"/>
      <c r="O96" s="363"/>
      <c r="P96" s="363"/>
      <c r="Q96" s="363"/>
      <c r="R96" s="363"/>
      <c r="S96" s="363"/>
      <c r="T96" s="363"/>
      <c r="U96" s="363"/>
      <c r="V96" s="363"/>
      <c r="W96" s="363"/>
      <c r="X96" s="363"/>
      <c r="Y96" s="363"/>
      <c r="Z96" s="363"/>
    </row>
    <row r="97" spans="1:26" ht="13.5" customHeight="1" x14ac:dyDescent="0.2">
      <c r="A97" s="386">
        <f t="shared" si="0"/>
        <v>10</v>
      </c>
      <c r="B97" s="387">
        <f t="shared" si="4"/>
        <v>112</v>
      </c>
      <c r="C97" s="398">
        <f t="shared" si="5"/>
        <v>49522</v>
      </c>
      <c r="D97" s="389">
        <f t="shared" si="6"/>
        <v>1724398.1847222424</v>
      </c>
      <c r="E97" s="389">
        <f t="shared" si="1"/>
        <v>8981.2405454283453</v>
      </c>
      <c r="F97" s="389">
        <f>($C$14-E97)*(B97&lt;$C$9*12+$B$22)*(B97&gt;INPUTS!$R$20*12+$B$22-1)</f>
        <v>4048.8185887830477</v>
      </c>
      <c r="G97" s="389">
        <f t="shared" si="2"/>
        <v>1720349.3661334594</v>
      </c>
      <c r="H97" s="389">
        <f t="shared" si="3"/>
        <v>730750.73895491264</v>
      </c>
      <c r="I97" s="363"/>
      <c r="J97" s="363"/>
      <c r="K97" s="363"/>
      <c r="L97" s="363"/>
      <c r="M97" s="363"/>
      <c r="N97" s="363"/>
      <c r="O97" s="363"/>
      <c r="P97" s="363"/>
      <c r="Q97" s="363"/>
      <c r="R97" s="363"/>
      <c r="S97" s="363"/>
      <c r="T97" s="363"/>
      <c r="U97" s="363"/>
      <c r="V97" s="363"/>
      <c r="W97" s="363"/>
      <c r="X97" s="363"/>
      <c r="Y97" s="363"/>
      <c r="Z97" s="363"/>
    </row>
    <row r="98" spans="1:26" ht="13.5" customHeight="1" x14ac:dyDescent="0.2">
      <c r="A98" s="386">
        <f t="shared" si="0"/>
        <v>10</v>
      </c>
      <c r="B98" s="387">
        <f t="shared" si="4"/>
        <v>113</v>
      </c>
      <c r="C98" s="398">
        <f t="shared" si="5"/>
        <v>49553</v>
      </c>
      <c r="D98" s="389">
        <f t="shared" si="6"/>
        <v>1720349.3661334594</v>
      </c>
      <c r="E98" s="389">
        <f t="shared" si="1"/>
        <v>8960.152948611767</v>
      </c>
      <c r="F98" s="389">
        <f>($C$14-E98)*(B98&lt;$C$9*12+$B$22)*(B98&gt;INPUTS!$R$20*12+$B$22-1)</f>
        <v>4069.906185599626</v>
      </c>
      <c r="G98" s="389">
        <f t="shared" si="2"/>
        <v>1716279.4599478599</v>
      </c>
      <c r="H98" s="389">
        <f t="shared" si="3"/>
        <v>739710.8919035244</v>
      </c>
      <c r="I98" s="363"/>
      <c r="J98" s="363"/>
      <c r="K98" s="363"/>
      <c r="L98" s="363"/>
      <c r="M98" s="363"/>
      <c r="N98" s="363"/>
      <c r="O98" s="363"/>
      <c r="P98" s="363"/>
      <c r="Q98" s="363"/>
      <c r="R98" s="363"/>
      <c r="S98" s="363"/>
      <c r="T98" s="363"/>
      <c r="U98" s="363"/>
      <c r="V98" s="363"/>
      <c r="W98" s="363"/>
      <c r="X98" s="363"/>
      <c r="Y98" s="363"/>
      <c r="Z98" s="363"/>
    </row>
    <row r="99" spans="1:26" ht="13.5" customHeight="1" x14ac:dyDescent="0.2">
      <c r="A99" s="386">
        <f t="shared" si="0"/>
        <v>10</v>
      </c>
      <c r="B99" s="387">
        <f t="shared" si="4"/>
        <v>114</v>
      </c>
      <c r="C99" s="398">
        <f t="shared" si="5"/>
        <v>49583</v>
      </c>
      <c r="D99" s="389">
        <f t="shared" si="6"/>
        <v>1716279.4599478599</v>
      </c>
      <c r="E99" s="389">
        <f t="shared" si="1"/>
        <v>8938.9555205617708</v>
      </c>
      <c r="F99" s="389">
        <f>($C$14-E99)*(B99&lt;$C$9*12+$B$22)*(B99&gt;INPUTS!$R$20*12+$B$22-1)</f>
        <v>4091.1036136496223</v>
      </c>
      <c r="G99" s="389">
        <f t="shared" si="2"/>
        <v>1712188.3563342101</v>
      </c>
      <c r="H99" s="389">
        <f t="shared" si="3"/>
        <v>748649.84742408618</v>
      </c>
      <c r="I99" s="363"/>
      <c r="J99" s="363"/>
      <c r="K99" s="363"/>
      <c r="L99" s="363"/>
      <c r="M99" s="363"/>
      <c r="N99" s="363"/>
      <c r="O99" s="363"/>
      <c r="P99" s="363"/>
      <c r="Q99" s="363"/>
      <c r="R99" s="363"/>
      <c r="S99" s="363"/>
      <c r="T99" s="363"/>
      <c r="U99" s="363"/>
      <c r="V99" s="363"/>
      <c r="W99" s="363"/>
      <c r="X99" s="363"/>
      <c r="Y99" s="363"/>
      <c r="Z99" s="363"/>
    </row>
    <row r="100" spans="1:26" ht="13.5" customHeight="1" x14ac:dyDescent="0.2">
      <c r="A100" s="386">
        <f t="shared" si="0"/>
        <v>10</v>
      </c>
      <c r="B100" s="387">
        <f t="shared" si="4"/>
        <v>115</v>
      </c>
      <c r="C100" s="398">
        <f t="shared" si="5"/>
        <v>49614</v>
      </c>
      <c r="D100" s="389">
        <f t="shared" si="6"/>
        <v>1712188.3563342101</v>
      </c>
      <c r="E100" s="389">
        <f t="shared" si="1"/>
        <v>8917.6476892406772</v>
      </c>
      <c r="F100" s="389">
        <f>($C$14-E100)*(B100&lt;$C$9*12+$B$22)*(B100&gt;INPUTS!$R$20*12+$B$22-1)</f>
        <v>4112.4114449707158</v>
      </c>
      <c r="G100" s="389">
        <f t="shared" si="2"/>
        <v>1708075.9448892395</v>
      </c>
      <c r="H100" s="389">
        <f t="shared" si="3"/>
        <v>757567.49511332682</v>
      </c>
      <c r="I100" s="363"/>
      <c r="J100" s="363"/>
      <c r="K100" s="363"/>
      <c r="L100" s="363"/>
      <c r="M100" s="363"/>
      <c r="N100" s="363"/>
      <c r="O100" s="363"/>
      <c r="P100" s="363"/>
      <c r="Q100" s="363"/>
      <c r="R100" s="363"/>
      <c r="S100" s="363"/>
      <c r="T100" s="363"/>
      <c r="U100" s="363"/>
      <c r="V100" s="363"/>
      <c r="W100" s="363"/>
      <c r="X100" s="363"/>
      <c r="Y100" s="363"/>
      <c r="Z100" s="363"/>
    </row>
    <row r="101" spans="1:26" ht="13.5" customHeight="1" x14ac:dyDescent="0.2">
      <c r="A101" s="386">
        <f t="shared" si="0"/>
        <v>10</v>
      </c>
      <c r="B101" s="387">
        <f t="shared" si="4"/>
        <v>116</v>
      </c>
      <c r="C101" s="398">
        <f t="shared" si="5"/>
        <v>49644</v>
      </c>
      <c r="D101" s="389">
        <f t="shared" si="6"/>
        <v>1708075.9448892395</v>
      </c>
      <c r="E101" s="389">
        <f t="shared" si="1"/>
        <v>8896.2288796314551</v>
      </c>
      <c r="F101" s="389">
        <f>($C$14-E101)*(B101&lt;$C$9*12+$B$22)*(B101&gt;INPUTS!$R$20*12+$B$22-1)</f>
        <v>4133.8302545799379</v>
      </c>
      <c r="G101" s="389">
        <f t="shared" si="2"/>
        <v>1703942.1146346596</v>
      </c>
      <c r="H101" s="389">
        <f t="shared" si="3"/>
        <v>766463.72399295832</v>
      </c>
      <c r="I101" s="363"/>
      <c r="J101" s="363"/>
      <c r="K101" s="363"/>
      <c r="L101" s="363"/>
      <c r="M101" s="363"/>
      <c r="N101" s="363"/>
      <c r="O101" s="363"/>
      <c r="P101" s="363"/>
      <c r="Q101" s="363"/>
      <c r="R101" s="363"/>
      <c r="S101" s="363"/>
      <c r="T101" s="363"/>
      <c r="U101" s="363"/>
      <c r="V101" s="363"/>
      <c r="W101" s="363"/>
      <c r="X101" s="363"/>
      <c r="Y101" s="363"/>
      <c r="Z101" s="363"/>
    </row>
    <row r="102" spans="1:26" ht="13.5" customHeight="1" x14ac:dyDescent="0.2">
      <c r="A102" s="386">
        <f t="shared" si="0"/>
        <v>10</v>
      </c>
      <c r="B102" s="387">
        <f t="shared" si="4"/>
        <v>117</v>
      </c>
      <c r="C102" s="398">
        <f t="shared" si="5"/>
        <v>49675</v>
      </c>
      <c r="D102" s="389">
        <f t="shared" si="6"/>
        <v>1703942.1146346596</v>
      </c>
      <c r="E102" s="389">
        <f t="shared" si="1"/>
        <v>8874.6985137221855</v>
      </c>
      <c r="F102" s="389">
        <f>($C$14-E102)*(B102&lt;$C$9*12+$B$22)*(B102&gt;INPUTS!$R$20*12+$B$22-1)</f>
        <v>4155.3606204892076</v>
      </c>
      <c r="G102" s="389">
        <f t="shared" si="2"/>
        <v>1699786.7540141705</v>
      </c>
      <c r="H102" s="389">
        <f t="shared" si="3"/>
        <v>775338.42250668048</v>
      </c>
      <c r="I102" s="363"/>
      <c r="J102" s="363"/>
      <c r="K102" s="363"/>
      <c r="L102" s="363"/>
      <c r="M102" s="363"/>
      <c r="N102" s="363"/>
      <c r="O102" s="363"/>
      <c r="P102" s="363"/>
      <c r="Q102" s="363"/>
      <c r="R102" s="363"/>
      <c r="S102" s="363"/>
      <c r="T102" s="363"/>
      <c r="U102" s="363"/>
      <c r="V102" s="363"/>
      <c r="W102" s="363"/>
      <c r="X102" s="363"/>
      <c r="Y102" s="363"/>
      <c r="Z102" s="363"/>
    </row>
    <row r="103" spans="1:26" ht="13.5" customHeight="1" x14ac:dyDescent="0.2">
      <c r="A103" s="386">
        <f t="shared" si="0"/>
        <v>10</v>
      </c>
      <c r="B103" s="387">
        <f t="shared" si="4"/>
        <v>118</v>
      </c>
      <c r="C103" s="398">
        <f t="shared" si="5"/>
        <v>49706</v>
      </c>
      <c r="D103" s="389">
        <f t="shared" si="6"/>
        <v>1699786.7540141705</v>
      </c>
      <c r="E103" s="389">
        <f t="shared" si="1"/>
        <v>8853.0560104904707</v>
      </c>
      <c r="F103" s="389">
        <f>($C$14-E103)*(B103&lt;$C$9*12+$B$22)*(B103&gt;INPUTS!$R$20*12+$B$22-1)</f>
        <v>4177.0031237209223</v>
      </c>
      <c r="G103" s="389">
        <f t="shared" si="2"/>
        <v>1695609.7508904496</v>
      </c>
      <c r="H103" s="389">
        <f t="shared" si="3"/>
        <v>784191.478517171</v>
      </c>
      <c r="I103" s="363"/>
      <c r="J103" s="363"/>
      <c r="K103" s="363"/>
      <c r="L103" s="363"/>
      <c r="M103" s="363"/>
      <c r="N103" s="363"/>
      <c r="O103" s="363"/>
      <c r="P103" s="363"/>
      <c r="Q103" s="363"/>
      <c r="R103" s="363"/>
      <c r="S103" s="363"/>
      <c r="T103" s="363"/>
      <c r="U103" s="363"/>
      <c r="V103" s="363"/>
      <c r="W103" s="363"/>
      <c r="X103" s="363"/>
      <c r="Y103" s="363"/>
      <c r="Z103" s="363"/>
    </row>
    <row r="104" spans="1:26" ht="13.5" customHeight="1" x14ac:dyDescent="0.2">
      <c r="A104" s="386">
        <f t="shared" si="0"/>
        <v>10</v>
      </c>
      <c r="B104" s="387">
        <f t="shared" si="4"/>
        <v>119</v>
      </c>
      <c r="C104" s="398">
        <f t="shared" si="5"/>
        <v>49735</v>
      </c>
      <c r="D104" s="389">
        <f t="shared" si="6"/>
        <v>1695609.7508904496</v>
      </c>
      <c r="E104" s="389">
        <f t="shared" si="1"/>
        <v>8831.300785887759</v>
      </c>
      <c r="F104" s="389">
        <f>($C$14-E104)*(B104&lt;$C$9*12+$B$22)*(B104&gt;INPUTS!$R$20*12+$B$22-1)</f>
        <v>4198.758348323634</v>
      </c>
      <c r="G104" s="389">
        <f t="shared" si="2"/>
        <v>1691410.992542126</v>
      </c>
      <c r="H104" s="389">
        <f t="shared" si="3"/>
        <v>793022.77930305875</v>
      </c>
      <c r="I104" s="363"/>
      <c r="J104" s="363"/>
      <c r="K104" s="363"/>
      <c r="L104" s="363"/>
      <c r="M104" s="363"/>
      <c r="N104" s="363"/>
      <c r="O104" s="363"/>
      <c r="P104" s="363"/>
      <c r="Q104" s="363"/>
      <c r="R104" s="363"/>
      <c r="S104" s="363"/>
      <c r="T104" s="363"/>
      <c r="U104" s="363"/>
      <c r="V104" s="363"/>
      <c r="W104" s="363"/>
      <c r="X104" s="363"/>
      <c r="Y104" s="363"/>
      <c r="Z104" s="363"/>
    </row>
    <row r="105" spans="1:26" ht="13.5" customHeight="1" x14ac:dyDescent="0.2">
      <c r="A105" s="386">
        <f t="shared" si="0"/>
        <v>10</v>
      </c>
      <c r="B105" s="387">
        <f t="shared" si="4"/>
        <v>120</v>
      </c>
      <c r="C105" s="398">
        <f t="shared" si="5"/>
        <v>49766</v>
      </c>
      <c r="D105" s="389">
        <f t="shared" si="6"/>
        <v>1691410.992542126</v>
      </c>
      <c r="E105" s="389">
        <f t="shared" si="1"/>
        <v>8809.4322528235734</v>
      </c>
      <c r="F105" s="389">
        <f>($C$14-E105)*(B105&lt;$C$9*12+$B$22)*(B105&gt;INPUTS!$R$20*12+$B$22-1)</f>
        <v>4220.6268813878196</v>
      </c>
      <c r="G105" s="389">
        <f t="shared" si="2"/>
        <v>1687190.3656607382</v>
      </c>
      <c r="H105" s="389">
        <f t="shared" si="3"/>
        <v>801832.21155588236</v>
      </c>
      <c r="I105" s="363"/>
      <c r="J105" s="363"/>
      <c r="K105" s="363"/>
      <c r="L105" s="363"/>
      <c r="M105" s="363"/>
      <c r="N105" s="363"/>
      <c r="O105" s="363"/>
      <c r="P105" s="363"/>
      <c r="Q105" s="363"/>
      <c r="R105" s="363"/>
      <c r="S105" s="363"/>
      <c r="T105" s="363"/>
      <c r="U105" s="363"/>
      <c r="V105" s="363"/>
      <c r="W105" s="363"/>
      <c r="X105" s="363"/>
      <c r="Y105" s="363"/>
      <c r="Z105" s="363"/>
    </row>
    <row r="106" spans="1:26" ht="13.5" customHeight="1" x14ac:dyDescent="0.2">
      <c r="A106" s="386">
        <f t="shared" si="0"/>
        <v>11</v>
      </c>
      <c r="B106" s="387">
        <f t="shared" si="4"/>
        <v>121</v>
      </c>
      <c r="C106" s="398">
        <f t="shared" si="5"/>
        <v>49796</v>
      </c>
      <c r="D106" s="389">
        <f t="shared" si="6"/>
        <v>1687190.3656607382</v>
      </c>
      <c r="E106" s="389">
        <f t="shared" si="1"/>
        <v>8787.4498211496775</v>
      </c>
      <c r="F106" s="389">
        <f>($C$14-E106)*(B106&lt;$C$9*12+$B$22)*(B106&gt;INPUTS!$R$20*12+$B$22-1)</f>
        <v>4242.6093130617155</v>
      </c>
      <c r="G106" s="389">
        <f t="shared" si="2"/>
        <v>1682947.7563476765</v>
      </c>
      <c r="H106" s="389">
        <f t="shared" si="3"/>
        <v>810619.66137703205</v>
      </c>
      <c r="I106" s="363"/>
      <c r="J106" s="363"/>
      <c r="K106" s="363"/>
      <c r="L106" s="363"/>
      <c r="M106" s="363"/>
      <c r="N106" s="363"/>
      <c r="O106" s="363"/>
      <c r="P106" s="363"/>
      <c r="Q106" s="363"/>
      <c r="R106" s="363"/>
      <c r="S106" s="363"/>
      <c r="T106" s="363"/>
      <c r="U106" s="363"/>
      <c r="V106" s="363"/>
      <c r="W106" s="363"/>
      <c r="X106" s="363"/>
      <c r="Y106" s="363"/>
      <c r="Z106" s="363"/>
    </row>
    <row r="107" spans="1:26" ht="13.5" customHeight="1" x14ac:dyDescent="0.2">
      <c r="A107" s="386">
        <f t="shared" si="0"/>
        <v>11</v>
      </c>
      <c r="B107" s="387">
        <f t="shared" si="4"/>
        <v>122</v>
      </c>
      <c r="C107" s="398">
        <f t="shared" si="5"/>
        <v>49827</v>
      </c>
      <c r="D107" s="389">
        <f t="shared" si="6"/>
        <v>1682947.7563476765</v>
      </c>
      <c r="E107" s="389">
        <f t="shared" si="1"/>
        <v>8765.3528976441485</v>
      </c>
      <c r="F107" s="389">
        <f>($C$14-E107)*(B107&lt;$C$9*12+$B$22)*(B107&gt;INPUTS!$R$20*12+$B$22-1)</f>
        <v>4264.7062365672446</v>
      </c>
      <c r="G107" s="389">
        <f t="shared" si="2"/>
        <v>1678683.0501111092</v>
      </c>
      <c r="H107" s="389">
        <f t="shared" si="3"/>
        <v>819385.01427467621</v>
      </c>
      <c r="I107" s="363"/>
      <c r="J107" s="363"/>
      <c r="K107" s="363"/>
      <c r="L107" s="363"/>
      <c r="M107" s="363"/>
      <c r="N107" s="363"/>
      <c r="O107" s="363"/>
      <c r="P107" s="363"/>
      <c r="Q107" s="363"/>
      <c r="R107" s="363"/>
      <c r="S107" s="363"/>
      <c r="T107" s="363"/>
      <c r="U107" s="363"/>
      <c r="V107" s="363"/>
      <c r="W107" s="363"/>
      <c r="X107" s="363"/>
      <c r="Y107" s="363"/>
      <c r="Z107" s="363"/>
    </row>
    <row r="108" spans="1:26" ht="13.5" customHeight="1" x14ac:dyDescent="0.2">
      <c r="A108" s="386">
        <f t="shared" si="0"/>
        <v>11</v>
      </c>
      <c r="B108" s="387">
        <f t="shared" si="4"/>
        <v>123</v>
      </c>
      <c r="C108" s="398">
        <f t="shared" si="5"/>
        <v>49857</v>
      </c>
      <c r="D108" s="389">
        <f t="shared" si="6"/>
        <v>1678683.0501111092</v>
      </c>
      <c r="E108" s="389">
        <f t="shared" si="1"/>
        <v>8743.1408859953608</v>
      </c>
      <c r="F108" s="389">
        <f>($C$14-E108)*(B108&lt;$C$9*12+$B$22)*(B108&gt;INPUTS!$R$20*12+$B$22-1)</f>
        <v>4286.9182482160322</v>
      </c>
      <c r="G108" s="389">
        <f t="shared" si="2"/>
        <v>1674396.1318628932</v>
      </c>
      <c r="H108" s="389">
        <f t="shared" si="3"/>
        <v>828128.15516067157</v>
      </c>
      <c r="I108" s="363"/>
      <c r="J108" s="363"/>
      <c r="K108" s="363"/>
      <c r="L108" s="363"/>
      <c r="M108" s="363"/>
      <c r="N108" s="363"/>
      <c r="O108" s="363"/>
      <c r="P108" s="363"/>
      <c r="Q108" s="363"/>
      <c r="R108" s="363"/>
      <c r="S108" s="363"/>
      <c r="T108" s="363"/>
      <c r="U108" s="363"/>
      <c r="V108" s="363"/>
      <c r="W108" s="363"/>
      <c r="X108" s="363"/>
      <c r="Y108" s="363"/>
      <c r="Z108" s="363"/>
    </row>
    <row r="109" spans="1:26" ht="13.5" customHeight="1" x14ac:dyDescent="0.2">
      <c r="A109" s="386">
        <f t="shared" si="0"/>
        <v>11</v>
      </c>
      <c r="B109" s="387">
        <f t="shared" si="4"/>
        <v>124</v>
      </c>
      <c r="C109" s="398">
        <f t="shared" si="5"/>
        <v>49888</v>
      </c>
      <c r="D109" s="389">
        <f t="shared" si="6"/>
        <v>1674396.1318628932</v>
      </c>
      <c r="E109" s="389">
        <f t="shared" si="1"/>
        <v>8720.8131867859029</v>
      </c>
      <c r="F109" s="389">
        <f>($C$14-E109)*(B109&lt;$C$9*12+$B$22)*(B109&gt;INPUTS!$R$20*12+$B$22-1)</f>
        <v>4309.2459474254902</v>
      </c>
      <c r="G109" s="389">
        <f t="shared" si="2"/>
        <v>1670086.8859154677</v>
      </c>
      <c r="H109" s="389">
        <f t="shared" si="3"/>
        <v>836848.96834745747</v>
      </c>
      <c r="I109" s="363"/>
      <c r="J109" s="363"/>
      <c r="K109" s="363"/>
      <c r="L109" s="363"/>
      <c r="M109" s="363"/>
      <c r="N109" s="363"/>
      <c r="O109" s="363"/>
      <c r="P109" s="363"/>
      <c r="Q109" s="363"/>
      <c r="R109" s="363"/>
      <c r="S109" s="363"/>
      <c r="T109" s="363"/>
      <c r="U109" s="363"/>
      <c r="V109" s="363"/>
      <c r="W109" s="363"/>
      <c r="X109" s="363"/>
      <c r="Y109" s="363"/>
      <c r="Z109" s="363"/>
    </row>
    <row r="110" spans="1:26" ht="13.5" customHeight="1" x14ac:dyDescent="0.2">
      <c r="A110" s="386">
        <f t="shared" si="0"/>
        <v>11</v>
      </c>
      <c r="B110" s="387">
        <f t="shared" si="4"/>
        <v>125</v>
      </c>
      <c r="C110" s="398">
        <f t="shared" si="5"/>
        <v>49919</v>
      </c>
      <c r="D110" s="389">
        <f t="shared" si="6"/>
        <v>1670086.8859154677</v>
      </c>
      <c r="E110" s="389">
        <f t="shared" si="1"/>
        <v>8698.3691974763951</v>
      </c>
      <c r="F110" s="389">
        <f>($C$14-E110)*(B110&lt;$C$9*12+$B$22)*(B110&gt;INPUTS!$R$20*12+$B$22-1)</f>
        <v>4331.6899367349979</v>
      </c>
      <c r="G110" s="389">
        <f t="shared" si="2"/>
        <v>1665755.1959787328</v>
      </c>
      <c r="H110" s="389">
        <f t="shared" si="3"/>
        <v>845547.33754493389</v>
      </c>
      <c r="I110" s="363"/>
      <c r="J110" s="363"/>
      <c r="K110" s="363"/>
      <c r="L110" s="363"/>
      <c r="M110" s="363"/>
      <c r="N110" s="363"/>
      <c r="O110" s="363"/>
      <c r="P110" s="363"/>
      <c r="Q110" s="363"/>
      <c r="R110" s="363"/>
      <c r="S110" s="363"/>
      <c r="T110" s="363"/>
      <c r="U110" s="363"/>
      <c r="V110" s="363"/>
      <c r="W110" s="363"/>
      <c r="X110" s="363"/>
      <c r="Y110" s="363"/>
      <c r="Z110" s="363"/>
    </row>
    <row r="111" spans="1:26" ht="13.5" customHeight="1" x14ac:dyDescent="0.2">
      <c r="A111" s="386">
        <f t="shared" si="0"/>
        <v>11</v>
      </c>
      <c r="B111" s="387">
        <f t="shared" si="4"/>
        <v>126</v>
      </c>
      <c r="C111" s="398">
        <f t="shared" si="5"/>
        <v>49949</v>
      </c>
      <c r="D111" s="389">
        <f t="shared" si="6"/>
        <v>1665755.1959787328</v>
      </c>
      <c r="E111" s="389">
        <f t="shared" si="1"/>
        <v>8675.8083123892338</v>
      </c>
      <c r="F111" s="389">
        <f>($C$14-E111)*(B111&lt;$C$9*12+$B$22)*(B111&gt;INPUTS!$R$20*12+$B$22-1)</f>
        <v>4354.2508218221592</v>
      </c>
      <c r="G111" s="389">
        <f t="shared" si="2"/>
        <v>1661400.9451569107</v>
      </c>
      <c r="H111" s="389">
        <f t="shared" si="3"/>
        <v>854223.14585732308</v>
      </c>
      <c r="I111" s="363"/>
      <c r="J111" s="363"/>
      <c r="K111" s="363"/>
      <c r="L111" s="363"/>
      <c r="M111" s="363"/>
      <c r="N111" s="363"/>
      <c r="O111" s="363"/>
      <c r="P111" s="363"/>
      <c r="Q111" s="363"/>
      <c r="R111" s="363"/>
      <c r="S111" s="363"/>
      <c r="T111" s="363"/>
      <c r="U111" s="363"/>
      <c r="V111" s="363"/>
      <c r="W111" s="363"/>
      <c r="X111" s="363"/>
      <c r="Y111" s="363"/>
      <c r="Z111" s="363"/>
    </row>
    <row r="112" spans="1:26" ht="13.5" customHeight="1" x14ac:dyDescent="0.2">
      <c r="A112" s="386">
        <f t="shared" si="0"/>
        <v>11</v>
      </c>
      <c r="B112" s="387">
        <f t="shared" si="4"/>
        <v>127</v>
      </c>
      <c r="C112" s="398">
        <f t="shared" si="5"/>
        <v>49980</v>
      </c>
      <c r="D112" s="389">
        <f t="shared" si="6"/>
        <v>1661400.9451569107</v>
      </c>
      <c r="E112" s="389">
        <f t="shared" si="1"/>
        <v>8653.1299226922438</v>
      </c>
      <c r="F112" s="389">
        <f>($C$14-E112)*(B112&lt;$C$9*12+$B$22)*(B112&gt;INPUTS!$R$20*12+$B$22-1)</f>
        <v>4376.9292115191492</v>
      </c>
      <c r="G112" s="389">
        <f t="shared" si="2"/>
        <v>1657024.0159453915</v>
      </c>
      <c r="H112" s="389">
        <f t="shared" si="3"/>
        <v>862876.27578001528</v>
      </c>
      <c r="I112" s="363"/>
      <c r="J112" s="363"/>
      <c r="K112" s="363"/>
      <c r="L112" s="363"/>
      <c r="M112" s="363"/>
      <c r="N112" s="363"/>
      <c r="O112" s="363"/>
      <c r="P112" s="363"/>
      <c r="Q112" s="363"/>
      <c r="R112" s="363"/>
      <c r="S112" s="363"/>
      <c r="T112" s="363"/>
      <c r="U112" s="363"/>
      <c r="V112" s="363"/>
      <c r="W112" s="363"/>
      <c r="X112" s="363"/>
      <c r="Y112" s="363"/>
      <c r="Z112" s="363"/>
    </row>
    <row r="113" spans="1:26" ht="13.5" customHeight="1" x14ac:dyDescent="0.2">
      <c r="A113" s="386">
        <f t="shared" si="0"/>
        <v>11</v>
      </c>
      <c r="B113" s="387">
        <f t="shared" si="4"/>
        <v>128</v>
      </c>
      <c r="C113" s="398">
        <f t="shared" si="5"/>
        <v>50010</v>
      </c>
      <c r="D113" s="389">
        <f t="shared" si="6"/>
        <v>1657024.0159453915</v>
      </c>
      <c r="E113" s="389">
        <f t="shared" si="1"/>
        <v>8630.3334163822474</v>
      </c>
      <c r="F113" s="389">
        <f>($C$14-E113)*(B113&lt;$C$9*12+$B$22)*(B113&gt;INPUTS!$R$20*12+$B$22-1)</f>
        <v>4399.7257178291457</v>
      </c>
      <c r="G113" s="389">
        <f t="shared" si="2"/>
        <v>1652624.2902275624</v>
      </c>
      <c r="H113" s="389">
        <f t="shared" si="3"/>
        <v>871506.60919639748</v>
      </c>
      <c r="I113" s="363"/>
      <c r="J113" s="363"/>
      <c r="K113" s="363"/>
      <c r="L113" s="363"/>
      <c r="M113" s="363"/>
      <c r="N113" s="363"/>
      <c r="O113" s="363"/>
      <c r="P113" s="363"/>
      <c r="Q113" s="363"/>
      <c r="R113" s="363"/>
      <c r="S113" s="363"/>
      <c r="T113" s="363"/>
      <c r="U113" s="363"/>
      <c r="V113" s="363"/>
      <c r="W113" s="363"/>
      <c r="X113" s="363"/>
      <c r="Y113" s="363"/>
      <c r="Z113" s="363"/>
    </row>
    <row r="114" spans="1:26" ht="13.5" customHeight="1" x14ac:dyDescent="0.2">
      <c r="A114" s="386">
        <f t="shared" si="0"/>
        <v>11</v>
      </c>
      <c r="B114" s="387">
        <f t="shared" si="4"/>
        <v>129</v>
      </c>
      <c r="C114" s="398">
        <f t="shared" si="5"/>
        <v>50041</v>
      </c>
      <c r="D114" s="389">
        <f t="shared" si="6"/>
        <v>1652624.2902275624</v>
      </c>
      <c r="E114" s="389">
        <f t="shared" si="1"/>
        <v>8607.4181782685537</v>
      </c>
      <c r="F114" s="389">
        <f>($C$14-E114)*(B114&lt;$C$9*12+$B$22)*(B114&gt;INPUTS!$R$20*12+$B$22-1)</f>
        <v>4422.6409559428394</v>
      </c>
      <c r="G114" s="389">
        <f t="shared" si="2"/>
        <v>1648201.6492716195</v>
      </c>
      <c r="H114" s="389">
        <f t="shared" si="3"/>
        <v>880114.02737466607</v>
      </c>
      <c r="I114" s="363"/>
      <c r="J114" s="363"/>
      <c r="K114" s="363"/>
      <c r="L114" s="363"/>
      <c r="M114" s="363"/>
      <c r="N114" s="363"/>
      <c r="O114" s="363"/>
      <c r="P114" s="363"/>
      <c r="Q114" s="363"/>
      <c r="R114" s="363"/>
      <c r="S114" s="363"/>
      <c r="T114" s="363"/>
      <c r="U114" s="363"/>
      <c r="V114" s="363"/>
      <c r="W114" s="363"/>
      <c r="X114" s="363"/>
      <c r="Y114" s="363"/>
      <c r="Z114" s="363"/>
    </row>
    <row r="115" spans="1:26" ht="13.5" customHeight="1" x14ac:dyDescent="0.2">
      <c r="A115" s="386">
        <f t="shared" si="0"/>
        <v>11</v>
      </c>
      <c r="B115" s="387">
        <f t="shared" si="4"/>
        <v>130</v>
      </c>
      <c r="C115" s="398">
        <f t="shared" si="5"/>
        <v>50072</v>
      </c>
      <c r="D115" s="389">
        <f t="shared" si="6"/>
        <v>1648201.6492716195</v>
      </c>
      <c r="E115" s="389">
        <f t="shared" si="1"/>
        <v>8584.383589956351</v>
      </c>
      <c r="F115" s="389">
        <f>($C$14-E115)*(B115&lt;$C$9*12+$B$22)*(B115&gt;INPUTS!$R$20*12+$B$22-1)</f>
        <v>4445.675544255042</v>
      </c>
      <c r="G115" s="389">
        <f t="shared" si="2"/>
        <v>1643755.9737273646</v>
      </c>
      <c r="H115" s="389">
        <f t="shared" si="3"/>
        <v>888698.4109646224</v>
      </c>
      <c r="I115" s="363"/>
      <c r="J115" s="363"/>
      <c r="K115" s="363"/>
      <c r="L115" s="363"/>
      <c r="M115" s="363"/>
      <c r="N115" s="363"/>
      <c r="O115" s="363"/>
      <c r="P115" s="363"/>
      <c r="Q115" s="363"/>
      <c r="R115" s="363"/>
      <c r="S115" s="363"/>
      <c r="T115" s="363"/>
      <c r="U115" s="363"/>
      <c r="V115" s="363"/>
      <c r="W115" s="363"/>
      <c r="X115" s="363"/>
      <c r="Y115" s="363"/>
      <c r="Z115" s="363"/>
    </row>
    <row r="116" spans="1:26" ht="13.5" customHeight="1" x14ac:dyDescent="0.2">
      <c r="A116" s="386">
        <f t="shared" si="0"/>
        <v>11</v>
      </c>
      <c r="B116" s="387">
        <f t="shared" si="4"/>
        <v>131</v>
      </c>
      <c r="C116" s="398">
        <f t="shared" si="5"/>
        <v>50100</v>
      </c>
      <c r="D116" s="389">
        <f t="shared" si="6"/>
        <v>1643755.9737273646</v>
      </c>
      <c r="E116" s="389">
        <f t="shared" si="1"/>
        <v>8561.2290298300231</v>
      </c>
      <c r="F116" s="389">
        <f>($C$14-E116)*(B116&lt;$C$9*12+$B$22)*(B116&gt;INPUTS!$R$20*12+$B$22-1)</f>
        <v>4468.8301043813699</v>
      </c>
      <c r="G116" s="389">
        <f t="shared" si="2"/>
        <v>1639287.1436229832</v>
      </c>
      <c r="H116" s="389">
        <f t="shared" si="3"/>
        <v>897259.63999445247</v>
      </c>
      <c r="I116" s="363"/>
      <c r="J116" s="363"/>
      <c r="K116" s="363"/>
      <c r="L116" s="363"/>
      <c r="M116" s="363"/>
      <c r="N116" s="363"/>
      <c r="O116" s="363"/>
      <c r="P116" s="363"/>
      <c r="Q116" s="363"/>
      <c r="R116" s="363"/>
      <c r="S116" s="363"/>
      <c r="T116" s="363"/>
      <c r="U116" s="363"/>
      <c r="V116" s="363"/>
      <c r="W116" s="363"/>
      <c r="X116" s="363"/>
      <c r="Y116" s="363"/>
      <c r="Z116" s="363"/>
    </row>
    <row r="117" spans="1:26" ht="13.5" customHeight="1" x14ac:dyDescent="0.2">
      <c r="A117" s="386">
        <f t="shared" si="0"/>
        <v>11</v>
      </c>
      <c r="B117" s="387">
        <f t="shared" si="4"/>
        <v>132</v>
      </c>
      <c r="C117" s="398">
        <f t="shared" si="5"/>
        <v>50131</v>
      </c>
      <c r="D117" s="389">
        <f t="shared" si="6"/>
        <v>1639287.1436229832</v>
      </c>
      <c r="E117" s="389">
        <f t="shared" si="1"/>
        <v>8537.9538730363711</v>
      </c>
      <c r="F117" s="389">
        <f>($C$14-E117)*(B117&lt;$C$9*12+$B$22)*(B117&gt;INPUTS!$R$20*12+$B$22-1)</f>
        <v>4492.105261175022</v>
      </c>
      <c r="G117" s="389">
        <f t="shared" si="2"/>
        <v>1634795.0383618083</v>
      </c>
      <c r="H117" s="389">
        <f t="shared" si="3"/>
        <v>905797.5938674889</v>
      </c>
      <c r="I117" s="363"/>
      <c r="J117" s="363"/>
      <c r="K117" s="363"/>
      <c r="L117" s="363"/>
      <c r="M117" s="363"/>
      <c r="N117" s="363"/>
      <c r="O117" s="363"/>
      <c r="P117" s="363"/>
      <c r="Q117" s="363"/>
      <c r="R117" s="363"/>
      <c r="S117" s="363"/>
      <c r="T117" s="363"/>
      <c r="U117" s="363"/>
      <c r="V117" s="363"/>
      <c r="W117" s="363"/>
      <c r="X117" s="363"/>
      <c r="Y117" s="363"/>
      <c r="Z117" s="363"/>
    </row>
    <row r="118" spans="1:26" ht="13.5" customHeight="1" x14ac:dyDescent="0.2">
      <c r="A118" s="386">
        <f t="shared" si="0"/>
        <v>12</v>
      </c>
      <c r="B118" s="387">
        <f t="shared" si="4"/>
        <v>133</v>
      </c>
      <c r="C118" s="398">
        <f t="shared" si="5"/>
        <v>50161</v>
      </c>
      <c r="D118" s="389">
        <f t="shared" si="6"/>
        <v>1634795.0383618083</v>
      </c>
      <c r="E118" s="389">
        <f t="shared" si="1"/>
        <v>8514.5574914677509</v>
      </c>
      <c r="F118" s="389">
        <f>($C$14-E118)*(B118&lt;$C$9*12+$B$22)*(B118&gt;INPUTS!$R$20*12+$B$22-1)</f>
        <v>4515.5016427436422</v>
      </c>
      <c r="G118" s="389">
        <f t="shared" si="2"/>
        <v>1630279.5367190647</v>
      </c>
      <c r="H118" s="389">
        <f t="shared" si="3"/>
        <v>914312.1513589567</v>
      </c>
      <c r="I118" s="363"/>
      <c r="J118" s="363"/>
      <c r="K118" s="363"/>
      <c r="L118" s="363"/>
      <c r="M118" s="363"/>
      <c r="N118" s="363"/>
      <c r="O118" s="363"/>
      <c r="P118" s="363"/>
      <c r="Q118" s="363"/>
      <c r="R118" s="363"/>
      <c r="S118" s="363"/>
      <c r="T118" s="363"/>
      <c r="U118" s="363"/>
      <c r="V118" s="363"/>
      <c r="W118" s="363"/>
      <c r="X118" s="363"/>
      <c r="Y118" s="363"/>
      <c r="Z118" s="363"/>
    </row>
    <row r="119" spans="1:26" ht="13.5" customHeight="1" x14ac:dyDescent="0.2">
      <c r="A119" s="386">
        <f t="shared" si="0"/>
        <v>12</v>
      </c>
      <c r="B119" s="387">
        <f t="shared" si="4"/>
        <v>134</v>
      </c>
      <c r="C119" s="398">
        <f t="shared" si="5"/>
        <v>50192</v>
      </c>
      <c r="D119" s="389">
        <f t="shared" si="6"/>
        <v>1630279.5367190647</v>
      </c>
      <c r="E119" s="389">
        <f t="shared" si="1"/>
        <v>8491.039253745128</v>
      </c>
      <c r="F119" s="389">
        <f>($C$14-E119)*(B119&lt;$C$9*12+$B$22)*(B119&gt;INPUTS!$R$20*12+$B$22-1)</f>
        <v>4539.019880466265</v>
      </c>
      <c r="G119" s="389">
        <f t="shared" si="2"/>
        <v>1625740.5168385985</v>
      </c>
      <c r="H119" s="389">
        <f t="shared" si="3"/>
        <v>922803.19061270182</v>
      </c>
      <c r="I119" s="363"/>
      <c r="J119" s="363"/>
      <c r="K119" s="363"/>
      <c r="L119" s="363"/>
      <c r="M119" s="363"/>
      <c r="N119" s="363"/>
      <c r="O119" s="363"/>
      <c r="P119" s="363"/>
      <c r="Q119" s="363"/>
      <c r="R119" s="363"/>
      <c r="S119" s="363"/>
      <c r="T119" s="363"/>
      <c r="U119" s="363"/>
      <c r="V119" s="363"/>
      <c r="W119" s="363"/>
      <c r="X119" s="363"/>
      <c r="Y119" s="363"/>
      <c r="Z119" s="363"/>
    </row>
    <row r="120" spans="1:26" ht="13.5" customHeight="1" x14ac:dyDescent="0.2">
      <c r="A120" s="386">
        <f t="shared" si="0"/>
        <v>12</v>
      </c>
      <c r="B120" s="387">
        <f t="shared" si="4"/>
        <v>135</v>
      </c>
      <c r="C120" s="398">
        <f t="shared" si="5"/>
        <v>50222</v>
      </c>
      <c r="D120" s="389">
        <f t="shared" si="6"/>
        <v>1625740.5168385985</v>
      </c>
      <c r="E120" s="389">
        <f t="shared" si="1"/>
        <v>8467.3985252010334</v>
      </c>
      <c r="F120" s="389">
        <f>($C$14-E120)*(B120&lt;$C$9*12+$B$22)*(B120&gt;INPUTS!$R$20*12+$B$22-1)</f>
        <v>4562.6606090103596</v>
      </c>
      <c r="G120" s="389">
        <f t="shared" si="2"/>
        <v>1621177.8562295882</v>
      </c>
      <c r="H120" s="389">
        <f t="shared" si="3"/>
        <v>931270.58913790283</v>
      </c>
      <c r="I120" s="363"/>
      <c r="J120" s="363"/>
      <c r="K120" s="363"/>
      <c r="L120" s="363"/>
      <c r="M120" s="363"/>
      <c r="N120" s="363"/>
      <c r="O120" s="363"/>
      <c r="P120" s="363"/>
      <c r="Q120" s="363"/>
      <c r="R120" s="363"/>
      <c r="S120" s="363"/>
      <c r="T120" s="363"/>
      <c r="U120" s="363"/>
      <c r="V120" s="363"/>
      <c r="W120" s="363"/>
      <c r="X120" s="363"/>
      <c r="Y120" s="363"/>
      <c r="Z120" s="363"/>
    </row>
    <row r="121" spans="1:26" ht="13.5" customHeight="1" x14ac:dyDescent="0.2">
      <c r="A121" s="386">
        <f t="shared" si="0"/>
        <v>12</v>
      </c>
      <c r="B121" s="387">
        <f t="shared" si="4"/>
        <v>136</v>
      </c>
      <c r="C121" s="398">
        <f t="shared" si="5"/>
        <v>50253</v>
      </c>
      <c r="D121" s="389">
        <f t="shared" si="6"/>
        <v>1621177.8562295882</v>
      </c>
      <c r="E121" s="389">
        <f t="shared" si="1"/>
        <v>8443.6346678624377</v>
      </c>
      <c r="F121" s="389">
        <f>($C$14-E121)*(B121&lt;$C$9*12+$B$22)*(B121&gt;INPUTS!$R$20*12+$B$22-1)</f>
        <v>4586.4244663489553</v>
      </c>
      <c r="G121" s="389">
        <f t="shared" si="2"/>
        <v>1616591.4317632392</v>
      </c>
      <c r="H121" s="389">
        <f t="shared" si="3"/>
        <v>939714.22380576527</v>
      </c>
      <c r="I121" s="363"/>
      <c r="J121" s="363"/>
      <c r="K121" s="363"/>
      <c r="L121" s="363"/>
      <c r="M121" s="363"/>
      <c r="N121" s="363"/>
      <c r="O121" s="363"/>
      <c r="P121" s="363"/>
      <c r="Q121" s="363"/>
      <c r="R121" s="363"/>
      <c r="S121" s="363"/>
      <c r="T121" s="363"/>
      <c r="U121" s="363"/>
      <c r="V121" s="363"/>
      <c r="W121" s="363"/>
      <c r="X121" s="363"/>
      <c r="Y121" s="363"/>
      <c r="Z121" s="363"/>
    </row>
    <row r="122" spans="1:26" ht="13.5" customHeight="1" x14ac:dyDescent="0.2">
      <c r="A122" s="386">
        <f t="shared" si="0"/>
        <v>12</v>
      </c>
      <c r="B122" s="387">
        <f t="shared" si="4"/>
        <v>137</v>
      </c>
      <c r="C122" s="398">
        <f t="shared" si="5"/>
        <v>50284</v>
      </c>
      <c r="D122" s="389">
        <f t="shared" si="6"/>
        <v>1616591.4317632392</v>
      </c>
      <c r="E122" s="389">
        <f t="shared" si="1"/>
        <v>8419.7470404335381</v>
      </c>
      <c r="F122" s="389">
        <f>($C$14-E122)*(B122&lt;$C$9*12+$B$22)*(B122&gt;INPUTS!$R$20*12+$B$22-1)</f>
        <v>4610.3120937778549</v>
      </c>
      <c r="G122" s="389">
        <f t="shared" si="2"/>
        <v>1611981.1196694614</v>
      </c>
      <c r="H122" s="389">
        <f t="shared" si="3"/>
        <v>948133.97084619885</v>
      </c>
      <c r="I122" s="363"/>
      <c r="J122" s="363"/>
      <c r="K122" s="363"/>
      <c r="L122" s="363"/>
      <c r="M122" s="363"/>
      <c r="N122" s="363"/>
      <c r="O122" s="363"/>
      <c r="P122" s="363"/>
      <c r="Q122" s="363"/>
      <c r="R122" s="363"/>
      <c r="S122" s="363"/>
      <c r="T122" s="363"/>
      <c r="U122" s="363"/>
      <c r="V122" s="363"/>
      <c r="W122" s="363"/>
      <c r="X122" s="363"/>
      <c r="Y122" s="363"/>
      <c r="Z122" s="363"/>
    </row>
    <row r="123" spans="1:26" ht="13.5" customHeight="1" x14ac:dyDescent="0.2">
      <c r="A123" s="386">
        <f t="shared" si="0"/>
        <v>12</v>
      </c>
      <c r="B123" s="387">
        <f t="shared" si="4"/>
        <v>138</v>
      </c>
      <c r="C123" s="398">
        <f t="shared" si="5"/>
        <v>50314</v>
      </c>
      <c r="D123" s="389">
        <f t="shared" si="6"/>
        <v>1611981.1196694614</v>
      </c>
      <c r="E123" s="389">
        <f t="shared" si="1"/>
        <v>8395.7349982784453</v>
      </c>
      <c r="F123" s="389">
        <f>($C$14-E123)*(B123&lt;$C$9*12+$B$22)*(B123&gt;INPUTS!$R$20*12+$B$22-1)</f>
        <v>4634.3241359329477</v>
      </c>
      <c r="G123" s="389">
        <f t="shared" si="2"/>
        <v>1607346.7955335286</v>
      </c>
      <c r="H123" s="389">
        <f t="shared" si="3"/>
        <v>956529.70584447728</v>
      </c>
      <c r="I123" s="363"/>
      <c r="J123" s="363"/>
      <c r="K123" s="363"/>
      <c r="L123" s="363"/>
      <c r="M123" s="363"/>
      <c r="N123" s="363"/>
      <c r="O123" s="363"/>
      <c r="P123" s="363"/>
      <c r="Q123" s="363"/>
      <c r="R123" s="363"/>
      <c r="S123" s="363"/>
      <c r="T123" s="363"/>
      <c r="U123" s="363"/>
      <c r="V123" s="363"/>
      <c r="W123" s="363"/>
      <c r="X123" s="363"/>
      <c r="Y123" s="363"/>
      <c r="Z123" s="363"/>
    </row>
    <row r="124" spans="1:26" ht="13.5" customHeight="1" x14ac:dyDescent="0.2">
      <c r="A124" s="386">
        <f t="shared" si="0"/>
        <v>12</v>
      </c>
      <c r="B124" s="387">
        <f t="shared" si="4"/>
        <v>139</v>
      </c>
      <c r="C124" s="398">
        <f t="shared" si="5"/>
        <v>50345</v>
      </c>
      <c r="D124" s="389">
        <f t="shared" si="6"/>
        <v>1607346.7955335286</v>
      </c>
      <c r="E124" s="389">
        <f t="shared" si="1"/>
        <v>8371.5978934037939</v>
      </c>
      <c r="F124" s="389">
        <f>($C$14-E124)*(B124&lt;$C$9*12+$B$22)*(B124&gt;INPUTS!$R$20*12+$B$22-1)</f>
        <v>4658.4612408075991</v>
      </c>
      <c r="G124" s="389">
        <f t="shared" si="2"/>
        <v>1602688.334292721</v>
      </c>
      <c r="H124" s="389">
        <f t="shared" si="3"/>
        <v>964901.30373788113</v>
      </c>
      <c r="I124" s="363"/>
      <c r="J124" s="363"/>
      <c r="K124" s="363"/>
      <c r="L124" s="363"/>
      <c r="M124" s="363"/>
      <c r="N124" s="363"/>
      <c r="O124" s="363"/>
      <c r="P124" s="363"/>
      <c r="Q124" s="363"/>
      <c r="R124" s="363"/>
      <c r="S124" s="363"/>
      <c r="T124" s="363"/>
      <c r="U124" s="363"/>
      <c r="V124" s="363"/>
      <c r="W124" s="363"/>
      <c r="X124" s="363"/>
      <c r="Y124" s="363"/>
      <c r="Z124" s="363"/>
    </row>
    <row r="125" spans="1:26" ht="13.5" customHeight="1" x14ac:dyDescent="0.2">
      <c r="A125" s="386">
        <f t="shared" si="0"/>
        <v>12</v>
      </c>
      <c r="B125" s="387">
        <f t="shared" si="4"/>
        <v>140</v>
      </c>
      <c r="C125" s="398">
        <f t="shared" si="5"/>
        <v>50375</v>
      </c>
      <c r="D125" s="389">
        <f t="shared" si="6"/>
        <v>1602688.334292721</v>
      </c>
      <c r="E125" s="389">
        <f t="shared" si="1"/>
        <v>8347.3350744412546</v>
      </c>
      <c r="F125" s="389">
        <f>($C$14-E125)*(B125&lt;$C$9*12+$B$22)*(B125&gt;INPUTS!$R$20*12+$B$22-1)</f>
        <v>4682.7240597701384</v>
      </c>
      <c r="G125" s="389">
        <f t="shared" si="2"/>
        <v>1598005.6102329509</v>
      </c>
      <c r="H125" s="389">
        <f t="shared" si="3"/>
        <v>973248.6388123224</v>
      </c>
      <c r="I125" s="363"/>
      <c r="J125" s="363"/>
      <c r="K125" s="363"/>
      <c r="L125" s="363"/>
      <c r="M125" s="363"/>
      <c r="N125" s="363"/>
      <c r="O125" s="363"/>
      <c r="P125" s="363"/>
      <c r="Q125" s="363"/>
      <c r="R125" s="363"/>
      <c r="S125" s="363"/>
      <c r="T125" s="363"/>
      <c r="U125" s="363"/>
      <c r="V125" s="363"/>
      <c r="W125" s="363"/>
      <c r="X125" s="363"/>
      <c r="Y125" s="363"/>
      <c r="Z125" s="363"/>
    </row>
    <row r="126" spans="1:26" ht="13.5" customHeight="1" x14ac:dyDescent="0.2">
      <c r="A126" s="386">
        <f t="shared" si="0"/>
        <v>12</v>
      </c>
      <c r="B126" s="387">
        <f t="shared" si="4"/>
        <v>141</v>
      </c>
      <c r="C126" s="398">
        <f t="shared" si="5"/>
        <v>50406</v>
      </c>
      <c r="D126" s="389">
        <f t="shared" si="6"/>
        <v>1598005.6102329509</v>
      </c>
      <c r="E126" s="389">
        <f t="shared" si="1"/>
        <v>8322.9458866299519</v>
      </c>
      <c r="F126" s="389">
        <f>($C$14-E126)*(B126&lt;$C$9*12+$B$22)*(B126&gt;INPUTS!$R$20*12+$B$22-1)</f>
        <v>4707.1132475814411</v>
      </c>
      <c r="G126" s="389">
        <f t="shared" si="2"/>
        <v>1593298.4969853694</v>
      </c>
      <c r="H126" s="389">
        <f t="shared" si="3"/>
        <v>981571.58469895239</v>
      </c>
      <c r="I126" s="363"/>
      <c r="J126" s="363"/>
      <c r="K126" s="363"/>
      <c r="L126" s="363"/>
      <c r="M126" s="363"/>
      <c r="N126" s="363"/>
      <c r="O126" s="363"/>
      <c r="P126" s="363"/>
      <c r="Q126" s="363"/>
      <c r="R126" s="363"/>
      <c r="S126" s="363"/>
      <c r="T126" s="363"/>
      <c r="U126" s="363"/>
      <c r="V126" s="363"/>
      <c r="W126" s="363"/>
      <c r="X126" s="363"/>
      <c r="Y126" s="363"/>
      <c r="Z126" s="363"/>
    </row>
    <row r="127" spans="1:26" ht="13.5" customHeight="1" x14ac:dyDescent="0.2">
      <c r="A127" s="386">
        <f t="shared" si="0"/>
        <v>12</v>
      </c>
      <c r="B127" s="387">
        <f t="shared" si="4"/>
        <v>142</v>
      </c>
      <c r="C127" s="398">
        <f t="shared" si="5"/>
        <v>50437</v>
      </c>
      <c r="D127" s="389">
        <f t="shared" si="6"/>
        <v>1593298.4969853694</v>
      </c>
      <c r="E127" s="389">
        <f t="shared" si="1"/>
        <v>8298.4296717987982</v>
      </c>
      <c r="F127" s="389">
        <f>($C$14-E127)*(B127&lt;$C$9*12+$B$22)*(B127&gt;INPUTS!$R$20*12+$B$22-1)</f>
        <v>4731.6294624125949</v>
      </c>
      <c r="G127" s="389">
        <f t="shared" si="2"/>
        <v>1588566.8675229568</v>
      </c>
      <c r="H127" s="389">
        <f t="shared" si="3"/>
        <v>989870.01437075122</v>
      </c>
      <c r="I127" s="363"/>
      <c r="J127" s="363"/>
      <c r="K127" s="363"/>
      <c r="L127" s="363"/>
      <c r="M127" s="363"/>
      <c r="N127" s="363"/>
      <c r="O127" s="363"/>
      <c r="P127" s="363"/>
      <c r="Q127" s="363"/>
      <c r="R127" s="363"/>
      <c r="S127" s="363"/>
      <c r="T127" s="363"/>
      <c r="U127" s="363"/>
      <c r="V127" s="363"/>
      <c r="W127" s="363"/>
      <c r="X127" s="363"/>
      <c r="Y127" s="363"/>
      <c r="Z127" s="363"/>
    </row>
    <row r="128" spans="1:26" ht="13.5" customHeight="1" x14ac:dyDescent="0.2">
      <c r="A128" s="386">
        <f t="shared" si="0"/>
        <v>12</v>
      </c>
      <c r="B128" s="387">
        <f t="shared" si="4"/>
        <v>143</v>
      </c>
      <c r="C128" s="398">
        <f t="shared" si="5"/>
        <v>50465</v>
      </c>
      <c r="D128" s="389">
        <f t="shared" si="6"/>
        <v>1588566.8675229568</v>
      </c>
      <c r="E128" s="389">
        <f t="shared" si="1"/>
        <v>8273.7857683487327</v>
      </c>
      <c r="F128" s="389">
        <f>($C$14-E128)*(B128&lt;$C$9*12+$B$22)*(B128&gt;INPUTS!$R$20*12+$B$22-1)</f>
        <v>4756.2733658626603</v>
      </c>
      <c r="G128" s="389">
        <f t="shared" si="2"/>
        <v>1583810.5941570941</v>
      </c>
      <c r="H128" s="389">
        <f t="shared" si="3"/>
        <v>998143.80013909994</v>
      </c>
      <c r="I128" s="363"/>
      <c r="J128" s="363"/>
      <c r="K128" s="363"/>
      <c r="L128" s="363"/>
      <c r="M128" s="363"/>
      <c r="N128" s="363"/>
      <c r="O128" s="363"/>
      <c r="P128" s="363"/>
      <c r="Q128" s="363"/>
      <c r="R128" s="363"/>
      <c r="S128" s="363"/>
      <c r="T128" s="363"/>
      <c r="U128" s="363"/>
      <c r="V128" s="363"/>
      <c r="W128" s="363"/>
      <c r="X128" s="363"/>
      <c r="Y128" s="363"/>
      <c r="Z128" s="363"/>
    </row>
    <row r="129" spans="1:26" ht="13.5" customHeight="1" x14ac:dyDescent="0.2">
      <c r="A129" s="386">
        <f t="shared" si="0"/>
        <v>12</v>
      </c>
      <c r="B129" s="387">
        <f t="shared" si="4"/>
        <v>144</v>
      </c>
      <c r="C129" s="398">
        <f t="shared" si="5"/>
        <v>50496</v>
      </c>
      <c r="D129" s="389">
        <f t="shared" si="6"/>
        <v>1583810.5941570941</v>
      </c>
      <c r="E129" s="389">
        <f t="shared" si="1"/>
        <v>8249.0135112348653</v>
      </c>
      <c r="F129" s="389">
        <f>($C$14-E129)*(B129&lt;$C$9*12+$B$22)*(B129&gt;INPUTS!$R$20*12+$B$22-1)</f>
        <v>4781.0456229765277</v>
      </c>
      <c r="G129" s="389">
        <f t="shared" si="2"/>
        <v>1579029.5485341176</v>
      </c>
      <c r="H129" s="389">
        <f t="shared" si="3"/>
        <v>1006392.8136503348</v>
      </c>
      <c r="I129" s="363"/>
      <c r="J129" s="363"/>
      <c r="K129" s="363"/>
      <c r="L129" s="363"/>
      <c r="M129" s="363"/>
      <c r="N129" s="363"/>
      <c r="O129" s="363"/>
      <c r="P129" s="363"/>
      <c r="Q129" s="363"/>
      <c r="R129" s="363"/>
      <c r="S129" s="363"/>
      <c r="T129" s="363"/>
      <c r="U129" s="363"/>
      <c r="V129" s="363"/>
      <c r="W129" s="363"/>
      <c r="X129" s="363"/>
      <c r="Y129" s="363"/>
      <c r="Z129" s="363"/>
    </row>
    <row r="130" spans="1:26" ht="13.5" customHeight="1" x14ac:dyDescent="0.2">
      <c r="A130" s="386">
        <f t="shared" si="0"/>
        <v>13</v>
      </c>
      <c r="B130" s="387">
        <f t="shared" si="4"/>
        <v>145</v>
      </c>
      <c r="C130" s="398">
        <f t="shared" si="5"/>
        <v>50526</v>
      </c>
      <c r="D130" s="389">
        <f t="shared" si="6"/>
        <v>1579029.5485341176</v>
      </c>
      <c r="E130" s="389">
        <f t="shared" si="1"/>
        <v>8224.1122319485294</v>
      </c>
      <c r="F130" s="389">
        <f>($C$14-E130)*(B130&lt;$C$9*12+$B$22)*(B130&gt;INPUTS!$R$20*12+$B$22-1)</f>
        <v>4805.9469022628637</v>
      </c>
      <c r="G130" s="389">
        <f t="shared" si="2"/>
        <v>1574223.6016318547</v>
      </c>
      <c r="H130" s="389">
        <f t="shared" si="3"/>
        <v>1014616.9258822834</v>
      </c>
      <c r="I130" s="363"/>
      <c r="J130" s="363"/>
      <c r="K130" s="363"/>
      <c r="L130" s="363"/>
      <c r="M130" s="363"/>
      <c r="N130" s="363"/>
      <c r="O130" s="363"/>
      <c r="P130" s="363"/>
      <c r="Q130" s="363"/>
      <c r="R130" s="363"/>
      <c r="S130" s="363"/>
      <c r="T130" s="363"/>
      <c r="U130" s="363"/>
      <c r="V130" s="363"/>
      <c r="W130" s="363"/>
      <c r="X130" s="363"/>
      <c r="Y130" s="363"/>
      <c r="Z130" s="363"/>
    </row>
    <row r="131" spans="1:26" ht="13.5" customHeight="1" x14ac:dyDescent="0.2">
      <c r="A131" s="386">
        <f t="shared" si="0"/>
        <v>13</v>
      </c>
      <c r="B131" s="387">
        <f t="shared" si="4"/>
        <v>146</v>
      </c>
      <c r="C131" s="398">
        <f t="shared" si="5"/>
        <v>50557</v>
      </c>
      <c r="D131" s="389">
        <f t="shared" si="6"/>
        <v>1574223.6016318547</v>
      </c>
      <c r="E131" s="389">
        <f t="shared" si="1"/>
        <v>8199.0812584992436</v>
      </c>
      <c r="F131" s="389">
        <f>($C$14-E131)*(B131&lt;$C$9*12+$B$22)*(B131&gt;INPUTS!$R$20*12+$B$22-1)</f>
        <v>4830.9778757121494</v>
      </c>
      <c r="G131" s="389">
        <f t="shared" si="2"/>
        <v>1569392.6237561426</v>
      </c>
      <c r="H131" s="389">
        <f t="shared" si="3"/>
        <v>1022816.0071407827</v>
      </c>
      <c r="I131" s="363"/>
      <c r="J131" s="363"/>
      <c r="K131" s="363"/>
      <c r="L131" s="363"/>
      <c r="M131" s="363"/>
      <c r="N131" s="363"/>
      <c r="O131" s="363"/>
      <c r="P131" s="363"/>
      <c r="Q131" s="363"/>
      <c r="R131" s="363"/>
      <c r="S131" s="363"/>
      <c r="T131" s="363"/>
      <c r="U131" s="363"/>
      <c r="V131" s="363"/>
      <c r="W131" s="363"/>
      <c r="X131" s="363"/>
      <c r="Y131" s="363"/>
      <c r="Z131" s="363"/>
    </row>
    <row r="132" spans="1:26" ht="13.5" customHeight="1" x14ac:dyDescent="0.2">
      <c r="A132" s="386">
        <f t="shared" si="0"/>
        <v>13</v>
      </c>
      <c r="B132" s="387">
        <f t="shared" si="4"/>
        <v>147</v>
      </c>
      <c r="C132" s="398">
        <f t="shared" si="5"/>
        <v>50587</v>
      </c>
      <c r="D132" s="389">
        <f t="shared" si="6"/>
        <v>1569392.6237561426</v>
      </c>
      <c r="E132" s="389">
        <f t="shared" si="1"/>
        <v>8173.9199153965756</v>
      </c>
      <c r="F132" s="389">
        <f>($C$14-E132)*(B132&lt;$C$9*12+$B$22)*(B132&gt;INPUTS!$R$20*12+$B$22-1)</f>
        <v>4856.1392188148175</v>
      </c>
      <c r="G132" s="389">
        <f t="shared" si="2"/>
        <v>1564536.4845373277</v>
      </c>
      <c r="H132" s="389">
        <f t="shared" si="3"/>
        <v>1030989.9270561793</v>
      </c>
      <c r="I132" s="363"/>
      <c r="J132" s="363"/>
      <c r="K132" s="363"/>
      <c r="L132" s="363"/>
      <c r="M132" s="363"/>
      <c r="N132" s="363"/>
      <c r="O132" s="363"/>
      <c r="P132" s="363"/>
      <c r="Q132" s="363"/>
      <c r="R132" s="363"/>
      <c r="S132" s="363"/>
      <c r="T132" s="363"/>
      <c r="U132" s="363"/>
      <c r="V132" s="363"/>
      <c r="W132" s="363"/>
      <c r="X132" s="363"/>
      <c r="Y132" s="363"/>
      <c r="Z132" s="363"/>
    </row>
    <row r="133" spans="1:26" ht="13.5" customHeight="1" x14ac:dyDescent="0.2">
      <c r="A133" s="386">
        <f t="shared" si="0"/>
        <v>13</v>
      </c>
      <c r="B133" s="387">
        <f t="shared" si="4"/>
        <v>148</v>
      </c>
      <c r="C133" s="398">
        <f t="shared" si="5"/>
        <v>50618</v>
      </c>
      <c r="D133" s="389">
        <f t="shared" si="6"/>
        <v>1564536.4845373277</v>
      </c>
      <c r="E133" s="389">
        <f t="shared" si="1"/>
        <v>8148.6275236319152</v>
      </c>
      <c r="F133" s="389">
        <f>($C$14-E133)*(B133&lt;$C$9*12+$B$22)*(B133&gt;INPUTS!$R$20*12+$B$22-1)</f>
        <v>4881.4316105794778</v>
      </c>
      <c r="G133" s="389">
        <f t="shared" si="2"/>
        <v>1559655.0529267483</v>
      </c>
      <c r="H133" s="389">
        <f t="shared" si="3"/>
        <v>1039138.5545798112</v>
      </c>
      <c r="I133" s="363"/>
      <c r="J133" s="363"/>
      <c r="K133" s="363"/>
      <c r="L133" s="363"/>
      <c r="M133" s="363"/>
      <c r="N133" s="363"/>
      <c r="O133" s="363"/>
      <c r="P133" s="363"/>
      <c r="Q133" s="363"/>
      <c r="R133" s="363"/>
      <c r="S133" s="363"/>
      <c r="T133" s="363"/>
      <c r="U133" s="363"/>
      <c r="V133" s="363"/>
      <c r="W133" s="363"/>
      <c r="X133" s="363"/>
      <c r="Y133" s="363"/>
      <c r="Z133" s="363"/>
    </row>
    <row r="134" spans="1:26" ht="13.5" customHeight="1" x14ac:dyDescent="0.2">
      <c r="A134" s="386">
        <f t="shared" si="0"/>
        <v>13</v>
      </c>
      <c r="B134" s="387">
        <f t="shared" si="4"/>
        <v>149</v>
      </c>
      <c r="C134" s="398">
        <f t="shared" si="5"/>
        <v>50649</v>
      </c>
      <c r="D134" s="389">
        <f t="shared" si="6"/>
        <v>1559655.0529267483</v>
      </c>
      <c r="E134" s="389">
        <f t="shared" si="1"/>
        <v>8123.2034006601471</v>
      </c>
      <c r="F134" s="389">
        <f>($C$14-E134)*(B134&lt;$C$9*12+$B$22)*(B134&gt;INPUTS!$R$20*12+$B$22-1)</f>
        <v>4906.855733551246</v>
      </c>
      <c r="G134" s="389">
        <f t="shared" si="2"/>
        <v>1554748.197193197</v>
      </c>
      <c r="H134" s="389">
        <f t="shared" si="3"/>
        <v>1047261.7579804714</v>
      </c>
      <c r="I134" s="363"/>
      <c r="J134" s="363"/>
      <c r="K134" s="363"/>
      <c r="L134" s="363"/>
      <c r="M134" s="363"/>
      <c r="N134" s="363"/>
      <c r="O134" s="363"/>
      <c r="P134" s="363"/>
      <c r="Q134" s="363"/>
      <c r="R134" s="363"/>
      <c r="S134" s="363"/>
      <c r="T134" s="363"/>
      <c r="U134" s="363"/>
      <c r="V134" s="363"/>
      <c r="W134" s="363"/>
      <c r="X134" s="363"/>
      <c r="Y134" s="363"/>
      <c r="Z134" s="363"/>
    </row>
    <row r="135" spans="1:26" ht="13.5" customHeight="1" x14ac:dyDescent="0.2">
      <c r="A135" s="386">
        <f t="shared" si="0"/>
        <v>13</v>
      </c>
      <c r="B135" s="387">
        <f t="shared" si="4"/>
        <v>150</v>
      </c>
      <c r="C135" s="398">
        <f t="shared" si="5"/>
        <v>50679</v>
      </c>
      <c r="D135" s="389">
        <f t="shared" si="6"/>
        <v>1554748.197193197</v>
      </c>
      <c r="E135" s="389">
        <f t="shared" si="1"/>
        <v>8097.6468603812345</v>
      </c>
      <c r="F135" s="389">
        <f>($C$14-E135)*(B135&lt;$C$9*12+$B$22)*(B135&gt;INPUTS!$R$20*12+$B$22-1)</f>
        <v>4932.4122738301585</v>
      </c>
      <c r="G135" s="389">
        <f t="shared" si="2"/>
        <v>1549815.7849193667</v>
      </c>
      <c r="H135" s="389">
        <f t="shared" si="3"/>
        <v>1055359.4048408526</v>
      </c>
      <c r="I135" s="363"/>
      <c r="J135" s="363"/>
      <c r="K135" s="363"/>
      <c r="L135" s="363"/>
      <c r="M135" s="363"/>
      <c r="N135" s="363"/>
      <c r="O135" s="363"/>
      <c r="P135" s="363"/>
      <c r="Q135" s="363"/>
      <c r="R135" s="363"/>
      <c r="S135" s="363"/>
      <c r="T135" s="363"/>
      <c r="U135" s="363"/>
      <c r="V135" s="363"/>
      <c r="W135" s="363"/>
      <c r="X135" s="363"/>
      <c r="Y135" s="363"/>
      <c r="Z135" s="363"/>
    </row>
    <row r="136" spans="1:26" ht="13.5" customHeight="1" x14ac:dyDescent="0.2">
      <c r="A136" s="386">
        <f t="shared" si="0"/>
        <v>13</v>
      </c>
      <c r="B136" s="387">
        <f t="shared" si="4"/>
        <v>151</v>
      </c>
      <c r="C136" s="398">
        <f t="shared" si="5"/>
        <v>50710</v>
      </c>
      <c r="D136" s="389">
        <f t="shared" si="6"/>
        <v>1549815.7849193667</v>
      </c>
      <c r="E136" s="389">
        <f t="shared" si="1"/>
        <v>8071.9572131217019</v>
      </c>
      <c r="F136" s="389">
        <f>($C$14-E136)*(B136&lt;$C$9*12+$B$22)*(B136&gt;INPUTS!$R$20*12+$B$22-1)</f>
        <v>4958.1019210896911</v>
      </c>
      <c r="G136" s="389">
        <f t="shared" si="2"/>
        <v>1544857.682998277</v>
      </c>
      <c r="H136" s="389">
        <f t="shared" si="3"/>
        <v>1063431.3620539743</v>
      </c>
      <c r="I136" s="363"/>
      <c r="J136" s="363"/>
      <c r="K136" s="363"/>
      <c r="L136" s="363"/>
      <c r="M136" s="363"/>
      <c r="N136" s="363"/>
      <c r="O136" s="363"/>
      <c r="P136" s="363"/>
      <c r="Q136" s="363"/>
      <c r="R136" s="363"/>
      <c r="S136" s="363"/>
      <c r="T136" s="363"/>
      <c r="U136" s="363"/>
      <c r="V136" s="363"/>
      <c r="W136" s="363"/>
      <c r="X136" s="363"/>
      <c r="Y136" s="363"/>
      <c r="Z136" s="363"/>
    </row>
    <row r="137" spans="1:26" ht="13.5" customHeight="1" x14ac:dyDescent="0.2">
      <c r="A137" s="386">
        <f t="shared" si="0"/>
        <v>13</v>
      </c>
      <c r="B137" s="387">
        <f t="shared" si="4"/>
        <v>152</v>
      </c>
      <c r="C137" s="398">
        <f t="shared" si="5"/>
        <v>50740</v>
      </c>
      <c r="D137" s="389">
        <f t="shared" si="6"/>
        <v>1544857.682998277</v>
      </c>
      <c r="E137" s="389">
        <f t="shared" si="1"/>
        <v>8046.1337656160258</v>
      </c>
      <c r="F137" s="389">
        <f>($C$14-E137)*(B137&lt;$C$9*12+$B$22)*(B137&gt;INPUTS!$R$20*12+$B$22-1)</f>
        <v>4983.9253685953672</v>
      </c>
      <c r="G137" s="389">
        <f t="shared" si="2"/>
        <v>1539873.7576296816</v>
      </c>
      <c r="H137" s="389">
        <f t="shared" si="3"/>
        <v>1071477.4958195903</v>
      </c>
      <c r="I137" s="363"/>
      <c r="J137" s="363"/>
      <c r="K137" s="363"/>
      <c r="L137" s="363"/>
      <c r="M137" s="363"/>
      <c r="N137" s="363"/>
      <c r="O137" s="363"/>
      <c r="P137" s="363"/>
      <c r="Q137" s="363"/>
      <c r="R137" s="363"/>
      <c r="S137" s="363"/>
      <c r="T137" s="363"/>
      <c r="U137" s="363"/>
      <c r="V137" s="363"/>
      <c r="W137" s="363"/>
      <c r="X137" s="363"/>
      <c r="Y137" s="363"/>
      <c r="Z137" s="363"/>
    </row>
    <row r="138" spans="1:26" ht="13.5" customHeight="1" x14ac:dyDescent="0.2">
      <c r="A138" s="386">
        <f t="shared" si="0"/>
        <v>13</v>
      </c>
      <c r="B138" s="387">
        <f t="shared" si="4"/>
        <v>153</v>
      </c>
      <c r="C138" s="398">
        <f t="shared" si="5"/>
        <v>50771</v>
      </c>
      <c r="D138" s="389">
        <f t="shared" si="6"/>
        <v>1539873.7576296816</v>
      </c>
      <c r="E138" s="389">
        <f t="shared" si="1"/>
        <v>8020.1758209879254</v>
      </c>
      <c r="F138" s="389">
        <f>($C$14-E138)*(B138&lt;$C$9*12+$B$22)*(B138&gt;INPUTS!$R$20*12+$B$22-1)</f>
        <v>5009.8833132234677</v>
      </c>
      <c r="G138" s="389">
        <f t="shared" si="2"/>
        <v>1534863.8743164581</v>
      </c>
      <c r="H138" s="389">
        <f t="shared" si="3"/>
        <v>1079497.6716405782</v>
      </c>
      <c r="I138" s="363"/>
      <c r="J138" s="363"/>
      <c r="K138" s="363"/>
      <c r="L138" s="363"/>
      <c r="M138" s="363"/>
      <c r="N138" s="363"/>
      <c r="O138" s="363"/>
      <c r="P138" s="363"/>
      <c r="Q138" s="363"/>
      <c r="R138" s="363"/>
      <c r="S138" s="363"/>
      <c r="T138" s="363"/>
      <c r="U138" s="363"/>
      <c r="V138" s="363"/>
      <c r="W138" s="363"/>
      <c r="X138" s="363"/>
      <c r="Y138" s="363"/>
      <c r="Z138" s="363"/>
    </row>
    <row r="139" spans="1:26" ht="13.5" customHeight="1" x14ac:dyDescent="0.2">
      <c r="A139" s="386">
        <f t="shared" si="0"/>
        <v>13</v>
      </c>
      <c r="B139" s="387">
        <f t="shared" si="4"/>
        <v>154</v>
      </c>
      <c r="C139" s="398">
        <f t="shared" si="5"/>
        <v>50802</v>
      </c>
      <c r="D139" s="389">
        <f t="shared" si="6"/>
        <v>1534863.8743164581</v>
      </c>
      <c r="E139" s="389">
        <f t="shared" si="1"/>
        <v>7994.0826787315527</v>
      </c>
      <c r="F139" s="389">
        <f>($C$14-E139)*(B139&lt;$C$9*12+$B$22)*(B139&gt;INPUTS!$R$20*12+$B$22-1)</f>
        <v>5035.9764554798403</v>
      </c>
      <c r="G139" s="389">
        <f t="shared" si="2"/>
        <v>1529827.8978609783</v>
      </c>
      <c r="H139" s="389">
        <f t="shared" si="3"/>
        <v>1087491.7543193097</v>
      </c>
      <c r="I139" s="363"/>
      <c r="J139" s="363"/>
      <c r="K139" s="363"/>
      <c r="L139" s="363"/>
      <c r="M139" s="363"/>
      <c r="N139" s="363"/>
      <c r="O139" s="363"/>
      <c r="P139" s="363"/>
      <c r="Q139" s="363"/>
      <c r="R139" s="363"/>
      <c r="S139" s="363"/>
      <c r="T139" s="363"/>
      <c r="U139" s="363"/>
      <c r="V139" s="363"/>
      <c r="W139" s="363"/>
      <c r="X139" s="363"/>
      <c r="Y139" s="363"/>
      <c r="Z139" s="363"/>
    </row>
    <row r="140" spans="1:26" ht="13.5" customHeight="1" x14ac:dyDescent="0.2">
      <c r="A140" s="386">
        <f t="shared" si="0"/>
        <v>13</v>
      </c>
      <c r="B140" s="387">
        <f t="shared" si="4"/>
        <v>155</v>
      </c>
      <c r="C140" s="398">
        <f t="shared" si="5"/>
        <v>50830</v>
      </c>
      <c r="D140" s="389">
        <f t="shared" si="6"/>
        <v>1529827.8978609783</v>
      </c>
      <c r="E140" s="389">
        <f t="shared" si="1"/>
        <v>7967.8536346925948</v>
      </c>
      <c r="F140" s="389">
        <f>($C$14-E140)*(B140&lt;$C$9*12+$B$22)*(B140&gt;INPUTS!$R$20*12+$B$22-1)</f>
        <v>5062.2054995187982</v>
      </c>
      <c r="G140" s="389">
        <f t="shared" si="2"/>
        <v>1524765.6923614594</v>
      </c>
      <c r="H140" s="389">
        <f t="shared" si="3"/>
        <v>1095459.6079540022</v>
      </c>
      <c r="I140" s="363"/>
      <c r="J140" s="363"/>
      <c r="K140" s="363"/>
      <c r="L140" s="363"/>
      <c r="M140" s="363"/>
      <c r="N140" s="363"/>
      <c r="O140" s="363"/>
      <c r="P140" s="363"/>
      <c r="Q140" s="363"/>
      <c r="R140" s="363"/>
      <c r="S140" s="363"/>
      <c r="T140" s="363"/>
      <c r="U140" s="363"/>
      <c r="V140" s="363"/>
      <c r="W140" s="363"/>
      <c r="X140" s="363"/>
      <c r="Y140" s="363"/>
      <c r="Z140" s="363"/>
    </row>
    <row r="141" spans="1:26" ht="13.5" customHeight="1" x14ac:dyDescent="0.2">
      <c r="A141" s="386">
        <f t="shared" si="0"/>
        <v>13</v>
      </c>
      <c r="B141" s="387">
        <f t="shared" si="4"/>
        <v>156</v>
      </c>
      <c r="C141" s="398">
        <f t="shared" si="5"/>
        <v>50861</v>
      </c>
      <c r="D141" s="389">
        <f t="shared" si="6"/>
        <v>1524765.6923614594</v>
      </c>
      <c r="E141" s="389">
        <f t="shared" si="1"/>
        <v>7941.4879810492675</v>
      </c>
      <c r="F141" s="389">
        <f>($C$14-E141)*(B141&lt;$C$9*12+$B$22)*(B141&gt;INPUTS!$R$20*12+$B$22-1)</f>
        <v>5088.5711531621255</v>
      </c>
      <c r="G141" s="389">
        <f t="shared" si="2"/>
        <v>1519677.1212082973</v>
      </c>
      <c r="H141" s="389">
        <f t="shared" si="3"/>
        <v>1103401.0959350516</v>
      </c>
      <c r="I141" s="363"/>
      <c r="J141" s="363"/>
      <c r="K141" s="363"/>
      <c r="L141" s="363"/>
      <c r="M141" s="363"/>
      <c r="N141" s="363"/>
      <c r="O141" s="363"/>
      <c r="P141" s="363"/>
      <c r="Q141" s="363"/>
      <c r="R141" s="363"/>
      <c r="S141" s="363"/>
      <c r="T141" s="363"/>
      <c r="U141" s="363"/>
      <c r="V141" s="363"/>
      <c r="W141" s="363"/>
      <c r="X141" s="363"/>
      <c r="Y141" s="363"/>
      <c r="Z141" s="363"/>
    </row>
    <row r="142" spans="1:26" ht="13.5" customHeight="1" x14ac:dyDescent="0.2">
      <c r="A142" s="386">
        <f t="shared" si="0"/>
        <v>14</v>
      </c>
      <c r="B142" s="387">
        <f t="shared" si="4"/>
        <v>157</v>
      </c>
      <c r="C142" s="398">
        <f t="shared" si="5"/>
        <v>50891</v>
      </c>
      <c r="D142" s="389">
        <f t="shared" si="6"/>
        <v>1519677.1212082973</v>
      </c>
      <c r="E142" s="389">
        <f t="shared" si="1"/>
        <v>7914.9850062932155</v>
      </c>
      <c r="F142" s="389">
        <f>($C$14-E142)*(B142&lt;$C$9*12+$B$22)*(B142&gt;INPUTS!$R$20*12+$B$22-1)</f>
        <v>5115.0741279181775</v>
      </c>
      <c r="G142" s="389">
        <f t="shared" si="2"/>
        <v>1514562.0470803792</v>
      </c>
      <c r="H142" s="389">
        <f t="shared" si="3"/>
        <v>1111316.0809413448</v>
      </c>
      <c r="I142" s="363"/>
      <c r="J142" s="363"/>
      <c r="K142" s="363"/>
      <c r="L142" s="363"/>
      <c r="M142" s="363"/>
      <c r="N142" s="363"/>
      <c r="O142" s="363"/>
      <c r="P142" s="363"/>
      <c r="Q142" s="363"/>
      <c r="R142" s="363"/>
      <c r="S142" s="363"/>
      <c r="T142" s="363"/>
      <c r="U142" s="363"/>
      <c r="V142" s="363"/>
      <c r="W142" s="363"/>
      <c r="X142" s="363"/>
      <c r="Y142" s="363"/>
      <c r="Z142" s="363"/>
    </row>
    <row r="143" spans="1:26" ht="13.5" customHeight="1" x14ac:dyDescent="0.2">
      <c r="A143" s="386">
        <f t="shared" si="0"/>
        <v>14</v>
      </c>
      <c r="B143" s="387">
        <f t="shared" si="4"/>
        <v>158</v>
      </c>
      <c r="C143" s="398">
        <f t="shared" si="5"/>
        <v>50922</v>
      </c>
      <c r="D143" s="389">
        <f t="shared" si="6"/>
        <v>1514562.0470803792</v>
      </c>
      <c r="E143" s="389">
        <f t="shared" si="1"/>
        <v>7888.3439952103081</v>
      </c>
      <c r="F143" s="389">
        <f>($C$14-E143)*(B143&lt;$C$9*12+$B$22)*(B143&gt;INPUTS!$R$20*12+$B$22-1)</f>
        <v>5141.7151390010849</v>
      </c>
      <c r="G143" s="389">
        <f t="shared" si="2"/>
        <v>1509420.3319413781</v>
      </c>
      <c r="H143" s="389">
        <f t="shared" si="3"/>
        <v>1119204.4249365551</v>
      </c>
      <c r="I143" s="363"/>
      <c r="J143" s="363"/>
      <c r="K143" s="363"/>
      <c r="L143" s="363"/>
      <c r="M143" s="363"/>
      <c r="N143" s="363"/>
      <c r="O143" s="363"/>
      <c r="P143" s="363"/>
      <c r="Q143" s="363"/>
      <c r="R143" s="363"/>
      <c r="S143" s="363"/>
      <c r="T143" s="363"/>
      <c r="U143" s="363"/>
      <c r="V143" s="363"/>
      <c r="W143" s="363"/>
      <c r="X143" s="363"/>
      <c r="Y143" s="363"/>
      <c r="Z143" s="363"/>
    </row>
    <row r="144" spans="1:26" ht="13.5" customHeight="1" x14ac:dyDescent="0.2">
      <c r="A144" s="386">
        <f t="shared" si="0"/>
        <v>14</v>
      </c>
      <c r="B144" s="387">
        <f t="shared" si="4"/>
        <v>159</v>
      </c>
      <c r="C144" s="398">
        <f t="shared" si="5"/>
        <v>50952</v>
      </c>
      <c r="D144" s="389">
        <f t="shared" si="6"/>
        <v>1509420.3319413781</v>
      </c>
      <c r="E144" s="389">
        <f t="shared" si="1"/>
        <v>7861.5642288613444</v>
      </c>
      <c r="F144" s="389">
        <f>($C$14-E144)*(B144&lt;$C$9*12+$B$22)*(B144&gt;INPUTS!$R$20*12+$B$22-1)</f>
        <v>5168.4949053500486</v>
      </c>
      <c r="G144" s="389">
        <f t="shared" si="2"/>
        <v>1504251.837036028</v>
      </c>
      <c r="H144" s="389">
        <f t="shared" si="3"/>
        <v>1127065.9891654165</v>
      </c>
      <c r="I144" s="363"/>
      <c r="J144" s="363"/>
      <c r="K144" s="363"/>
      <c r="L144" s="363"/>
      <c r="M144" s="363"/>
      <c r="N144" s="363"/>
      <c r="O144" s="363"/>
      <c r="P144" s="363"/>
      <c r="Q144" s="363"/>
      <c r="R144" s="363"/>
      <c r="S144" s="363"/>
      <c r="T144" s="363"/>
      <c r="U144" s="363"/>
      <c r="V144" s="363"/>
      <c r="W144" s="363"/>
      <c r="X144" s="363"/>
      <c r="Y144" s="363"/>
      <c r="Z144" s="363"/>
    </row>
    <row r="145" spans="1:26" ht="13.5" customHeight="1" x14ac:dyDescent="0.2">
      <c r="A145" s="386">
        <f t="shared" si="0"/>
        <v>14</v>
      </c>
      <c r="B145" s="387">
        <f t="shared" si="4"/>
        <v>160</v>
      </c>
      <c r="C145" s="398">
        <f t="shared" si="5"/>
        <v>50983</v>
      </c>
      <c r="D145" s="389">
        <f t="shared" si="6"/>
        <v>1504251.837036028</v>
      </c>
      <c r="E145" s="389">
        <f t="shared" si="1"/>
        <v>7834.6449845626457</v>
      </c>
      <c r="F145" s="389">
        <f>($C$14-E145)*(B145&lt;$C$9*12+$B$22)*(B145&gt;INPUTS!$R$20*12+$B$22-1)</f>
        <v>5195.4141496487473</v>
      </c>
      <c r="G145" s="389">
        <f t="shared" si="2"/>
        <v>1499056.4228863793</v>
      </c>
      <c r="H145" s="389">
        <f t="shared" si="3"/>
        <v>1134900.6341499791</v>
      </c>
      <c r="I145" s="363"/>
      <c r="J145" s="363"/>
      <c r="K145" s="363"/>
      <c r="L145" s="363"/>
      <c r="M145" s="363"/>
      <c r="N145" s="363"/>
      <c r="O145" s="363"/>
      <c r="P145" s="363"/>
      <c r="Q145" s="363"/>
      <c r="R145" s="363"/>
      <c r="S145" s="363"/>
      <c r="T145" s="363"/>
      <c r="U145" s="363"/>
      <c r="V145" s="363"/>
      <c r="W145" s="363"/>
      <c r="X145" s="363"/>
      <c r="Y145" s="363"/>
      <c r="Z145" s="363"/>
    </row>
    <row r="146" spans="1:26" ht="13.5" customHeight="1" x14ac:dyDescent="0.2">
      <c r="A146" s="386">
        <f t="shared" si="0"/>
        <v>14</v>
      </c>
      <c r="B146" s="387">
        <f t="shared" si="4"/>
        <v>161</v>
      </c>
      <c r="C146" s="398">
        <f t="shared" si="5"/>
        <v>51014</v>
      </c>
      <c r="D146" s="389">
        <f t="shared" si="6"/>
        <v>1499056.4228863793</v>
      </c>
      <c r="E146" s="389">
        <f t="shared" si="1"/>
        <v>7807.5855358665585</v>
      </c>
      <c r="F146" s="389">
        <f>($C$14-E146)*(B146&lt;$C$9*12+$B$22)*(B146&gt;INPUTS!$R$20*12+$B$22-1)</f>
        <v>5222.4735983448345</v>
      </c>
      <c r="G146" s="389">
        <f t="shared" si="2"/>
        <v>1493833.9492880343</v>
      </c>
      <c r="H146" s="389">
        <f t="shared" si="3"/>
        <v>1142708.2196858458</v>
      </c>
      <c r="I146" s="363"/>
      <c r="J146" s="363"/>
      <c r="K146" s="363"/>
      <c r="L146" s="363"/>
      <c r="M146" s="363"/>
      <c r="N146" s="363"/>
      <c r="O146" s="363"/>
      <c r="P146" s="363"/>
      <c r="Q146" s="363"/>
      <c r="R146" s="363"/>
      <c r="S146" s="363"/>
      <c r="T146" s="363"/>
      <c r="U146" s="363"/>
      <c r="V146" s="363"/>
      <c r="W146" s="363"/>
      <c r="X146" s="363"/>
      <c r="Y146" s="363"/>
      <c r="Z146" s="363"/>
    </row>
    <row r="147" spans="1:26" ht="13.5" customHeight="1" x14ac:dyDescent="0.2">
      <c r="A147" s="386">
        <f t="shared" si="0"/>
        <v>14</v>
      </c>
      <c r="B147" s="387">
        <f t="shared" si="4"/>
        <v>162</v>
      </c>
      <c r="C147" s="398">
        <f t="shared" si="5"/>
        <v>51044</v>
      </c>
      <c r="D147" s="389">
        <f t="shared" si="6"/>
        <v>1493833.9492880343</v>
      </c>
      <c r="E147" s="389">
        <f t="shared" si="1"/>
        <v>7780.3851525418459</v>
      </c>
      <c r="F147" s="389">
        <f>($C$14-E147)*(B147&lt;$C$9*12+$B$22)*(B147&gt;INPUTS!$R$20*12+$B$22-1)</f>
        <v>5249.6739816695472</v>
      </c>
      <c r="G147" s="389">
        <f t="shared" si="2"/>
        <v>1488584.2753063648</v>
      </c>
      <c r="H147" s="389">
        <f t="shared" si="3"/>
        <v>1150488.6048383876</v>
      </c>
      <c r="I147" s="363"/>
      <c r="J147" s="363"/>
      <c r="K147" s="363"/>
      <c r="L147" s="363"/>
      <c r="M147" s="363"/>
      <c r="N147" s="363"/>
      <c r="O147" s="363"/>
      <c r="P147" s="363"/>
      <c r="Q147" s="363"/>
      <c r="R147" s="363"/>
      <c r="S147" s="363"/>
      <c r="T147" s="363"/>
      <c r="U147" s="363"/>
      <c r="V147" s="363"/>
      <c r="W147" s="363"/>
      <c r="X147" s="363"/>
      <c r="Y147" s="363"/>
      <c r="Z147" s="363"/>
    </row>
    <row r="148" spans="1:26" ht="13.5" customHeight="1" x14ac:dyDescent="0.2">
      <c r="A148" s="386">
        <f t="shared" si="0"/>
        <v>14</v>
      </c>
      <c r="B148" s="387">
        <f t="shared" si="4"/>
        <v>163</v>
      </c>
      <c r="C148" s="398">
        <f t="shared" si="5"/>
        <v>51075</v>
      </c>
      <c r="D148" s="389">
        <f t="shared" si="6"/>
        <v>1488584.2753063648</v>
      </c>
      <c r="E148" s="389">
        <f t="shared" si="1"/>
        <v>7753.0431005539831</v>
      </c>
      <c r="F148" s="389">
        <f>($C$14-E148)*(B148&lt;$C$9*12+$B$22)*(B148&gt;INPUTS!$R$20*12+$B$22-1)</f>
        <v>5277.0160336574099</v>
      </c>
      <c r="G148" s="389">
        <f t="shared" si="2"/>
        <v>1483307.2592727074</v>
      </c>
      <c r="H148" s="389">
        <f t="shared" si="3"/>
        <v>1158241.6479389416</v>
      </c>
      <c r="I148" s="363"/>
      <c r="J148" s="363"/>
      <c r="K148" s="363"/>
      <c r="L148" s="363"/>
      <c r="M148" s="363"/>
      <c r="N148" s="363"/>
      <c r="O148" s="363"/>
      <c r="P148" s="363"/>
      <c r="Q148" s="363"/>
      <c r="R148" s="363"/>
      <c r="S148" s="363"/>
      <c r="T148" s="363"/>
      <c r="U148" s="363"/>
      <c r="V148" s="363"/>
      <c r="W148" s="363"/>
      <c r="X148" s="363"/>
      <c r="Y148" s="363"/>
      <c r="Z148" s="363"/>
    </row>
    <row r="149" spans="1:26" ht="13.5" customHeight="1" x14ac:dyDescent="0.2">
      <c r="A149" s="386">
        <f t="shared" si="0"/>
        <v>14</v>
      </c>
      <c r="B149" s="387">
        <f t="shared" si="4"/>
        <v>164</v>
      </c>
      <c r="C149" s="398">
        <f t="shared" si="5"/>
        <v>51105</v>
      </c>
      <c r="D149" s="389">
        <f t="shared" si="6"/>
        <v>1483307.2592727074</v>
      </c>
      <c r="E149" s="389">
        <f t="shared" si="1"/>
        <v>7725.558642045351</v>
      </c>
      <c r="F149" s="389">
        <f>($C$14-E149)*(B149&lt;$C$9*12+$B$22)*(B149&gt;INPUTS!$R$20*12+$B$22-1)</f>
        <v>5304.500492166042</v>
      </c>
      <c r="G149" s="389">
        <f t="shared" si="2"/>
        <v>1478002.7587805414</v>
      </c>
      <c r="H149" s="389">
        <f t="shared" si="3"/>
        <v>1165967.206580987</v>
      </c>
      <c r="I149" s="363"/>
      <c r="J149" s="363"/>
      <c r="K149" s="363"/>
      <c r="L149" s="363"/>
      <c r="M149" s="363"/>
      <c r="N149" s="363"/>
      <c r="O149" s="363"/>
      <c r="P149" s="363"/>
      <c r="Q149" s="363"/>
      <c r="R149" s="363"/>
      <c r="S149" s="363"/>
      <c r="T149" s="363"/>
      <c r="U149" s="363"/>
      <c r="V149" s="363"/>
      <c r="W149" s="363"/>
      <c r="X149" s="363"/>
      <c r="Y149" s="363"/>
      <c r="Z149" s="363"/>
    </row>
    <row r="150" spans="1:26" ht="13.5" customHeight="1" x14ac:dyDescent="0.2">
      <c r="A150" s="386">
        <f t="shared" si="0"/>
        <v>14</v>
      </c>
      <c r="B150" s="387">
        <f t="shared" si="4"/>
        <v>165</v>
      </c>
      <c r="C150" s="398">
        <f t="shared" si="5"/>
        <v>51136</v>
      </c>
      <c r="D150" s="389">
        <f t="shared" si="6"/>
        <v>1478002.7587805414</v>
      </c>
      <c r="E150" s="389">
        <f t="shared" si="1"/>
        <v>7697.9310353153196</v>
      </c>
      <c r="F150" s="389">
        <f>($C$14-E150)*(B150&lt;$C$9*12+$B$22)*(B150&gt;INPUTS!$R$20*12+$B$22-1)</f>
        <v>5332.1280988960734</v>
      </c>
      <c r="G150" s="389">
        <f t="shared" si="2"/>
        <v>1472670.6306816454</v>
      </c>
      <c r="H150" s="389">
        <f t="shared" si="3"/>
        <v>1173665.1376163024</v>
      </c>
      <c r="I150" s="363"/>
      <c r="J150" s="363"/>
      <c r="K150" s="363"/>
      <c r="L150" s="363"/>
      <c r="M150" s="363"/>
      <c r="N150" s="363"/>
      <c r="O150" s="363"/>
      <c r="P150" s="363"/>
      <c r="Q150" s="363"/>
      <c r="R150" s="363"/>
      <c r="S150" s="363"/>
      <c r="T150" s="363"/>
      <c r="U150" s="363"/>
      <c r="V150" s="363"/>
      <c r="W150" s="363"/>
      <c r="X150" s="363"/>
      <c r="Y150" s="363"/>
      <c r="Z150" s="363"/>
    </row>
    <row r="151" spans="1:26" ht="13.5" customHeight="1" x14ac:dyDescent="0.2">
      <c r="A151" s="386">
        <f t="shared" si="0"/>
        <v>14</v>
      </c>
      <c r="B151" s="387">
        <f t="shared" si="4"/>
        <v>166</v>
      </c>
      <c r="C151" s="398">
        <f t="shared" si="5"/>
        <v>51167</v>
      </c>
      <c r="D151" s="389">
        <f t="shared" si="6"/>
        <v>1472670.6306816454</v>
      </c>
      <c r="E151" s="389">
        <f t="shared" si="1"/>
        <v>7670.1595348002365</v>
      </c>
      <c r="F151" s="389">
        <f>($C$14-E151)*(B151&lt;$C$9*12+$B$22)*(B151&gt;INPUTS!$R$20*12+$B$22-1)</f>
        <v>5359.8995994111565</v>
      </c>
      <c r="G151" s="389">
        <f t="shared" si="2"/>
        <v>1467310.7310822343</v>
      </c>
      <c r="H151" s="389">
        <f t="shared" si="3"/>
        <v>1181335.2971511027</v>
      </c>
      <c r="I151" s="363"/>
      <c r="J151" s="363"/>
      <c r="K151" s="363"/>
      <c r="L151" s="363"/>
      <c r="M151" s="363"/>
      <c r="N151" s="363"/>
      <c r="O151" s="363"/>
      <c r="P151" s="363"/>
      <c r="Q151" s="363"/>
      <c r="R151" s="363"/>
      <c r="S151" s="363"/>
      <c r="T151" s="363"/>
      <c r="U151" s="363"/>
      <c r="V151" s="363"/>
      <c r="W151" s="363"/>
      <c r="X151" s="363"/>
      <c r="Y151" s="363"/>
      <c r="Z151" s="363"/>
    </row>
    <row r="152" spans="1:26" ht="13.5" customHeight="1" x14ac:dyDescent="0.2">
      <c r="A152" s="386">
        <f t="shared" si="0"/>
        <v>14</v>
      </c>
      <c r="B152" s="387">
        <f t="shared" si="4"/>
        <v>167</v>
      </c>
      <c r="C152" s="398">
        <f t="shared" si="5"/>
        <v>51196</v>
      </c>
      <c r="D152" s="389">
        <f t="shared" si="6"/>
        <v>1467310.7310822343</v>
      </c>
      <c r="E152" s="389">
        <f t="shared" si="1"/>
        <v>7642.2433910533036</v>
      </c>
      <c r="F152" s="389">
        <f>($C$14-E152)*(B152&lt;$C$9*12+$B$22)*(B152&gt;INPUTS!$R$20*12+$B$22-1)</f>
        <v>5387.8157431580894</v>
      </c>
      <c r="G152" s="389">
        <f t="shared" si="2"/>
        <v>1461922.9153390762</v>
      </c>
      <c r="H152" s="389">
        <f t="shared" si="3"/>
        <v>1188977.540542156</v>
      </c>
      <c r="I152" s="363"/>
      <c r="J152" s="363"/>
      <c r="K152" s="363"/>
      <c r="L152" s="363"/>
      <c r="M152" s="363"/>
      <c r="N152" s="363"/>
      <c r="O152" s="363"/>
      <c r="P152" s="363"/>
      <c r="Q152" s="363"/>
      <c r="R152" s="363"/>
      <c r="S152" s="363"/>
      <c r="T152" s="363"/>
      <c r="U152" s="363"/>
      <c r="V152" s="363"/>
      <c r="W152" s="363"/>
      <c r="X152" s="363"/>
      <c r="Y152" s="363"/>
      <c r="Z152" s="363"/>
    </row>
    <row r="153" spans="1:26" ht="13.5" customHeight="1" x14ac:dyDescent="0.2">
      <c r="A153" s="386">
        <f t="shared" si="0"/>
        <v>14</v>
      </c>
      <c r="B153" s="387">
        <f t="shared" si="4"/>
        <v>168</v>
      </c>
      <c r="C153" s="398">
        <f t="shared" si="5"/>
        <v>51227</v>
      </c>
      <c r="D153" s="389">
        <f t="shared" si="6"/>
        <v>1461922.9153390762</v>
      </c>
      <c r="E153" s="389">
        <f t="shared" si="1"/>
        <v>7614.1818507243552</v>
      </c>
      <c r="F153" s="389">
        <f>($C$14-E153)*(B153&lt;$C$9*12+$B$22)*(B153&gt;INPUTS!$R$20*12+$B$22-1)</f>
        <v>5415.8772834870379</v>
      </c>
      <c r="G153" s="389">
        <f t="shared" si="2"/>
        <v>1456507.0380555892</v>
      </c>
      <c r="H153" s="389">
        <f t="shared" si="3"/>
        <v>1196591.7223928804</v>
      </c>
      <c r="I153" s="363"/>
      <c r="J153" s="363"/>
      <c r="K153" s="363"/>
      <c r="L153" s="363"/>
      <c r="M153" s="363"/>
      <c r="N153" s="363"/>
      <c r="O153" s="363"/>
      <c r="P153" s="363"/>
      <c r="Q153" s="363"/>
      <c r="R153" s="363"/>
      <c r="S153" s="363"/>
      <c r="T153" s="363"/>
      <c r="U153" s="363"/>
      <c r="V153" s="363"/>
      <c r="W153" s="363"/>
      <c r="X153" s="363"/>
      <c r="Y153" s="363"/>
      <c r="Z153" s="363"/>
    </row>
    <row r="154" spans="1:26" ht="13.5" customHeight="1" x14ac:dyDescent="0.2">
      <c r="A154" s="386">
        <f t="shared" si="0"/>
        <v>15</v>
      </c>
      <c r="B154" s="387">
        <f t="shared" si="4"/>
        <v>169</v>
      </c>
      <c r="C154" s="398">
        <f t="shared" si="5"/>
        <v>51257</v>
      </c>
      <c r="D154" s="389">
        <f t="shared" si="6"/>
        <v>1456507.0380555892</v>
      </c>
      <c r="E154" s="389">
        <f t="shared" si="1"/>
        <v>7585.974156539527</v>
      </c>
      <c r="F154" s="389">
        <f>($C$14-E154)*(B154&lt;$C$9*12+$B$22)*(B154&gt;INPUTS!$R$20*12+$B$22-1)</f>
        <v>5444.084977671866</v>
      </c>
      <c r="G154" s="389">
        <f t="shared" si="2"/>
        <v>1451062.9530779172</v>
      </c>
      <c r="H154" s="389">
        <f t="shared" si="3"/>
        <v>1204177.6965494198</v>
      </c>
      <c r="I154" s="363"/>
      <c r="J154" s="363"/>
      <c r="K154" s="363"/>
      <c r="L154" s="363"/>
      <c r="M154" s="363"/>
      <c r="N154" s="363"/>
      <c r="O154" s="363"/>
      <c r="P154" s="363"/>
      <c r="Q154" s="363"/>
      <c r="R154" s="363"/>
      <c r="S154" s="363"/>
      <c r="T154" s="363"/>
      <c r="U154" s="363"/>
      <c r="V154" s="363"/>
      <c r="W154" s="363"/>
      <c r="X154" s="363"/>
      <c r="Y154" s="363"/>
      <c r="Z154" s="363"/>
    </row>
    <row r="155" spans="1:26" ht="13.5" customHeight="1" x14ac:dyDescent="0.2">
      <c r="A155" s="386">
        <f t="shared" si="0"/>
        <v>15</v>
      </c>
      <c r="B155" s="387">
        <f t="shared" si="4"/>
        <v>170</v>
      </c>
      <c r="C155" s="398">
        <f t="shared" si="5"/>
        <v>51288</v>
      </c>
      <c r="D155" s="389">
        <f t="shared" si="6"/>
        <v>1451062.9530779172</v>
      </c>
      <c r="E155" s="389">
        <f t="shared" si="1"/>
        <v>7557.6195472808186</v>
      </c>
      <c r="F155" s="389">
        <f>($C$14-E155)*(B155&lt;$C$9*12+$B$22)*(B155&gt;INPUTS!$R$20*12+$B$22-1)</f>
        <v>5472.4395869305745</v>
      </c>
      <c r="G155" s="389">
        <f t="shared" si="2"/>
        <v>1445590.5134909865</v>
      </c>
      <c r="H155" s="389">
        <f t="shared" si="3"/>
        <v>1211735.3160967005</v>
      </c>
      <c r="I155" s="363"/>
      <c r="J155" s="363"/>
      <c r="K155" s="363"/>
      <c r="L155" s="363"/>
      <c r="M155" s="363"/>
      <c r="N155" s="363"/>
      <c r="O155" s="363"/>
      <c r="P155" s="363"/>
      <c r="Q155" s="363"/>
      <c r="R155" s="363"/>
      <c r="S155" s="363"/>
      <c r="T155" s="363"/>
      <c r="U155" s="363"/>
      <c r="V155" s="363"/>
      <c r="W155" s="363"/>
      <c r="X155" s="363"/>
      <c r="Y155" s="363"/>
      <c r="Z155" s="363"/>
    </row>
    <row r="156" spans="1:26" ht="13.5" customHeight="1" x14ac:dyDescent="0.2">
      <c r="A156" s="386">
        <f t="shared" si="0"/>
        <v>15</v>
      </c>
      <c r="B156" s="387">
        <f t="shared" si="4"/>
        <v>171</v>
      </c>
      <c r="C156" s="398">
        <f t="shared" si="5"/>
        <v>51318</v>
      </c>
      <c r="D156" s="389">
        <f t="shared" si="6"/>
        <v>1445590.5134909865</v>
      </c>
      <c r="E156" s="389">
        <f t="shared" si="1"/>
        <v>7529.1172577655552</v>
      </c>
      <c r="F156" s="389">
        <f>($C$14-E156)*(B156&lt;$C$9*12+$B$22)*(B156&gt;INPUTS!$R$20*12+$B$22-1)</f>
        <v>5500.9418764458378</v>
      </c>
      <c r="G156" s="389">
        <f t="shared" si="2"/>
        <v>1440089.5716145406</v>
      </c>
      <c r="H156" s="389">
        <f t="shared" si="3"/>
        <v>1219264.433354466</v>
      </c>
      <c r="I156" s="363"/>
      <c r="J156" s="363"/>
      <c r="K156" s="363"/>
      <c r="L156" s="363"/>
      <c r="M156" s="363"/>
      <c r="N156" s="363"/>
      <c r="O156" s="363"/>
      <c r="P156" s="363"/>
      <c r="Q156" s="363"/>
      <c r="R156" s="363"/>
      <c r="S156" s="363"/>
      <c r="T156" s="363"/>
      <c r="U156" s="363"/>
      <c r="V156" s="363"/>
      <c r="W156" s="363"/>
      <c r="X156" s="363"/>
      <c r="Y156" s="363"/>
      <c r="Z156" s="363"/>
    </row>
    <row r="157" spans="1:26" ht="13.5" customHeight="1" x14ac:dyDescent="0.2">
      <c r="A157" s="386">
        <f t="shared" si="0"/>
        <v>15</v>
      </c>
      <c r="B157" s="387">
        <f t="shared" si="4"/>
        <v>172</v>
      </c>
      <c r="C157" s="398">
        <f t="shared" si="5"/>
        <v>51349</v>
      </c>
      <c r="D157" s="389">
        <f t="shared" si="6"/>
        <v>1440089.5716145406</v>
      </c>
      <c r="E157" s="389">
        <f t="shared" si="1"/>
        <v>7500.4665188257322</v>
      </c>
      <c r="F157" s="389">
        <f>($C$14-E157)*(B157&lt;$C$9*12+$B$22)*(B157&gt;INPUTS!$R$20*12+$B$22-1)</f>
        <v>5529.5926153856608</v>
      </c>
      <c r="G157" s="389">
        <f t="shared" si="2"/>
        <v>1434559.9789991549</v>
      </c>
      <c r="H157" s="389">
        <f t="shared" si="3"/>
        <v>1226764.8998732916</v>
      </c>
      <c r="I157" s="363"/>
      <c r="J157" s="363"/>
      <c r="K157" s="363"/>
      <c r="L157" s="363"/>
      <c r="M157" s="363"/>
      <c r="N157" s="363"/>
      <c r="O157" s="363"/>
      <c r="P157" s="363"/>
      <c r="Q157" s="363"/>
      <c r="R157" s="363"/>
      <c r="S157" s="363"/>
      <c r="T157" s="363"/>
      <c r="U157" s="363"/>
      <c r="V157" s="363"/>
      <c r="W157" s="363"/>
      <c r="X157" s="363"/>
      <c r="Y157" s="363"/>
      <c r="Z157" s="363"/>
    </row>
    <row r="158" spans="1:26" ht="13.5" customHeight="1" x14ac:dyDescent="0.2">
      <c r="A158" s="386">
        <f t="shared" si="0"/>
        <v>15</v>
      </c>
      <c r="B158" s="387">
        <f t="shared" si="4"/>
        <v>173</v>
      </c>
      <c r="C158" s="398">
        <f t="shared" si="5"/>
        <v>51380</v>
      </c>
      <c r="D158" s="389">
        <f t="shared" si="6"/>
        <v>1434559.9789991549</v>
      </c>
      <c r="E158" s="389">
        <f t="shared" si="1"/>
        <v>7471.6665572872653</v>
      </c>
      <c r="F158" s="389">
        <f>($C$14-E158)*(B158&lt;$C$9*12+$B$22)*(B158&gt;INPUTS!$R$20*12+$B$22-1)</f>
        <v>5558.3925769241278</v>
      </c>
      <c r="G158" s="389">
        <f t="shared" si="2"/>
        <v>1429001.5864222308</v>
      </c>
      <c r="H158" s="389">
        <f t="shared" si="3"/>
        <v>1234236.5664305789</v>
      </c>
      <c r="I158" s="363"/>
      <c r="J158" s="363"/>
      <c r="K158" s="363"/>
      <c r="L158" s="363"/>
      <c r="M158" s="363"/>
      <c r="N158" s="363"/>
      <c r="O158" s="363"/>
      <c r="P158" s="363"/>
      <c r="Q158" s="363"/>
      <c r="R158" s="363"/>
      <c r="S158" s="363"/>
      <c r="T158" s="363"/>
      <c r="U158" s="363"/>
      <c r="V158" s="363"/>
      <c r="W158" s="363"/>
      <c r="X158" s="363"/>
      <c r="Y158" s="363"/>
      <c r="Z158" s="363"/>
    </row>
    <row r="159" spans="1:26" ht="13.5" customHeight="1" x14ac:dyDescent="0.2">
      <c r="A159" s="386">
        <f t="shared" si="0"/>
        <v>15</v>
      </c>
      <c r="B159" s="387">
        <f t="shared" si="4"/>
        <v>174</v>
      </c>
      <c r="C159" s="398">
        <f t="shared" si="5"/>
        <v>51410</v>
      </c>
      <c r="D159" s="389">
        <f t="shared" si="6"/>
        <v>1429001.5864222308</v>
      </c>
      <c r="E159" s="389">
        <f t="shared" si="1"/>
        <v>7442.7165959491185</v>
      </c>
      <c r="F159" s="389">
        <f>($C$14-E159)*(B159&lt;$C$9*12+$B$22)*(B159&gt;INPUTS!$R$20*12+$B$22-1)</f>
        <v>5587.3425382622745</v>
      </c>
      <c r="G159" s="389">
        <f t="shared" si="2"/>
        <v>1423414.2438839686</v>
      </c>
      <c r="H159" s="389">
        <f t="shared" si="3"/>
        <v>1241679.2830265281</v>
      </c>
      <c r="I159" s="363"/>
      <c r="J159" s="363"/>
      <c r="K159" s="363"/>
      <c r="L159" s="363"/>
      <c r="M159" s="363"/>
      <c r="N159" s="363"/>
      <c r="O159" s="363"/>
      <c r="P159" s="363"/>
      <c r="Q159" s="363"/>
      <c r="R159" s="363"/>
      <c r="S159" s="363"/>
      <c r="T159" s="363"/>
      <c r="U159" s="363"/>
      <c r="V159" s="363"/>
      <c r="W159" s="363"/>
      <c r="X159" s="363"/>
      <c r="Y159" s="363"/>
      <c r="Z159" s="363"/>
    </row>
    <row r="160" spans="1:26" ht="13.5" customHeight="1" x14ac:dyDescent="0.2">
      <c r="A160" s="386">
        <f t="shared" si="0"/>
        <v>15</v>
      </c>
      <c r="B160" s="387">
        <f t="shared" si="4"/>
        <v>175</v>
      </c>
      <c r="C160" s="398">
        <f t="shared" si="5"/>
        <v>51441</v>
      </c>
      <c r="D160" s="389">
        <f t="shared" si="6"/>
        <v>1423414.2438839686</v>
      </c>
      <c r="E160" s="389">
        <f t="shared" si="1"/>
        <v>7413.6158535623363</v>
      </c>
      <c r="F160" s="389">
        <f>($C$14-E160)*(B160&lt;$C$9*12+$B$22)*(B160&gt;INPUTS!$R$20*12+$B$22-1)</f>
        <v>5616.4432806490568</v>
      </c>
      <c r="G160" s="389">
        <f t="shared" si="2"/>
        <v>1417797.8006033194</v>
      </c>
      <c r="H160" s="389">
        <f t="shared" si="3"/>
        <v>1249092.8988800903</v>
      </c>
      <c r="I160" s="363"/>
      <c r="J160" s="363"/>
      <c r="K160" s="363"/>
      <c r="L160" s="363"/>
      <c r="M160" s="363"/>
      <c r="N160" s="363"/>
      <c r="O160" s="363"/>
      <c r="P160" s="363"/>
      <c r="Q160" s="363"/>
      <c r="R160" s="363"/>
      <c r="S160" s="363"/>
      <c r="T160" s="363"/>
      <c r="U160" s="363"/>
      <c r="V160" s="363"/>
      <c r="W160" s="363"/>
      <c r="X160" s="363"/>
      <c r="Y160" s="363"/>
      <c r="Z160" s="363"/>
    </row>
    <row r="161" spans="1:26" ht="13.5" customHeight="1" x14ac:dyDescent="0.2">
      <c r="A161" s="386">
        <f t="shared" si="0"/>
        <v>15</v>
      </c>
      <c r="B161" s="387">
        <f t="shared" si="4"/>
        <v>176</v>
      </c>
      <c r="C161" s="398">
        <f t="shared" si="5"/>
        <v>51471</v>
      </c>
      <c r="D161" s="389">
        <f t="shared" si="6"/>
        <v>1417797.8006033194</v>
      </c>
      <c r="E161" s="389">
        <f t="shared" si="1"/>
        <v>7384.3635448089553</v>
      </c>
      <c r="F161" s="389">
        <f>($C$14-E161)*(B161&lt;$C$9*12+$B$22)*(B161&gt;INPUTS!$R$20*12+$B$22-1)</f>
        <v>5645.6955894024377</v>
      </c>
      <c r="G161" s="389">
        <f t="shared" si="2"/>
        <v>1412152.105013917</v>
      </c>
      <c r="H161" s="389">
        <f t="shared" si="3"/>
        <v>1256477.2624248993</v>
      </c>
      <c r="I161" s="363"/>
      <c r="J161" s="363"/>
      <c r="K161" s="363"/>
      <c r="L161" s="363"/>
      <c r="M161" s="363"/>
      <c r="N161" s="363"/>
      <c r="O161" s="363"/>
      <c r="P161" s="363"/>
      <c r="Q161" s="363"/>
      <c r="R161" s="363"/>
      <c r="S161" s="363"/>
      <c r="T161" s="363"/>
      <c r="U161" s="363"/>
      <c r="V161" s="363"/>
      <c r="W161" s="363"/>
      <c r="X161" s="363"/>
      <c r="Y161" s="363"/>
      <c r="Z161" s="363"/>
    </row>
    <row r="162" spans="1:26" ht="13.5" customHeight="1" x14ac:dyDescent="0.2">
      <c r="A162" s="386">
        <f t="shared" si="0"/>
        <v>15</v>
      </c>
      <c r="B162" s="387">
        <f t="shared" si="4"/>
        <v>177</v>
      </c>
      <c r="C162" s="398">
        <f t="shared" si="5"/>
        <v>51502</v>
      </c>
      <c r="D162" s="389">
        <f t="shared" si="6"/>
        <v>1412152.105013917</v>
      </c>
      <c r="E162" s="389">
        <f t="shared" si="1"/>
        <v>7354.9588802808175</v>
      </c>
      <c r="F162" s="389">
        <f>($C$14-E162)*(B162&lt;$C$9*12+$B$22)*(B162&gt;INPUTS!$R$20*12+$B$22-1)</f>
        <v>5675.1002539305755</v>
      </c>
      <c r="G162" s="389">
        <f t="shared" si="2"/>
        <v>1406477.0047599864</v>
      </c>
      <c r="H162" s="389">
        <f t="shared" si="3"/>
        <v>1263832.2213051801</v>
      </c>
      <c r="I162" s="363"/>
      <c r="J162" s="363"/>
      <c r="K162" s="363"/>
      <c r="L162" s="363"/>
      <c r="M162" s="363"/>
      <c r="N162" s="363"/>
      <c r="O162" s="363"/>
      <c r="P162" s="363"/>
      <c r="Q162" s="363"/>
      <c r="R162" s="363"/>
      <c r="S162" s="363"/>
      <c r="T162" s="363"/>
      <c r="U162" s="363"/>
      <c r="V162" s="363"/>
      <c r="W162" s="363"/>
      <c r="X162" s="363"/>
      <c r="Y162" s="363"/>
      <c r="Z162" s="363"/>
    </row>
    <row r="163" spans="1:26" ht="13.5" customHeight="1" x14ac:dyDescent="0.2">
      <c r="A163" s="386">
        <f t="shared" si="0"/>
        <v>15</v>
      </c>
      <c r="B163" s="387">
        <f t="shared" si="4"/>
        <v>178</v>
      </c>
      <c r="C163" s="398">
        <f t="shared" si="5"/>
        <v>51533</v>
      </c>
      <c r="D163" s="389">
        <f t="shared" si="6"/>
        <v>1406477.0047599864</v>
      </c>
      <c r="E163" s="389">
        <f t="shared" si="1"/>
        <v>7325.4010664582629</v>
      </c>
      <c r="F163" s="389">
        <f>($C$14-E163)*(B163&lt;$C$9*12+$B$22)*(B163&gt;INPUTS!$R$20*12+$B$22-1)</f>
        <v>5704.6580677531301</v>
      </c>
      <c r="G163" s="389">
        <f t="shared" si="2"/>
        <v>1400772.3466922333</v>
      </c>
      <c r="H163" s="389">
        <f t="shared" si="3"/>
        <v>1271157.6223716384</v>
      </c>
      <c r="I163" s="363"/>
      <c r="J163" s="363"/>
      <c r="K163" s="363"/>
      <c r="L163" s="363"/>
      <c r="M163" s="363"/>
      <c r="N163" s="363"/>
      <c r="O163" s="363"/>
      <c r="P163" s="363"/>
      <c r="Q163" s="363"/>
      <c r="R163" s="363"/>
      <c r="S163" s="363"/>
      <c r="T163" s="363"/>
      <c r="U163" s="363"/>
      <c r="V163" s="363"/>
      <c r="W163" s="363"/>
      <c r="X163" s="363"/>
      <c r="Y163" s="363"/>
      <c r="Z163" s="363"/>
    </row>
    <row r="164" spans="1:26" ht="13.5" customHeight="1" x14ac:dyDescent="0.2">
      <c r="A164" s="386">
        <f t="shared" si="0"/>
        <v>15</v>
      </c>
      <c r="B164" s="387">
        <f t="shared" si="4"/>
        <v>179</v>
      </c>
      <c r="C164" s="398">
        <f t="shared" si="5"/>
        <v>51561</v>
      </c>
      <c r="D164" s="389">
        <f t="shared" si="6"/>
        <v>1400772.3466922333</v>
      </c>
      <c r="E164" s="389">
        <f t="shared" si="1"/>
        <v>7295.6893056887156</v>
      </c>
      <c r="F164" s="389">
        <f>($C$14-E164)*(B164&lt;$C$9*12+$B$22)*(B164&gt;INPUTS!$R$20*12+$B$22-1)</f>
        <v>5734.3698285226774</v>
      </c>
      <c r="G164" s="389">
        <f t="shared" si="2"/>
        <v>1395037.9768637107</v>
      </c>
      <c r="H164" s="389">
        <f t="shared" si="3"/>
        <v>1278453.3116773271</v>
      </c>
      <c r="I164" s="363"/>
      <c r="J164" s="363"/>
      <c r="K164" s="363"/>
      <c r="L164" s="363"/>
      <c r="M164" s="363"/>
      <c r="N164" s="363"/>
      <c r="O164" s="363"/>
      <c r="P164" s="363"/>
      <c r="Q164" s="363"/>
      <c r="R164" s="363"/>
      <c r="S164" s="363"/>
      <c r="T164" s="363"/>
      <c r="U164" s="363"/>
      <c r="V164" s="363"/>
      <c r="W164" s="363"/>
      <c r="X164" s="363"/>
      <c r="Y164" s="363"/>
      <c r="Z164" s="363"/>
    </row>
    <row r="165" spans="1:26" ht="13.5" customHeight="1" x14ac:dyDescent="0.2">
      <c r="A165" s="386">
        <f t="shared" si="0"/>
        <v>15</v>
      </c>
      <c r="B165" s="387">
        <f t="shared" si="4"/>
        <v>180</v>
      </c>
      <c r="C165" s="398">
        <f t="shared" si="5"/>
        <v>51592</v>
      </c>
      <c r="D165" s="389">
        <f t="shared" si="6"/>
        <v>1395037.9768637107</v>
      </c>
      <c r="E165" s="389">
        <f t="shared" si="1"/>
        <v>7265.8227961651601</v>
      </c>
      <c r="F165" s="389">
        <f>($C$14-E165)*(B165&lt;$C$9*12+$B$22)*(B165&gt;INPUTS!$R$20*12+$B$22-1)</f>
        <v>5764.236338046233</v>
      </c>
      <c r="G165" s="389">
        <f t="shared" si="2"/>
        <v>1389273.7405256645</v>
      </c>
      <c r="H165" s="389">
        <f t="shared" si="3"/>
        <v>1285719.1344734924</v>
      </c>
      <c r="I165" s="363"/>
      <c r="J165" s="363"/>
      <c r="K165" s="363"/>
      <c r="L165" s="363"/>
      <c r="M165" s="363"/>
      <c r="N165" s="363"/>
      <c r="O165" s="363"/>
      <c r="P165" s="363"/>
      <c r="Q165" s="363"/>
      <c r="R165" s="363"/>
      <c r="S165" s="363"/>
      <c r="T165" s="363"/>
      <c r="U165" s="363"/>
      <c r="V165" s="363"/>
      <c r="W165" s="363"/>
      <c r="X165" s="363"/>
      <c r="Y165" s="363"/>
      <c r="Z165" s="363"/>
    </row>
    <row r="166" spans="1:26" ht="13.5" customHeight="1" x14ac:dyDescent="0.2">
      <c r="A166" s="386">
        <f t="shared" si="0"/>
        <v>16</v>
      </c>
      <c r="B166" s="387">
        <f t="shared" si="4"/>
        <v>181</v>
      </c>
      <c r="C166" s="398">
        <f t="shared" si="5"/>
        <v>51622</v>
      </c>
      <c r="D166" s="389">
        <f t="shared" si="6"/>
        <v>1389273.7405256645</v>
      </c>
      <c r="E166" s="389">
        <f t="shared" si="1"/>
        <v>7235.8007319045028</v>
      </c>
      <c r="F166" s="389">
        <f>($C$14-E166)*(B166&lt;$C$9*12+$B$22)*(B166&gt;INPUTS!$R$20*12+$B$22-1)</f>
        <v>5794.2584023068903</v>
      </c>
      <c r="G166" s="389">
        <f t="shared" si="2"/>
        <v>1383479.4821233577</v>
      </c>
      <c r="H166" s="389">
        <f t="shared" si="3"/>
        <v>1292954.935205397</v>
      </c>
      <c r="I166" s="363"/>
      <c r="J166" s="363"/>
      <c r="K166" s="363"/>
      <c r="L166" s="363"/>
      <c r="M166" s="363"/>
      <c r="N166" s="363"/>
      <c r="O166" s="363"/>
      <c r="P166" s="363"/>
      <c r="Q166" s="363"/>
      <c r="R166" s="363"/>
      <c r="S166" s="363"/>
      <c r="T166" s="363"/>
      <c r="U166" s="363"/>
      <c r="V166" s="363"/>
      <c r="W166" s="363"/>
      <c r="X166" s="363"/>
      <c r="Y166" s="363"/>
      <c r="Z166" s="363"/>
    </row>
    <row r="167" spans="1:26" ht="13.5" customHeight="1" x14ac:dyDescent="0.2">
      <c r="A167" s="386">
        <f t="shared" si="0"/>
        <v>16</v>
      </c>
      <c r="B167" s="387">
        <f t="shared" si="4"/>
        <v>182</v>
      </c>
      <c r="C167" s="398">
        <f t="shared" si="5"/>
        <v>51653</v>
      </c>
      <c r="D167" s="389">
        <f t="shared" si="6"/>
        <v>1383479.4821233577</v>
      </c>
      <c r="E167" s="389">
        <f t="shared" si="1"/>
        <v>7205.6223027258211</v>
      </c>
      <c r="F167" s="389">
        <f>($C$14-E167)*(B167&lt;$C$9*12+$B$22)*(B167&gt;INPUTS!$R$20*12+$B$22-1)</f>
        <v>5824.4368314855719</v>
      </c>
      <c r="G167" s="389">
        <f t="shared" si="2"/>
        <v>1377655.0452918722</v>
      </c>
      <c r="H167" s="389">
        <f t="shared" si="3"/>
        <v>1300160.5575081229</v>
      </c>
      <c r="I167" s="363"/>
      <c r="J167" s="363"/>
      <c r="K167" s="363"/>
      <c r="L167" s="363"/>
      <c r="M167" s="363"/>
      <c r="N167" s="363"/>
      <c r="O167" s="363"/>
      <c r="P167" s="363"/>
      <c r="Q167" s="363"/>
      <c r="R167" s="363"/>
      <c r="S167" s="363"/>
      <c r="T167" s="363"/>
      <c r="U167" s="363"/>
      <c r="V167" s="363"/>
      <c r="W167" s="363"/>
      <c r="X167" s="363"/>
      <c r="Y167" s="363"/>
      <c r="Z167" s="363"/>
    </row>
    <row r="168" spans="1:26" ht="13.5" customHeight="1" x14ac:dyDescent="0.2">
      <c r="A168" s="386">
        <f t="shared" si="0"/>
        <v>16</v>
      </c>
      <c r="B168" s="387">
        <f t="shared" si="4"/>
        <v>183</v>
      </c>
      <c r="C168" s="398">
        <f t="shared" si="5"/>
        <v>51683</v>
      </c>
      <c r="D168" s="389">
        <f t="shared" si="6"/>
        <v>1377655.0452918722</v>
      </c>
      <c r="E168" s="389">
        <f t="shared" si="1"/>
        <v>7175.2866942285009</v>
      </c>
      <c r="F168" s="389">
        <f>($C$14-E168)*(B168&lt;$C$9*12+$B$22)*(B168&gt;INPUTS!$R$20*12+$B$22-1)</f>
        <v>5854.7724399828921</v>
      </c>
      <c r="G168" s="389">
        <f t="shared" si="2"/>
        <v>1371800.2728518893</v>
      </c>
      <c r="H168" s="389">
        <f t="shared" si="3"/>
        <v>1307335.8442023513</v>
      </c>
      <c r="I168" s="363"/>
      <c r="J168" s="363"/>
      <c r="K168" s="363"/>
      <c r="L168" s="363"/>
      <c r="M168" s="363"/>
      <c r="N168" s="363"/>
      <c r="O168" s="363"/>
      <c r="P168" s="363"/>
      <c r="Q168" s="363"/>
      <c r="R168" s="363"/>
      <c r="S168" s="363"/>
      <c r="T168" s="363"/>
      <c r="U168" s="363"/>
      <c r="V168" s="363"/>
      <c r="W168" s="363"/>
      <c r="X168" s="363"/>
      <c r="Y168" s="363"/>
      <c r="Z168" s="363"/>
    </row>
    <row r="169" spans="1:26" ht="13.5" customHeight="1" x14ac:dyDescent="0.2">
      <c r="A169" s="386">
        <f t="shared" si="0"/>
        <v>16</v>
      </c>
      <c r="B169" s="387">
        <f t="shared" si="4"/>
        <v>184</v>
      </c>
      <c r="C169" s="398">
        <f t="shared" si="5"/>
        <v>51714</v>
      </c>
      <c r="D169" s="389">
        <f t="shared" si="6"/>
        <v>1371800.2728518893</v>
      </c>
      <c r="E169" s="389">
        <f t="shared" si="1"/>
        <v>7144.7930877702565</v>
      </c>
      <c r="F169" s="389">
        <f>($C$14-E169)*(B169&lt;$C$9*12+$B$22)*(B169&gt;INPUTS!$R$20*12+$B$22-1)</f>
        <v>5885.2660464411365</v>
      </c>
      <c r="G169" s="389">
        <f t="shared" si="2"/>
        <v>1365915.0068054481</v>
      </c>
      <c r="H169" s="389">
        <f t="shared" si="3"/>
        <v>1314480.6372901215</v>
      </c>
      <c r="I169" s="363"/>
      <c r="J169" s="363"/>
      <c r="K169" s="363"/>
      <c r="L169" s="363"/>
      <c r="M169" s="363"/>
      <c r="N169" s="363"/>
      <c r="O169" s="363"/>
      <c r="P169" s="363"/>
      <c r="Q169" s="363"/>
      <c r="R169" s="363"/>
      <c r="S169" s="363"/>
      <c r="T169" s="363"/>
      <c r="U169" s="363"/>
      <c r="V169" s="363"/>
      <c r="W169" s="363"/>
      <c r="X169" s="363"/>
      <c r="Y169" s="363"/>
      <c r="Z169" s="363"/>
    </row>
    <row r="170" spans="1:26" ht="13.5" customHeight="1" x14ac:dyDescent="0.2">
      <c r="A170" s="386">
        <f t="shared" si="0"/>
        <v>16</v>
      </c>
      <c r="B170" s="387">
        <f t="shared" si="4"/>
        <v>185</v>
      </c>
      <c r="C170" s="398">
        <f t="shared" si="5"/>
        <v>51745</v>
      </c>
      <c r="D170" s="389">
        <f t="shared" si="6"/>
        <v>1365915.0068054481</v>
      </c>
      <c r="E170" s="389">
        <f t="shared" si="1"/>
        <v>7114.1406604450422</v>
      </c>
      <c r="F170" s="389">
        <f>($C$14-E170)*(B170&lt;$C$9*12+$B$22)*(B170&gt;INPUTS!$R$20*12+$B$22-1)</f>
        <v>5915.9184737663509</v>
      </c>
      <c r="G170" s="389">
        <f t="shared" si="2"/>
        <v>1359999.0883316817</v>
      </c>
      <c r="H170" s="389">
        <f t="shared" si="3"/>
        <v>1321594.7779505665</v>
      </c>
      <c r="I170" s="363"/>
      <c r="J170" s="363"/>
      <c r="K170" s="363"/>
      <c r="L170" s="363"/>
      <c r="M170" s="363"/>
      <c r="N170" s="363"/>
      <c r="O170" s="363"/>
      <c r="P170" s="363"/>
      <c r="Q170" s="363"/>
      <c r="R170" s="363"/>
      <c r="S170" s="363"/>
      <c r="T170" s="363"/>
      <c r="U170" s="363"/>
      <c r="V170" s="363"/>
      <c r="W170" s="363"/>
      <c r="X170" s="363"/>
      <c r="Y170" s="363"/>
      <c r="Z170" s="363"/>
    </row>
    <row r="171" spans="1:26" ht="13.5" customHeight="1" x14ac:dyDescent="0.2">
      <c r="A171" s="386">
        <f t="shared" si="0"/>
        <v>16</v>
      </c>
      <c r="B171" s="387">
        <f t="shared" si="4"/>
        <v>186</v>
      </c>
      <c r="C171" s="398">
        <f t="shared" si="5"/>
        <v>51775</v>
      </c>
      <c r="D171" s="389">
        <f t="shared" si="6"/>
        <v>1359999.0883316817</v>
      </c>
      <c r="E171" s="389">
        <f t="shared" si="1"/>
        <v>7083.3285850608418</v>
      </c>
      <c r="F171" s="389">
        <f>($C$14-E171)*(B171&lt;$C$9*12+$B$22)*(B171&gt;INPUTS!$R$20*12+$B$22-1)</f>
        <v>5946.7305491505513</v>
      </c>
      <c r="G171" s="389">
        <f t="shared" si="2"/>
        <v>1354052.3577825311</v>
      </c>
      <c r="H171" s="389">
        <f t="shared" si="3"/>
        <v>1328678.1065356273</v>
      </c>
      <c r="I171" s="363"/>
      <c r="J171" s="363"/>
      <c r="K171" s="363"/>
      <c r="L171" s="363"/>
      <c r="M171" s="363"/>
      <c r="N171" s="363"/>
      <c r="O171" s="363"/>
      <c r="P171" s="363"/>
      <c r="Q171" s="363"/>
      <c r="R171" s="363"/>
      <c r="S171" s="363"/>
      <c r="T171" s="363"/>
      <c r="U171" s="363"/>
      <c r="V171" s="363"/>
      <c r="W171" s="363"/>
      <c r="X171" s="363"/>
      <c r="Y171" s="363"/>
      <c r="Z171" s="363"/>
    </row>
    <row r="172" spans="1:26" ht="13.5" customHeight="1" x14ac:dyDescent="0.2">
      <c r="A172" s="386">
        <f t="shared" si="0"/>
        <v>16</v>
      </c>
      <c r="B172" s="387">
        <f t="shared" si="4"/>
        <v>187</v>
      </c>
      <c r="C172" s="398">
        <f t="shared" si="5"/>
        <v>51806</v>
      </c>
      <c r="D172" s="389">
        <f t="shared" si="6"/>
        <v>1354052.3577825311</v>
      </c>
      <c r="E172" s="389">
        <f t="shared" si="1"/>
        <v>7052.3560301173493</v>
      </c>
      <c r="F172" s="389">
        <f>($C$14-E172)*(B172&lt;$C$9*12+$B$22)*(B172&gt;INPUTS!$R$20*12+$B$22-1)</f>
        <v>5977.7031040940437</v>
      </c>
      <c r="G172" s="389">
        <f t="shared" si="2"/>
        <v>1348074.6546784369</v>
      </c>
      <c r="H172" s="389">
        <f t="shared" si="3"/>
        <v>1335730.4625657445</v>
      </c>
      <c r="I172" s="363"/>
      <c r="J172" s="363"/>
      <c r="K172" s="363"/>
      <c r="L172" s="363"/>
      <c r="M172" s="363"/>
      <c r="N172" s="363"/>
      <c r="O172" s="363"/>
      <c r="P172" s="363"/>
      <c r="Q172" s="363"/>
      <c r="R172" s="363"/>
      <c r="S172" s="363"/>
      <c r="T172" s="363"/>
      <c r="U172" s="363"/>
      <c r="V172" s="363"/>
      <c r="W172" s="363"/>
      <c r="X172" s="363"/>
      <c r="Y172" s="363"/>
      <c r="Z172" s="363"/>
    </row>
    <row r="173" spans="1:26" ht="13.5" customHeight="1" x14ac:dyDescent="0.2">
      <c r="A173" s="386">
        <f t="shared" si="0"/>
        <v>16</v>
      </c>
      <c r="B173" s="387">
        <f t="shared" si="4"/>
        <v>188</v>
      </c>
      <c r="C173" s="398">
        <f t="shared" si="5"/>
        <v>51836</v>
      </c>
      <c r="D173" s="389">
        <f t="shared" si="6"/>
        <v>1348074.6546784369</v>
      </c>
      <c r="E173" s="389">
        <f t="shared" si="1"/>
        <v>7021.222159783526</v>
      </c>
      <c r="F173" s="389">
        <f>($C$14-E173)*(B173&lt;$C$9*12+$B$22)*(B173&gt;INPUTS!$R$20*12+$B$22-1)</f>
        <v>6008.8369744278671</v>
      </c>
      <c r="G173" s="389">
        <f t="shared" si="2"/>
        <v>1342065.8177040091</v>
      </c>
      <c r="H173" s="389">
        <f t="shared" si="3"/>
        <v>1342751.6847255281</v>
      </c>
      <c r="I173" s="363"/>
      <c r="J173" s="363"/>
      <c r="K173" s="363"/>
      <c r="L173" s="363"/>
      <c r="M173" s="363"/>
      <c r="N173" s="363"/>
      <c r="O173" s="363"/>
      <c r="P173" s="363"/>
      <c r="Q173" s="363"/>
      <c r="R173" s="363"/>
      <c r="S173" s="363"/>
      <c r="T173" s="363"/>
      <c r="U173" s="363"/>
      <c r="V173" s="363"/>
      <c r="W173" s="363"/>
      <c r="X173" s="363"/>
      <c r="Y173" s="363"/>
      <c r="Z173" s="363"/>
    </row>
    <row r="174" spans="1:26" ht="13.5" customHeight="1" x14ac:dyDescent="0.2">
      <c r="A174" s="386">
        <f t="shared" si="0"/>
        <v>16</v>
      </c>
      <c r="B174" s="387">
        <f t="shared" si="4"/>
        <v>189</v>
      </c>
      <c r="C174" s="398">
        <f t="shared" si="5"/>
        <v>51867</v>
      </c>
      <c r="D174" s="389">
        <f t="shared" si="6"/>
        <v>1342065.8177040091</v>
      </c>
      <c r="E174" s="389">
        <f t="shared" si="1"/>
        <v>6989.9261338750475</v>
      </c>
      <c r="F174" s="389">
        <f>($C$14-E174)*(B174&lt;$C$9*12+$B$22)*(B174&gt;INPUTS!$R$20*12+$B$22-1)</f>
        <v>6040.1330003363455</v>
      </c>
      <c r="G174" s="389">
        <f t="shared" si="2"/>
        <v>1336025.6847036728</v>
      </c>
      <c r="H174" s="389">
        <f t="shared" si="3"/>
        <v>1349741.6108594032</v>
      </c>
      <c r="I174" s="363"/>
      <c r="J174" s="363"/>
      <c r="K174" s="363"/>
      <c r="L174" s="363"/>
      <c r="M174" s="363"/>
      <c r="N174" s="363"/>
      <c r="O174" s="363"/>
      <c r="P174" s="363"/>
      <c r="Q174" s="363"/>
      <c r="R174" s="363"/>
      <c r="S174" s="363"/>
      <c r="T174" s="363"/>
      <c r="U174" s="363"/>
      <c r="V174" s="363"/>
      <c r="W174" s="363"/>
      <c r="X174" s="363"/>
      <c r="Y174" s="363"/>
      <c r="Z174" s="363"/>
    </row>
    <row r="175" spans="1:26" ht="13.5" customHeight="1" x14ac:dyDescent="0.2">
      <c r="A175" s="386">
        <f t="shared" si="0"/>
        <v>16</v>
      </c>
      <c r="B175" s="387">
        <f t="shared" si="4"/>
        <v>190</v>
      </c>
      <c r="C175" s="398">
        <f t="shared" si="5"/>
        <v>51898</v>
      </c>
      <c r="D175" s="389">
        <f t="shared" si="6"/>
        <v>1336025.6847036728</v>
      </c>
      <c r="E175" s="389">
        <f t="shared" si="1"/>
        <v>6958.4671078316287</v>
      </c>
      <c r="F175" s="389">
        <f>($C$14-E175)*(B175&lt;$C$9*12+$B$22)*(B175&gt;INPUTS!$R$20*12+$B$22-1)</f>
        <v>6071.5920263797643</v>
      </c>
      <c r="G175" s="389">
        <f t="shared" si="2"/>
        <v>1329954.0926772931</v>
      </c>
      <c r="H175" s="389">
        <f t="shared" si="3"/>
        <v>1356700.0779672349</v>
      </c>
      <c r="I175" s="363"/>
      <c r="J175" s="363"/>
      <c r="K175" s="363"/>
      <c r="L175" s="363"/>
      <c r="M175" s="363"/>
      <c r="N175" s="363"/>
      <c r="O175" s="363"/>
      <c r="P175" s="363"/>
      <c r="Q175" s="363"/>
      <c r="R175" s="363"/>
      <c r="S175" s="363"/>
      <c r="T175" s="363"/>
      <c r="U175" s="363"/>
      <c r="V175" s="363"/>
      <c r="W175" s="363"/>
      <c r="X175" s="363"/>
      <c r="Y175" s="363"/>
      <c r="Z175" s="363"/>
    </row>
    <row r="176" spans="1:26" ht="13.5" customHeight="1" x14ac:dyDescent="0.2">
      <c r="A176" s="386">
        <f t="shared" si="0"/>
        <v>16</v>
      </c>
      <c r="B176" s="387">
        <f t="shared" si="4"/>
        <v>191</v>
      </c>
      <c r="C176" s="398">
        <f t="shared" si="5"/>
        <v>51926</v>
      </c>
      <c r="D176" s="389">
        <f t="shared" si="6"/>
        <v>1329954.0926772931</v>
      </c>
      <c r="E176" s="389">
        <f t="shared" si="1"/>
        <v>6926.844232694235</v>
      </c>
      <c r="F176" s="389">
        <f>($C$14-E176)*(B176&lt;$C$9*12+$B$22)*(B176&gt;INPUTS!$R$20*12+$B$22-1)</f>
        <v>6103.2149015171581</v>
      </c>
      <c r="G176" s="389">
        <f t="shared" si="2"/>
        <v>1323850.877775776</v>
      </c>
      <c r="H176" s="389">
        <f t="shared" si="3"/>
        <v>1363626.9221999291</v>
      </c>
      <c r="I176" s="363"/>
      <c r="J176" s="363"/>
      <c r="K176" s="363"/>
      <c r="L176" s="363"/>
      <c r="M176" s="363"/>
      <c r="N176" s="363"/>
      <c r="O176" s="363"/>
      <c r="P176" s="363"/>
      <c r="Q176" s="363"/>
      <c r="R176" s="363"/>
      <c r="S176" s="363"/>
      <c r="T176" s="363"/>
      <c r="U176" s="363"/>
      <c r="V176" s="363"/>
      <c r="W176" s="363"/>
      <c r="X176" s="363"/>
      <c r="Y176" s="363"/>
      <c r="Z176" s="363"/>
    </row>
    <row r="177" spans="1:26" ht="13.5" customHeight="1" x14ac:dyDescent="0.2">
      <c r="A177" s="386">
        <f t="shared" si="0"/>
        <v>16</v>
      </c>
      <c r="B177" s="387">
        <f t="shared" si="4"/>
        <v>192</v>
      </c>
      <c r="C177" s="398">
        <f t="shared" si="5"/>
        <v>51957</v>
      </c>
      <c r="D177" s="389">
        <f t="shared" si="6"/>
        <v>1323850.877775776</v>
      </c>
      <c r="E177" s="389">
        <f t="shared" si="1"/>
        <v>6895.0566550821668</v>
      </c>
      <c r="F177" s="389">
        <f>($C$14-E177)*(B177&lt;$C$9*12+$B$22)*(B177&gt;INPUTS!$R$20*12+$B$22-1)</f>
        <v>6135.0024791292262</v>
      </c>
      <c r="G177" s="389">
        <f t="shared" si="2"/>
        <v>1317715.8752966467</v>
      </c>
      <c r="H177" s="389">
        <f t="shared" si="3"/>
        <v>1370521.9788550113</v>
      </c>
      <c r="I177" s="363"/>
      <c r="J177" s="363"/>
      <c r="K177" s="363"/>
      <c r="L177" s="363"/>
      <c r="M177" s="363"/>
      <c r="N177" s="363"/>
      <c r="O177" s="363"/>
      <c r="P177" s="363"/>
      <c r="Q177" s="363"/>
      <c r="R177" s="363"/>
      <c r="S177" s="363"/>
      <c r="T177" s="363"/>
      <c r="U177" s="363"/>
      <c r="V177" s="363"/>
      <c r="W177" s="363"/>
      <c r="X177" s="363"/>
      <c r="Y177" s="363"/>
      <c r="Z177" s="363"/>
    </row>
    <row r="178" spans="1:26" ht="13.5" customHeight="1" x14ac:dyDescent="0.2">
      <c r="A178" s="386">
        <f t="shared" si="0"/>
        <v>17</v>
      </c>
      <c r="B178" s="387">
        <f t="shared" si="4"/>
        <v>193</v>
      </c>
      <c r="C178" s="398">
        <f t="shared" si="5"/>
        <v>51987</v>
      </c>
      <c r="D178" s="389">
        <f t="shared" si="6"/>
        <v>1317715.8752966467</v>
      </c>
      <c r="E178" s="389">
        <f t="shared" si="1"/>
        <v>6863.103517170035</v>
      </c>
      <c r="F178" s="389">
        <f>($C$14-E178)*(B178&lt;$C$9*12+$B$22)*(B178&gt;INPUTS!$R$20*12+$B$22-1)</f>
        <v>6166.955617041358</v>
      </c>
      <c r="G178" s="389">
        <f t="shared" si="2"/>
        <v>1311548.9196796054</v>
      </c>
      <c r="H178" s="389">
        <f t="shared" si="3"/>
        <v>1377385.0823721814</v>
      </c>
      <c r="I178" s="363"/>
      <c r="J178" s="363"/>
      <c r="K178" s="363"/>
      <c r="L178" s="363"/>
      <c r="M178" s="363"/>
      <c r="N178" s="363"/>
      <c r="O178" s="363"/>
      <c r="P178" s="363"/>
      <c r="Q178" s="363"/>
      <c r="R178" s="363"/>
      <c r="S178" s="363"/>
      <c r="T178" s="363"/>
      <c r="U178" s="363"/>
      <c r="V178" s="363"/>
      <c r="W178" s="363"/>
      <c r="X178" s="363"/>
      <c r="Y178" s="363"/>
      <c r="Z178" s="363"/>
    </row>
    <row r="179" spans="1:26" ht="13.5" customHeight="1" x14ac:dyDescent="0.2">
      <c r="A179" s="386">
        <f t="shared" si="0"/>
        <v>17</v>
      </c>
      <c r="B179" s="387">
        <f t="shared" si="4"/>
        <v>194</v>
      </c>
      <c r="C179" s="398">
        <f t="shared" si="5"/>
        <v>52018</v>
      </c>
      <c r="D179" s="389">
        <f t="shared" si="6"/>
        <v>1311548.9196796054</v>
      </c>
      <c r="E179" s="389">
        <f t="shared" si="1"/>
        <v>6830.9839566646115</v>
      </c>
      <c r="F179" s="389">
        <f>($C$14-E179)*(B179&lt;$C$9*12+$B$22)*(B179&gt;INPUTS!$R$20*12+$B$22-1)</f>
        <v>6199.0751775467816</v>
      </c>
      <c r="G179" s="389">
        <f t="shared" si="2"/>
        <v>1305349.8445020586</v>
      </c>
      <c r="H179" s="389">
        <f t="shared" si="3"/>
        <v>1384216.0663288459</v>
      </c>
      <c r="I179" s="363"/>
      <c r="J179" s="363"/>
      <c r="K179" s="363"/>
      <c r="L179" s="363"/>
      <c r="M179" s="363"/>
      <c r="N179" s="363"/>
      <c r="O179" s="363"/>
      <c r="P179" s="363"/>
      <c r="Q179" s="363"/>
      <c r="R179" s="363"/>
      <c r="S179" s="363"/>
      <c r="T179" s="363"/>
      <c r="U179" s="363"/>
      <c r="V179" s="363"/>
      <c r="W179" s="363"/>
      <c r="X179" s="363"/>
      <c r="Y179" s="363"/>
      <c r="Z179" s="363"/>
    </row>
    <row r="180" spans="1:26" ht="13.5" customHeight="1" x14ac:dyDescent="0.2">
      <c r="A180" s="386">
        <f t="shared" si="0"/>
        <v>17</v>
      </c>
      <c r="B180" s="387">
        <f t="shared" si="4"/>
        <v>195</v>
      </c>
      <c r="C180" s="398">
        <f t="shared" si="5"/>
        <v>52048</v>
      </c>
      <c r="D180" s="389">
        <f t="shared" si="6"/>
        <v>1305349.8445020586</v>
      </c>
      <c r="E180" s="389">
        <f t="shared" si="1"/>
        <v>6798.6971067815548</v>
      </c>
      <c r="F180" s="389">
        <f>($C$14-E180)*(B180&lt;$C$9*12+$B$22)*(B180&gt;INPUTS!$R$20*12+$B$22-1)</f>
        <v>6231.3620274298382</v>
      </c>
      <c r="G180" s="389">
        <f t="shared" si="2"/>
        <v>1299118.4824746288</v>
      </c>
      <c r="H180" s="389">
        <f t="shared" si="3"/>
        <v>1391014.7634356276</v>
      </c>
      <c r="I180" s="363"/>
      <c r="J180" s="363"/>
      <c r="K180" s="363"/>
      <c r="L180" s="363"/>
      <c r="M180" s="363"/>
      <c r="N180" s="363"/>
      <c r="O180" s="363"/>
      <c r="P180" s="363"/>
      <c r="Q180" s="363"/>
      <c r="R180" s="363"/>
      <c r="S180" s="363"/>
      <c r="T180" s="363"/>
      <c r="U180" s="363"/>
      <c r="V180" s="363"/>
      <c r="W180" s="363"/>
      <c r="X180" s="363"/>
      <c r="Y180" s="363"/>
      <c r="Z180" s="363"/>
    </row>
    <row r="181" spans="1:26" ht="13.5" customHeight="1" x14ac:dyDescent="0.2">
      <c r="A181" s="386">
        <f t="shared" si="0"/>
        <v>17</v>
      </c>
      <c r="B181" s="387">
        <f t="shared" si="4"/>
        <v>196</v>
      </c>
      <c r="C181" s="398">
        <f t="shared" si="5"/>
        <v>52079</v>
      </c>
      <c r="D181" s="389">
        <f t="shared" si="6"/>
        <v>1299118.4824746288</v>
      </c>
      <c r="E181" s="389">
        <f t="shared" si="1"/>
        <v>6766.2420962220249</v>
      </c>
      <c r="F181" s="389">
        <f>($C$14-E181)*(B181&lt;$C$9*12+$B$22)*(B181&gt;INPUTS!$R$20*12+$B$22-1)</f>
        <v>6263.8170379893681</v>
      </c>
      <c r="G181" s="389">
        <f t="shared" si="2"/>
        <v>1292854.6654366395</v>
      </c>
      <c r="H181" s="389">
        <f t="shared" si="3"/>
        <v>1397781.0055318496</v>
      </c>
      <c r="I181" s="363"/>
      <c r="J181" s="363"/>
      <c r="K181" s="363"/>
      <c r="L181" s="363"/>
      <c r="M181" s="363"/>
      <c r="N181" s="363"/>
      <c r="O181" s="363"/>
      <c r="P181" s="363"/>
      <c r="Q181" s="363"/>
      <c r="R181" s="363"/>
      <c r="S181" s="363"/>
      <c r="T181" s="363"/>
      <c r="U181" s="363"/>
      <c r="V181" s="363"/>
      <c r="W181" s="363"/>
      <c r="X181" s="363"/>
      <c r="Y181" s="363"/>
      <c r="Z181" s="363"/>
    </row>
    <row r="182" spans="1:26" ht="13.5" customHeight="1" x14ac:dyDescent="0.2">
      <c r="A182" s="386">
        <f t="shared" si="0"/>
        <v>17</v>
      </c>
      <c r="B182" s="387">
        <f t="shared" si="4"/>
        <v>197</v>
      </c>
      <c r="C182" s="398">
        <f t="shared" si="5"/>
        <v>52110</v>
      </c>
      <c r="D182" s="389">
        <f t="shared" si="6"/>
        <v>1292854.6654366395</v>
      </c>
      <c r="E182" s="389">
        <f t="shared" si="1"/>
        <v>6733.6180491491641</v>
      </c>
      <c r="F182" s="389">
        <f>($C$14-E182)*(B182&lt;$C$9*12+$B$22)*(B182&gt;INPUTS!$R$20*12+$B$22-1)</f>
        <v>6296.4410850622289</v>
      </c>
      <c r="G182" s="389">
        <f t="shared" si="2"/>
        <v>1286558.2243515772</v>
      </c>
      <c r="H182" s="389">
        <f t="shared" si="3"/>
        <v>1404514.6235809987</v>
      </c>
      <c r="I182" s="363"/>
      <c r="J182" s="363"/>
      <c r="K182" s="363"/>
      <c r="L182" s="363"/>
      <c r="M182" s="363"/>
      <c r="N182" s="363"/>
      <c r="O182" s="363"/>
      <c r="P182" s="363"/>
      <c r="Q182" s="363"/>
      <c r="R182" s="363"/>
      <c r="S182" s="363"/>
      <c r="T182" s="363"/>
      <c r="U182" s="363"/>
      <c r="V182" s="363"/>
      <c r="W182" s="363"/>
      <c r="X182" s="363"/>
      <c r="Y182" s="363"/>
      <c r="Z182" s="363"/>
    </row>
    <row r="183" spans="1:26" ht="13.5" customHeight="1" x14ac:dyDescent="0.2">
      <c r="A183" s="386">
        <f t="shared" si="0"/>
        <v>17</v>
      </c>
      <c r="B183" s="387">
        <f t="shared" si="4"/>
        <v>198</v>
      </c>
      <c r="C183" s="398">
        <f t="shared" si="5"/>
        <v>52140</v>
      </c>
      <c r="D183" s="389">
        <f t="shared" si="6"/>
        <v>1286558.2243515772</v>
      </c>
      <c r="E183" s="389">
        <f t="shared" si="1"/>
        <v>6700.824085164465</v>
      </c>
      <c r="F183" s="389">
        <f>($C$14-E183)*(B183&lt;$C$9*12+$B$22)*(B183&gt;INPUTS!$R$20*12+$B$22-1)</f>
        <v>6329.235049046928</v>
      </c>
      <c r="G183" s="389">
        <f t="shared" si="2"/>
        <v>1280228.9893025302</v>
      </c>
      <c r="H183" s="389">
        <f t="shared" si="3"/>
        <v>1411215.4476661631</v>
      </c>
      <c r="I183" s="363"/>
      <c r="J183" s="363"/>
      <c r="K183" s="363"/>
      <c r="L183" s="363"/>
      <c r="M183" s="363"/>
      <c r="N183" s="363"/>
      <c r="O183" s="363"/>
      <c r="P183" s="363"/>
      <c r="Q183" s="363"/>
      <c r="R183" s="363"/>
      <c r="S183" s="363"/>
      <c r="T183" s="363"/>
      <c r="U183" s="363"/>
      <c r="V183" s="363"/>
      <c r="W183" s="363"/>
      <c r="X183" s="363"/>
      <c r="Y183" s="363"/>
      <c r="Z183" s="363"/>
    </row>
    <row r="184" spans="1:26" ht="13.5" customHeight="1" x14ac:dyDescent="0.2">
      <c r="A184" s="386">
        <f t="shared" si="0"/>
        <v>17</v>
      </c>
      <c r="B184" s="387">
        <f t="shared" si="4"/>
        <v>199</v>
      </c>
      <c r="C184" s="398">
        <f t="shared" si="5"/>
        <v>52171</v>
      </c>
      <c r="D184" s="389">
        <f t="shared" si="6"/>
        <v>1280228.9893025302</v>
      </c>
      <c r="E184" s="389">
        <f t="shared" si="1"/>
        <v>6667.8593192840117</v>
      </c>
      <c r="F184" s="389">
        <f>($C$14-E184)*(B184&lt;$C$9*12+$B$22)*(B184&gt;INPUTS!$R$20*12+$B$22-1)</f>
        <v>6362.1998149273813</v>
      </c>
      <c r="G184" s="389">
        <f t="shared" si="2"/>
        <v>1273866.7894876029</v>
      </c>
      <c r="H184" s="389">
        <f t="shared" si="3"/>
        <v>1417883.3069854472</v>
      </c>
      <c r="I184" s="363"/>
      <c r="J184" s="363"/>
      <c r="K184" s="363"/>
      <c r="L184" s="363"/>
      <c r="M184" s="363"/>
      <c r="N184" s="363"/>
      <c r="O184" s="363"/>
      <c r="P184" s="363"/>
      <c r="Q184" s="363"/>
      <c r="R184" s="363"/>
      <c r="S184" s="363"/>
      <c r="T184" s="363"/>
      <c r="U184" s="363"/>
      <c r="V184" s="363"/>
      <c r="W184" s="363"/>
      <c r="X184" s="363"/>
      <c r="Y184" s="363"/>
      <c r="Z184" s="363"/>
    </row>
    <row r="185" spans="1:26" ht="13.5" customHeight="1" x14ac:dyDescent="0.2">
      <c r="A185" s="386">
        <f t="shared" si="0"/>
        <v>17</v>
      </c>
      <c r="B185" s="387">
        <f t="shared" si="4"/>
        <v>200</v>
      </c>
      <c r="C185" s="398">
        <f t="shared" si="5"/>
        <v>52201</v>
      </c>
      <c r="D185" s="389">
        <f t="shared" si="6"/>
        <v>1273866.7894876029</v>
      </c>
      <c r="E185" s="389">
        <f t="shared" si="1"/>
        <v>6634.7228619145981</v>
      </c>
      <c r="F185" s="389">
        <f>($C$14-E185)*(B185&lt;$C$9*12+$B$22)*(B185&gt;INPUTS!$R$20*12+$B$22-1)</f>
        <v>6395.336272296795</v>
      </c>
      <c r="G185" s="389">
        <f t="shared" si="2"/>
        <v>1267471.4532153062</v>
      </c>
      <c r="H185" s="389">
        <f t="shared" si="3"/>
        <v>1424518.0298473618</v>
      </c>
      <c r="I185" s="363"/>
      <c r="J185" s="363"/>
      <c r="K185" s="363"/>
      <c r="L185" s="363"/>
      <c r="M185" s="363"/>
      <c r="N185" s="363"/>
      <c r="O185" s="363"/>
      <c r="P185" s="363"/>
      <c r="Q185" s="363"/>
      <c r="R185" s="363"/>
      <c r="S185" s="363"/>
      <c r="T185" s="363"/>
      <c r="U185" s="363"/>
      <c r="V185" s="363"/>
      <c r="W185" s="363"/>
      <c r="X185" s="363"/>
      <c r="Y185" s="363"/>
      <c r="Z185" s="363"/>
    </row>
    <row r="186" spans="1:26" ht="13.5" customHeight="1" x14ac:dyDescent="0.2">
      <c r="A186" s="386">
        <f t="shared" si="0"/>
        <v>17</v>
      </c>
      <c r="B186" s="387">
        <f t="shared" si="4"/>
        <v>201</v>
      </c>
      <c r="C186" s="398">
        <f t="shared" si="5"/>
        <v>52232</v>
      </c>
      <c r="D186" s="389">
        <f t="shared" si="6"/>
        <v>1267471.4532153062</v>
      </c>
      <c r="E186" s="389">
        <f t="shared" si="1"/>
        <v>6601.4138188297193</v>
      </c>
      <c r="F186" s="389">
        <f>($C$14-E186)*(B186&lt;$C$9*12+$B$22)*(B186&gt;INPUTS!$R$20*12+$B$22-1)</f>
        <v>6428.6453153816738</v>
      </c>
      <c r="G186" s="389">
        <f t="shared" si="2"/>
        <v>1261042.8078999245</v>
      </c>
      <c r="H186" s="389">
        <f t="shared" si="3"/>
        <v>1431119.4436661915</v>
      </c>
      <c r="I186" s="363"/>
      <c r="J186" s="363"/>
      <c r="K186" s="363"/>
      <c r="L186" s="363"/>
      <c r="M186" s="363"/>
      <c r="N186" s="363"/>
      <c r="O186" s="363"/>
      <c r="P186" s="363"/>
      <c r="Q186" s="363"/>
      <c r="R186" s="363"/>
      <c r="S186" s="363"/>
      <c r="T186" s="363"/>
      <c r="U186" s="363"/>
      <c r="V186" s="363"/>
      <c r="W186" s="363"/>
      <c r="X186" s="363"/>
      <c r="Y186" s="363"/>
      <c r="Z186" s="363"/>
    </row>
    <row r="187" spans="1:26" ht="13.5" customHeight="1" x14ac:dyDescent="0.2">
      <c r="A187" s="386">
        <f t="shared" si="0"/>
        <v>17</v>
      </c>
      <c r="B187" s="387">
        <f t="shared" si="4"/>
        <v>202</v>
      </c>
      <c r="C187" s="398">
        <f t="shared" si="5"/>
        <v>52263</v>
      </c>
      <c r="D187" s="389">
        <f t="shared" si="6"/>
        <v>1261042.8078999245</v>
      </c>
      <c r="E187" s="389">
        <f t="shared" si="1"/>
        <v>6567.9312911454399</v>
      </c>
      <c r="F187" s="389">
        <f>($C$14-E187)*(B187&lt;$C$9*12+$B$22)*(B187&gt;INPUTS!$R$20*12+$B$22-1)</f>
        <v>6462.1278430659531</v>
      </c>
      <c r="G187" s="389">
        <f t="shared" si="2"/>
        <v>1254580.6800568586</v>
      </c>
      <c r="H187" s="389">
        <f t="shared" si="3"/>
        <v>1437687.374957337</v>
      </c>
      <c r="I187" s="363"/>
      <c r="J187" s="363"/>
      <c r="K187" s="363"/>
      <c r="L187" s="363"/>
      <c r="M187" s="363"/>
      <c r="N187" s="363"/>
      <c r="O187" s="363"/>
      <c r="P187" s="363"/>
      <c r="Q187" s="363"/>
      <c r="R187" s="363"/>
      <c r="S187" s="363"/>
      <c r="T187" s="363"/>
      <c r="U187" s="363"/>
      <c r="V187" s="363"/>
      <c r="W187" s="363"/>
      <c r="X187" s="363"/>
      <c r="Y187" s="363"/>
      <c r="Z187" s="363"/>
    </row>
    <row r="188" spans="1:26" ht="13.5" customHeight="1" x14ac:dyDescent="0.2">
      <c r="A188" s="386">
        <f t="shared" si="0"/>
        <v>17</v>
      </c>
      <c r="B188" s="387">
        <f t="shared" si="4"/>
        <v>203</v>
      </c>
      <c r="C188" s="398">
        <f t="shared" si="5"/>
        <v>52291</v>
      </c>
      <c r="D188" s="389">
        <f t="shared" si="6"/>
        <v>1254580.6800568586</v>
      </c>
      <c r="E188" s="389">
        <f t="shared" si="1"/>
        <v>6534.2743752961387</v>
      </c>
      <c r="F188" s="389">
        <f>($C$14-E188)*(B188&lt;$C$9*12+$B$22)*(B188&gt;INPUTS!$R$20*12+$B$22-1)</f>
        <v>6495.7847589152543</v>
      </c>
      <c r="G188" s="389">
        <f t="shared" si="2"/>
        <v>1248084.8952979434</v>
      </c>
      <c r="H188" s="389">
        <f t="shared" si="3"/>
        <v>1444221.6493326332</v>
      </c>
      <c r="I188" s="363"/>
      <c r="J188" s="363"/>
      <c r="K188" s="363"/>
      <c r="L188" s="363"/>
      <c r="M188" s="363"/>
      <c r="N188" s="363"/>
      <c r="O188" s="363"/>
      <c r="P188" s="363"/>
      <c r="Q188" s="363"/>
      <c r="R188" s="363"/>
      <c r="S188" s="363"/>
      <c r="T188" s="363"/>
      <c r="U188" s="363"/>
      <c r="V188" s="363"/>
      <c r="W188" s="363"/>
      <c r="X188" s="363"/>
      <c r="Y188" s="363"/>
      <c r="Z188" s="363"/>
    </row>
    <row r="189" spans="1:26" ht="13.5" customHeight="1" x14ac:dyDescent="0.2">
      <c r="A189" s="386">
        <f t="shared" si="0"/>
        <v>17</v>
      </c>
      <c r="B189" s="387">
        <f t="shared" si="4"/>
        <v>204</v>
      </c>
      <c r="C189" s="398">
        <f t="shared" si="5"/>
        <v>52322</v>
      </c>
      <c r="D189" s="389">
        <f t="shared" si="6"/>
        <v>1248084.8952979434</v>
      </c>
      <c r="E189" s="389">
        <f t="shared" si="1"/>
        <v>6500.4421630101215</v>
      </c>
      <c r="F189" s="389">
        <f>($C$14-E189)*(B189&lt;$C$9*12+$B$22)*(B189&gt;INPUTS!$R$20*12+$B$22-1)</f>
        <v>6529.6169712012716</v>
      </c>
      <c r="G189" s="389">
        <f t="shared" si="2"/>
        <v>1241555.2783267421</v>
      </c>
      <c r="H189" s="389">
        <f t="shared" si="3"/>
        <v>1450722.0914956434</v>
      </c>
      <c r="I189" s="363"/>
      <c r="J189" s="363"/>
      <c r="K189" s="363"/>
      <c r="L189" s="363"/>
      <c r="M189" s="363"/>
      <c r="N189" s="363"/>
      <c r="O189" s="363"/>
      <c r="P189" s="363"/>
      <c r="Q189" s="363"/>
      <c r="R189" s="363"/>
      <c r="S189" s="363"/>
      <c r="T189" s="363"/>
      <c r="U189" s="363"/>
      <c r="V189" s="363"/>
      <c r="W189" s="363"/>
      <c r="X189" s="363"/>
      <c r="Y189" s="363"/>
      <c r="Z189" s="363"/>
    </row>
    <row r="190" spans="1:26" ht="13.5" customHeight="1" x14ac:dyDescent="0.2">
      <c r="A190" s="386">
        <f t="shared" si="0"/>
        <v>18</v>
      </c>
      <c r="B190" s="387">
        <f t="shared" si="4"/>
        <v>205</v>
      </c>
      <c r="C190" s="398">
        <f t="shared" si="5"/>
        <v>52352</v>
      </c>
      <c r="D190" s="389">
        <f t="shared" si="6"/>
        <v>1241555.2783267421</v>
      </c>
      <c r="E190" s="389">
        <f t="shared" si="1"/>
        <v>6466.4337412851155</v>
      </c>
      <c r="F190" s="389">
        <f>($C$14-E190)*(B190&lt;$C$9*12+$B$22)*(B190&gt;INPUTS!$R$20*12+$B$22-1)</f>
        <v>6563.6253929262775</v>
      </c>
      <c r="G190" s="389">
        <f t="shared" si="2"/>
        <v>1234991.6529338157</v>
      </c>
      <c r="H190" s="389">
        <f t="shared" si="3"/>
        <v>1457188.5252369284</v>
      </c>
      <c r="I190" s="363"/>
      <c r="J190" s="363"/>
      <c r="K190" s="363"/>
      <c r="L190" s="363"/>
      <c r="M190" s="363"/>
      <c r="N190" s="363"/>
      <c r="O190" s="363"/>
      <c r="P190" s="363"/>
      <c r="Q190" s="363"/>
      <c r="R190" s="363"/>
      <c r="S190" s="363"/>
      <c r="T190" s="363"/>
      <c r="U190" s="363"/>
      <c r="V190" s="363"/>
      <c r="W190" s="363"/>
      <c r="X190" s="363"/>
      <c r="Y190" s="363"/>
      <c r="Z190" s="363"/>
    </row>
    <row r="191" spans="1:26" ht="13.5" customHeight="1" x14ac:dyDescent="0.2">
      <c r="A191" s="386">
        <f t="shared" si="0"/>
        <v>18</v>
      </c>
      <c r="B191" s="387">
        <f t="shared" si="4"/>
        <v>206</v>
      </c>
      <c r="C191" s="398">
        <f t="shared" si="5"/>
        <v>52383</v>
      </c>
      <c r="D191" s="389">
        <f t="shared" si="6"/>
        <v>1234991.6529338157</v>
      </c>
      <c r="E191" s="389">
        <f t="shared" si="1"/>
        <v>6432.2481923636233</v>
      </c>
      <c r="F191" s="389">
        <f>($C$14-E191)*(B191&lt;$C$9*12+$B$22)*(B191&gt;INPUTS!$R$20*12+$B$22-1)</f>
        <v>6597.8109418477698</v>
      </c>
      <c r="G191" s="389">
        <f t="shared" si="2"/>
        <v>1228393.841991968</v>
      </c>
      <c r="H191" s="389">
        <f t="shared" si="3"/>
        <v>1463620.773429292</v>
      </c>
      <c r="I191" s="363"/>
      <c r="J191" s="363"/>
      <c r="K191" s="363"/>
      <c r="L191" s="363"/>
      <c r="M191" s="363"/>
      <c r="N191" s="363"/>
      <c r="O191" s="363"/>
      <c r="P191" s="363"/>
      <c r="Q191" s="363"/>
      <c r="R191" s="363"/>
      <c r="S191" s="363"/>
      <c r="T191" s="363"/>
      <c r="U191" s="363"/>
      <c r="V191" s="363"/>
      <c r="W191" s="363"/>
      <c r="X191" s="363"/>
      <c r="Y191" s="363"/>
      <c r="Z191" s="363"/>
    </row>
    <row r="192" spans="1:26" ht="13.5" customHeight="1" x14ac:dyDescent="0.2">
      <c r="A192" s="386">
        <f t="shared" si="0"/>
        <v>18</v>
      </c>
      <c r="B192" s="387">
        <f t="shared" si="4"/>
        <v>207</v>
      </c>
      <c r="C192" s="398">
        <f t="shared" si="5"/>
        <v>52413</v>
      </c>
      <c r="D192" s="389">
        <f t="shared" si="6"/>
        <v>1228393.841991968</v>
      </c>
      <c r="E192" s="389">
        <f t="shared" si="1"/>
        <v>6397.8845937081669</v>
      </c>
      <c r="F192" s="389">
        <f>($C$14-E192)*(B192&lt;$C$9*12+$B$22)*(B192&gt;INPUTS!$R$20*12+$B$22-1)</f>
        <v>6632.1745405032261</v>
      </c>
      <c r="G192" s="389">
        <f t="shared" si="2"/>
        <v>1221761.6674514648</v>
      </c>
      <c r="H192" s="389">
        <f t="shared" si="3"/>
        <v>1470018.6580230002</v>
      </c>
      <c r="I192" s="363"/>
      <c r="J192" s="363"/>
      <c r="K192" s="363"/>
      <c r="L192" s="363"/>
      <c r="M192" s="363"/>
      <c r="N192" s="363"/>
      <c r="O192" s="363"/>
      <c r="P192" s="363"/>
      <c r="Q192" s="363"/>
      <c r="R192" s="363"/>
      <c r="S192" s="363"/>
      <c r="T192" s="363"/>
      <c r="U192" s="363"/>
      <c r="V192" s="363"/>
      <c r="W192" s="363"/>
      <c r="X192" s="363"/>
      <c r="Y192" s="363"/>
      <c r="Z192" s="363"/>
    </row>
    <row r="193" spans="1:26" ht="13.5" customHeight="1" x14ac:dyDescent="0.2">
      <c r="A193" s="386">
        <f t="shared" si="0"/>
        <v>18</v>
      </c>
      <c r="B193" s="387">
        <f t="shared" si="4"/>
        <v>208</v>
      </c>
      <c r="C193" s="398">
        <f t="shared" si="5"/>
        <v>52444</v>
      </c>
      <c r="D193" s="389">
        <f t="shared" si="6"/>
        <v>1221761.6674514648</v>
      </c>
      <c r="E193" s="389">
        <f t="shared" si="1"/>
        <v>6363.3420179763789</v>
      </c>
      <c r="F193" s="389">
        <f>($C$14-E193)*(B193&lt;$C$9*12+$B$22)*(B193&gt;INPUTS!$R$20*12+$B$22-1)</f>
        <v>6666.7171162350141</v>
      </c>
      <c r="G193" s="389">
        <f t="shared" si="2"/>
        <v>1215094.9503352297</v>
      </c>
      <c r="H193" s="389">
        <f t="shared" si="3"/>
        <v>1476382.0000409766</v>
      </c>
      <c r="I193" s="363"/>
      <c r="J193" s="363"/>
      <c r="K193" s="363"/>
      <c r="L193" s="363"/>
      <c r="M193" s="363"/>
      <c r="N193" s="363"/>
      <c r="O193" s="363"/>
      <c r="P193" s="363"/>
      <c r="Q193" s="363"/>
      <c r="R193" s="363"/>
      <c r="S193" s="363"/>
      <c r="T193" s="363"/>
      <c r="U193" s="363"/>
      <c r="V193" s="363"/>
      <c r="W193" s="363"/>
      <c r="X193" s="363"/>
      <c r="Y193" s="363"/>
      <c r="Z193" s="363"/>
    </row>
    <row r="194" spans="1:26" ht="13.5" customHeight="1" x14ac:dyDescent="0.2">
      <c r="A194" s="386">
        <f t="shared" si="0"/>
        <v>18</v>
      </c>
      <c r="B194" s="387">
        <f t="shared" si="4"/>
        <v>209</v>
      </c>
      <c r="C194" s="398">
        <f t="shared" si="5"/>
        <v>52475</v>
      </c>
      <c r="D194" s="389">
        <f t="shared" si="6"/>
        <v>1215094.9503352297</v>
      </c>
      <c r="E194" s="389">
        <f t="shared" si="1"/>
        <v>6328.6195329959883</v>
      </c>
      <c r="F194" s="389">
        <f>($C$14-E194)*(B194&lt;$C$9*12+$B$22)*(B194&gt;INPUTS!$R$20*12+$B$22-1)</f>
        <v>6701.4396012154048</v>
      </c>
      <c r="G194" s="389">
        <f t="shared" si="2"/>
        <v>1208393.5107340144</v>
      </c>
      <c r="H194" s="389">
        <f t="shared" si="3"/>
        <v>1482710.6195739727</v>
      </c>
      <c r="I194" s="363"/>
      <c r="J194" s="363"/>
      <c r="K194" s="363"/>
      <c r="L194" s="363"/>
      <c r="M194" s="363"/>
      <c r="N194" s="363"/>
      <c r="O194" s="363"/>
      <c r="P194" s="363"/>
      <c r="Q194" s="363"/>
      <c r="R194" s="363"/>
      <c r="S194" s="363"/>
      <c r="T194" s="363"/>
      <c r="U194" s="363"/>
      <c r="V194" s="363"/>
      <c r="W194" s="363"/>
      <c r="X194" s="363"/>
      <c r="Y194" s="363"/>
      <c r="Z194" s="363"/>
    </row>
    <row r="195" spans="1:26" ht="13.5" customHeight="1" x14ac:dyDescent="0.2">
      <c r="A195" s="386">
        <f t="shared" si="0"/>
        <v>18</v>
      </c>
      <c r="B195" s="387">
        <f t="shared" si="4"/>
        <v>210</v>
      </c>
      <c r="C195" s="398">
        <f t="shared" si="5"/>
        <v>52505</v>
      </c>
      <c r="D195" s="389">
        <f t="shared" si="6"/>
        <v>1208393.5107340144</v>
      </c>
      <c r="E195" s="389">
        <f t="shared" si="1"/>
        <v>6293.7162017396586</v>
      </c>
      <c r="F195" s="389">
        <f>($C$14-E195)*(B195&lt;$C$9*12+$B$22)*(B195&gt;INPUTS!$R$20*12+$B$22-1)</f>
        <v>6736.3429324717345</v>
      </c>
      <c r="G195" s="389">
        <f t="shared" si="2"/>
        <v>1201657.1678015427</v>
      </c>
      <c r="H195" s="389">
        <f t="shared" si="3"/>
        <v>1489004.3357757123</v>
      </c>
      <c r="I195" s="363"/>
      <c r="J195" s="363"/>
      <c r="K195" s="363"/>
      <c r="L195" s="363"/>
      <c r="M195" s="363"/>
      <c r="N195" s="363"/>
      <c r="O195" s="363"/>
      <c r="P195" s="363"/>
      <c r="Q195" s="363"/>
      <c r="R195" s="363"/>
      <c r="S195" s="363"/>
      <c r="T195" s="363"/>
      <c r="U195" s="363"/>
      <c r="V195" s="363"/>
      <c r="W195" s="363"/>
      <c r="X195" s="363"/>
      <c r="Y195" s="363"/>
      <c r="Z195" s="363"/>
    </row>
    <row r="196" spans="1:26" ht="13.5" customHeight="1" x14ac:dyDescent="0.2">
      <c r="A196" s="386">
        <f t="shared" si="0"/>
        <v>18</v>
      </c>
      <c r="B196" s="387">
        <f t="shared" si="4"/>
        <v>211</v>
      </c>
      <c r="C196" s="398">
        <f t="shared" si="5"/>
        <v>52536</v>
      </c>
      <c r="D196" s="389">
        <f t="shared" si="6"/>
        <v>1201657.1678015427</v>
      </c>
      <c r="E196" s="389">
        <f t="shared" si="1"/>
        <v>6258.6310822997011</v>
      </c>
      <c r="F196" s="389">
        <f>($C$14-E196)*(B196&lt;$C$9*12+$B$22)*(B196&gt;INPUTS!$R$20*12+$B$22-1)</f>
        <v>6771.4280519116919</v>
      </c>
      <c r="G196" s="389">
        <f t="shared" si="2"/>
        <v>1194885.7397496309</v>
      </c>
      <c r="H196" s="389">
        <f t="shared" si="3"/>
        <v>1495262.9668580119</v>
      </c>
      <c r="I196" s="363"/>
      <c r="J196" s="363"/>
      <c r="K196" s="363"/>
      <c r="L196" s="363"/>
      <c r="M196" s="363"/>
      <c r="N196" s="363"/>
      <c r="O196" s="363"/>
      <c r="P196" s="363"/>
      <c r="Q196" s="363"/>
      <c r="R196" s="363"/>
      <c r="S196" s="363"/>
      <c r="T196" s="363"/>
      <c r="U196" s="363"/>
      <c r="V196" s="363"/>
      <c r="W196" s="363"/>
      <c r="X196" s="363"/>
      <c r="Y196" s="363"/>
      <c r="Z196" s="363"/>
    </row>
    <row r="197" spans="1:26" ht="13.5" customHeight="1" x14ac:dyDescent="0.2">
      <c r="A197" s="386">
        <f t="shared" si="0"/>
        <v>18</v>
      </c>
      <c r="B197" s="387">
        <f t="shared" si="4"/>
        <v>212</v>
      </c>
      <c r="C197" s="398">
        <f t="shared" si="5"/>
        <v>52566</v>
      </c>
      <c r="D197" s="389">
        <f t="shared" si="6"/>
        <v>1194885.7397496309</v>
      </c>
      <c r="E197" s="389">
        <f t="shared" si="1"/>
        <v>6223.363227862661</v>
      </c>
      <c r="F197" s="389">
        <f>($C$14-E197)*(B197&lt;$C$9*12+$B$22)*(B197&gt;INPUTS!$R$20*12+$B$22-1)</f>
        <v>6806.695906348732</v>
      </c>
      <c r="G197" s="389">
        <f t="shared" si="2"/>
        <v>1188079.0438432822</v>
      </c>
      <c r="H197" s="389">
        <f t="shared" si="3"/>
        <v>1501486.3300858745</v>
      </c>
      <c r="I197" s="363"/>
      <c r="J197" s="363"/>
      <c r="K197" s="363"/>
      <c r="L197" s="363"/>
      <c r="M197" s="363"/>
      <c r="N197" s="363"/>
      <c r="O197" s="363"/>
      <c r="P197" s="363"/>
      <c r="Q197" s="363"/>
      <c r="R197" s="363"/>
      <c r="S197" s="363"/>
      <c r="T197" s="363"/>
      <c r="U197" s="363"/>
      <c r="V197" s="363"/>
      <c r="W197" s="363"/>
      <c r="X197" s="363"/>
      <c r="Y197" s="363"/>
      <c r="Z197" s="363"/>
    </row>
    <row r="198" spans="1:26" ht="13.5" customHeight="1" x14ac:dyDescent="0.2">
      <c r="A198" s="386">
        <f t="shared" si="0"/>
        <v>18</v>
      </c>
      <c r="B198" s="387">
        <f t="shared" si="4"/>
        <v>213</v>
      </c>
      <c r="C198" s="398">
        <f t="shared" si="5"/>
        <v>52597</v>
      </c>
      <c r="D198" s="389">
        <f t="shared" si="6"/>
        <v>1188079.0438432822</v>
      </c>
      <c r="E198" s="389">
        <f t="shared" si="1"/>
        <v>6187.9116866837612</v>
      </c>
      <c r="F198" s="389">
        <f>($C$14-E198)*(B198&lt;$C$9*12+$B$22)*(B198&gt;INPUTS!$R$20*12+$B$22-1)</f>
        <v>6842.1474475276318</v>
      </c>
      <c r="G198" s="389">
        <f t="shared" si="2"/>
        <v>1181236.8963957545</v>
      </c>
      <c r="H198" s="389">
        <f t="shared" si="3"/>
        <v>1507674.2417725583</v>
      </c>
      <c r="I198" s="363"/>
      <c r="J198" s="363"/>
      <c r="K198" s="363"/>
      <c r="L198" s="363"/>
      <c r="M198" s="363"/>
      <c r="N198" s="363"/>
      <c r="O198" s="363"/>
      <c r="P198" s="363"/>
      <c r="Q198" s="363"/>
      <c r="R198" s="363"/>
      <c r="S198" s="363"/>
      <c r="T198" s="363"/>
      <c r="U198" s="363"/>
      <c r="V198" s="363"/>
      <c r="W198" s="363"/>
      <c r="X198" s="363"/>
      <c r="Y198" s="363"/>
      <c r="Z198" s="363"/>
    </row>
    <row r="199" spans="1:26" ht="13.5" customHeight="1" x14ac:dyDescent="0.2">
      <c r="A199" s="386">
        <f t="shared" si="0"/>
        <v>18</v>
      </c>
      <c r="B199" s="387">
        <f t="shared" si="4"/>
        <v>214</v>
      </c>
      <c r="C199" s="398">
        <f t="shared" si="5"/>
        <v>52628</v>
      </c>
      <c r="D199" s="389">
        <f t="shared" si="6"/>
        <v>1181236.8963957545</v>
      </c>
      <c r="E199" s="389">
        <f t="shared" si="1"/>
        <v>6152.2755020612212</v>
      </c>
      <c r="F199" s="389">
        <f>($C$14-E199)*(B199&lt;$C$9*12+$B$22)*(B199&gt;INPUTS!$R$20*12+$B$22-1)</f>
        <v>6877.7836321501718</v>
      </c>
      <c r="G199" s="389">
        <f t="shared" si="2"/>
        <v>1174359.1127636044</v>
      </c>
      <c r="H199" s="389">
        <f t="shared" si="3"/>
        <v>1513826.5172746195</v>
      </c>
      <c r="I199" s="363"/>
      <c r="J199" s="363"/>
      <c r="K199" s="363"/>
      <c r="L199" s="363"/>
      <c r="M199" s="363"/>
      <c r="N199" s="363"/>
      <c r="O199" s="363"/>
      <c r="P199" s="363"/>
      <c r="Q199" s="363"/>
      <c r="R199" s="363"/>
      <c r="S199" s="363"/>
      <c r="T199" s="363"/>
      <c r="U199" s="363"/>
      <c r="V199" s="363"/>
      <c r="W199" s="363"/>
      <c r="X199" s="363"/>
      <c r="Y199" s="363"/>
      <c r="Z199" s="363"/>
    </row>
    <row r="200" spans="1:26" ht="13.5" customHeight="1" x14ac:dyDescent="0.2">
      <c r="A200" s="386">
        <f t="shared" si="0"/>
        <v>18</v>
      </c>
      <c r="B200" s="387">
        <f t="shared" si="4"/>
        <v>215</v>
      </c>
      <c r="C200" s="398">
        <f t="shared" si="5"/>
        <v>52657</v>
      </c>
      <c r="D200" s="389">
        <f t="shared" si="6"/>
        <v>1174359.1127636044</v>
      </c>
      <c r="E200" s="389">
        <f t="shared" si="1"/>
        <v>6116.4537123104392</v>
      </c>
      <c r="F200" s="389">
        <f>($C$14-E200)*(B200&lt;$C$9*12+$B$22)*(B200&gt;INPUTS!$R$20*12+$B$22-1)</f>
        <v>6913.6054219009538</v>
      </c>
      <c r="G200" s="389">
        <f t="shared" si="2"/>
        <v>1167445.5073417034</v>
      </c>
      <c r="H200" s="389">
        <f t="shared" si="3"/>
        <v>1519942.97098693</v>
      </c>
      <c r="I200" s="363"/>
      <c r="J200" s="363"/>
      <c r="K200" s="363"/>
      <c r="L200" s="363"/>
      <c r="M200" s="363"/>
      <c r="N200" s="363"/>
      <c r="O200" s="363"/>
      <c r="P200" s="363"/>
      <c r="Q200" s="363"/>
      <c r="R200" s="363"/>
      <c r="S200" s="363"/>
      <c r="T200" s="363"/>
      <c r="U200" s="363"/>
      <c r="V200" s="363"/>
      <c r="W200" s="363"/>
      <c r="X200" s="363"/>
      <c r="Y200" s="363"/>
      <c r="Z200" s="363"/>
    </row>
    <row r="201" spans="1:26" ht="13.5" customHeight="1" x14ac:dyDescent="0.2">
      <c r="A201" s="386">
        <f t="shared" si="0"/>
        <v>18</v>
      </c>
      <c r="B201" s="387">
        <f t="shared" si="4"/>
        <v>216</v>
      </c>
      <c r="C201" s="398">
        <f t="shared" si="5"/>
        <v>52688</v>
      </c>
      <c r="D201" s="389">
        <f t="shared" si="6"/>
        <v>1167445.5073417034</v>
      </c>
      <c r="E201" s="389">
        <f t="shared" si="1"/>
        <v>6080.4453507380385</v>
      </c>
      <c r="F201" s="389">
        <f>($C$14-E201)*(B201&lt;$C$9*12+$B$22)*(B201&gt;INPUTS!$R$20*12+$B$22-1)</f>
        <v>6949.6137834733545</v>
      </c>
      <c r="G201" s="389">
        <f t="shared" si="2"/>
        <v>1160495.89355823</v>
      </c>
      <c r="H201" s="389">
        <f t="shared" si="3"/>
        <v>1526023.416337668</v>
      </c>
      <c r="I201" s="363"/>
      <c r="J201" s="363"/>
      <c r="K201" s="363"/>
      <c r="L201" s="363"/>
      <c r="M201" s="363"/>
      <c r="N201" s="363"/>
      <c r="O201" s="363"/>
      <c r="P201" s="363"/>
      <c r="Q201" s="363"/>
      <c r="R201" s="363"/>
      <c r="S201" s="363"/>
      <c r="T201" s="363"/>
      <c r="U201" s="363"/>
      <c r="V201" s="363"/>
      <c r="W201" s="363"/>
      <c r="X201" s="363"/>
      <c r="Y201" s="363"/>
      <c r="Z201" s="363"/>
    </row>
    <row r="202" spans="1:26" ht="13.5" customHeight="1" x14ac:dyDescent="0.2">
      <c r="A202" s="386">
        <f t="shared" si="0"/>
        <v>19</v>
      </c>
      <c r="B202" s="387">
        <f t="shared" si="4"/>
        <v>217</v>
      </c>
      <c r="C202" s="398">
        <f t="shared" si="5"/>
        <v>52718</v>
      </c>
      <c r="D202" s="389">
        <f t="shared" si="6"/>
        <v>1160495.89355823</v>
      </c>
      <c r="E202" s="389">
        <f t="shared" si="1"/>
        <v>6044.249445615781</v>
      </c>
      <c r="F202" s="389">
        <f>($C$14-E202)*(B202&lt;$C$9*12+$B$22)*(B202&gt;INPUTS!$R$20*12+$B$22-1)</f>
        <v>6985.809688595612</v>
      </c>
      <c r="G202" s="389">
        <f t="shared" si="2"/>
        <v>1153510.0838696344</v>
      </c>
      <c r="H202" s="389">
        <f t="shared" si="3"/>
        <v>1532067.6657832838</v>
      </c>
      <c r="I202" s="363"/>
      <c r="J202" s="363"/>
      <c r="K202" s="363"/>
      <c r="L202" s="363"/>
      <c r="M202" s="363"/>
      <c r="N202" s="363"/>
      <c r="O202" s="363"/>
      <c r="P202" s="363"/>
      <c r="Q202" s="363"/>
      <c r="R202" s="363"/>
      <c r="S202" s="363"/>
      <c r="T202" s="363"/>
      <c r="U202" s="363"/>
      <c r="V202" s="363"/>
      <c r="W202" s="363"/>
      <c r="X202" s="363"/>
      <c r="Y202" s="363"/>
      <c r="Z202" s="363"/>
    </row>
    <row r="203" spans="1:26" ht="13.5" customHeight="1" x14ac:dyDescent="0.2">
      <c r="A203" s="386">
        <f t="shared" si="0"/>
        <v>19</v>
      </c>
      <c r="B203" s="387">
        <f t="shared" si="4"/>
        <v>218</v>
      </c>
      <c r="C203" s="398">
        <f t="shared" si="5"/>
        <v>52749</v>
      </c>
      <c r="D203" s="389">
        <f t="shared" si="6"/>
        <v>1153510.0838696344</v>
      </c>
      <c r="E203" s="389">
        <f t="shared" si="1"/>
        <v>6007.865020154346</v>
      </c>
      <c r="F203" s="389">
        <f>($C$14-E203)*(B203&lt;$C$9*12+$B$22)*(B203&gt;INPUTS!$R$20*12+$B$22-1)</f>
        <v>7022.194114057047</v>
      </c>
      <c r="G203" s="389">
        <f t="shared" si="2"/>
        <v>1146487.8897555773</v>
      </c>
      <c r="H203" s="389">
        <f t="shared" si="3"/>
        <v>1538075.530803438</v>
      </c>
      <c r="I203" s="363"/>
      <c r="J203" s="363"/>
      <c r="K203" s="363"/>
      <c r="L203" s="363"/>
      <c r="M203" s="363"/>
      <c r="N203" s="363"/>
      <c r="O203" s="363"/>
      <c r="P203" s="363"/>
      <c r="Q203" s="363"/>
      <c r="R203" s="363"/>
      <c r="S203" s="363"/>
      <c r="T203" s="363"/>
      <c r="U203" s="363"/>
      <c r="V203" s="363"/>
      <c r="W203" s="363"/>
      <c r="X203" s="363"/>
      <c r="Y203" s="363"/>
      <c r="Z203" s="363"/>
    </row>
    <row r="204" spans="1:26" ht="13.5" customHeight="1" x14ac:dyDescent="0.2">
      <c r="A204" s="386">
        <f t="shared" si="0"/>
        <v>19</v>
      </c>
      <c r="B204" s="387">
        <f t="shared" si="4"/>
        <v>219</v>
      </c>
      <c r="C204" s="398">
        <f t="shared" si="5"/>
        <v>52779</v>
      </c>
      <c r="D204" s="389">
        <f t="shared" si="6"/>
        <v>1146487.8897555773</v>
      </c>
      <c r="E204" s="389">
        <f t="shared" si="1"/>
        <v>5971.2910924769649</v>
      </c>
      <c r="F204" s="389">
        <f>($C$14-E204)*(B204&lt;$C$9*12+$B$22)*(B204&gt;INPUTS!$R$20*12+$B$22-1)</f>
        <v>7058.7680417344282</v>
      </c>
      <c r="G204" s="389">
        <f t="shared" si="2"/>
        <v>1139429.121713843</v>
      </c>
      <c r="H204" s="389">
        <f t="shared" si="3"/>
        <v>1544046.8218959151</v>
      </c>
      <c r="I204" s="363"/>
      <c r="J204" s="363"/>
      <c r="K204" s="363"/>
      <c r="L204" s="363"/>
      <c r="M204" s="363"/>
      <c r="N204" s="363"/>
      <c r="O204" s="363"/>
      <c r="P204" s="363"/>
      <c r="Q204" s="363"/>
      <c r="R204" s="363"/>
      <c r="S204" s="363"/>
      <c r="T204" s="363"/>
      <c r="U204" s="363"/>
      <c r="V204" s="363"/>
      <c r="W204" s="363"/>
      <c r="X204" s="363"/>
      <c r="Y204" s="363"/>
      <c r="Z204" s="363"/>
    </row>
    <row r="205" spans="1:26" ht="13.5" customHeight="1" x14ac:dyDescent="0.2">
      <c r="A205" s="386">
        <f t="shared" si="0"/>
        <v>19</v>
      </c>
      <c r="B205" s="387">
        <f t="shared" si="4"/>
        <v>220</v>
      </c>
      <c r="C205" s="398">
        <f t="shared" si="5"/>
        <v>52810</v>
      </c>
      <c r="D205" s="389">
        <f t="shared" si="6"/>
        <v>1139429.121713843</v>
      </c>
      <c r="E205" s="389">
        <f t="shared" si="1"/>
        <v>5934.5266755929324</v>
      </c>
      <c r="F205" s="389">
        <f>($C$14-E205)*(B205&lt;$C$9*12+$B$22)*(B205&gt;INPUTS!$R$20*12+$B$22-1)</f>
        <v>7095.5324586184606</v>
      </c>
      <c r="G205" s="389">
        <f t="shared" si="2"/>
        <v>1132333.5892552244</v>
      </c>
      <c r="H205" s="389">
        <f t="shared" si="3"/>
        <v>1549981.348571508</v>
      </c>
      <c r="I205" s="363"/>
      <c r="J205" s="363"/>
      <c r="K205" s="363"/>
      <c r="L205" s="363"/>
      <c r="M205" s="363"/>
      <c r="N205" s="363"/>
      <c r="O205" s="363"/>
      <c r="P205" s="363"/>
      <c r="Q205" s="363"/>
      <c r="R205" s="363"/>
      <c r="S205" s="363"/>
      <c r="T205" s="363"/>
      <c r="U205" s="363"/>
      <c r="V205" s="363"/>
      <c r="W205" s="363"/>
      <c r="X205" s="363"/>
      <c r="Y205" s="363"/>
      <c r="Z205" s="363"/>
    </row>
    <row r="206" spans="1:26" ht="13.5" customHeight="1" x14ac:dyDescent="0.2">
      <c r="A206" s="386">
        <f t="shared" si="0"/>
        <v>19</v>
      </c>
      <c r="B206" s="387">
        <f t="shared" si="4"/>
        <v>221</v>
      </c>
      <c r="C206" s="398">
        <f t="shared" si="5"/>
        <v>52841</v>
      </c>
      <c r="D206" s="389">
        <f t="shared" si="6"/>
        <v>1132333.5892552244</v>
      </c>
      <c r="E206" s="389">
        <f t="shared" si="1"/>
        <v>5897.570777370961</v>
      </c>
      <c r="F206" s="389">
        <f>($C$14-E206)*(B206&lt;$C$9*12+$B$22)*(B206&gt;INPUTS!$R$20*12+$B$22-1)</f>
        <v>7132.4883568404321</v>
      </c>
      <c r="G206" s="389">
        <f t="shared" si="2"/>
        <v>1125201.1008983841</v>
      </c>
      <c r="H206" s="389">
        <f t="shared" si="3"/>
        <v>1555878.919348879</v>
      </c>
      <c r="I206" s="363"/>
      <c r="J206" s="363"/>
      <c r="K206" s="363"/>
      <c r="L206" s="363"/>
      <c r="M206" s="363"/>
      <c r="N206" s="363"/>
      <c r="O206" s="363"/>
      <c r="P206" s="363"/>
      <c r="Q206" s="363"/>
      <c r="R206" s="363"/>
      <c r="S206" s="363"/>
      <c r="T206" s="363"/>
      <c r="U206" s="363"/>
      <c r="V206" s="363"/>
      <c r="W206" s="363"/>
      <c r="X206" s="363"/>
      <c r="Y206" s="363"/>
      <c r="Z206" s="363"/>
    </row>
    <row r="207" spans="1:26" ht="13.5" customHeight="1" x14ac:dyDescent="0.2">
      <c r="A207" s="386">
        <f t="shared" si="0"/>
        <v>19</v>
      </c>
      <c r="B207" s="387">
        <f t="shared" si="4"/>
        <v>222</v>
      </c>
      <c r="C207" s="398">
        <f t="shared" si="5"/>
        <v>52871</v>
      </c>
      <c r="D207" s="389">
        <f t="shared" si="6"/>
        <v>1125201.1008983841</v>
      </c>
      <c r="E207" s="389">
        <f t="shared" si="1"/>
        <v>5860.422400512417</v>
      </c>
      <c r="F207" s="389">
        <f>($C$14-E207)*(B207&lt;$C$9*12+$B$22)*(B207&gt;INPUTS!$R$20*12+$B$22-1)</f>
        <v>7169.6367336989761</v>
      </c>
      <c r="G207" s="389">
        <f t="shared" si="2"/>
        <v>1118031.4641646852</v>
      </c>
      <c r="H207" s="389">
        <f t="shared" si="3"/>
        <v>1561739.3417493915</v>
      </c>
      <c r="I207" s="363"/>
      <c r="J207" s="363"/>
      <c r="K207" s="363"/>
      <c r="L207" s="363"/>
      <c r="M207" s="363"/>
      <c r="N207" s="363"/>
      <c r="O207" s="363"/>
      <c r="P207" s="363"/>
      <c r="Q207" s="363"/>
      <c r="R207" s="363"/>
      <c r="S207" s="363"/>
      <c r="T207" s="363"/>
      <c r="U207" s="363"/>
      <c r="V207" s="363"/>
      <c r="W207" s="363"/>
      <c r="X207" s="363"/>
      <c r="Y207" s="363"/>
      <c r="Z207" s="363"/>
    </row>
    <row r="208" spans="1:26" ht="13.5" customHeight="1" x14ac:dyDescent="0.2">
      <c r="A208" s="386">
        <f t="shared" si="0"/>
        <v>19</v>
      </c>
      <c r="B208" s="387">
        <f t="shared" si="4"/>
        <v>223</v>
      </c>
      <c r="C208" s="398">
        <f t="shared" si="5"/>
        <v>52902</v>
      </c>
      <c r="D208" s="389">
        <f t="shared" si="6"/>
        <v>1118031.4641646852</v>
      </c>
      <c r="E208" s="389">
        <f t="shared" si="1"/>
        <v>5823.0805425244025</v>
      </c>
      <c r="F208" s="389">
        <f>($C$14-E208)*(B208&lt;$C$9*12+$B$22)*(B208&gt;INPUTS!$R$20*12+$B$22-1)</f>
        <v>7206.9785916869905</v>
      </c>
      <c r="G208" s="389">
        <f t="shared" si="2"/>
        <v>1110824.4855729982</v>
      </c>
      <c r="H208" s="389">
        <f t="shared" si="3"/>
        <v>1567562.4222919159</v>
      </c>
      <c r="I208" s="363"/>
      <c r="J208" s="363"/>
      <c r="K208" s="363"/>
      <c r="L208" s="363"/>
      <c r="M208" s="363"/>
      <c r="N208" s="363"/>
      <c r="O208" s="363"/>
      <c r="P208" s="363"/>
      <c r="Q208" s="363"/>
      <c r="R208" s="363"/>
      <c r="S208" s="363"/>
      <c r="T208" s="363"/>
      <c r="U208" s="363"/>
      <c r="V208" s="363"/>
      <c r="W208" s="363"/>
      <c r="X208" s="363"/>
      <c r="Y208" s="363"/>
      <c r="Z208" s="363"/>
    </row>
    <row r="209" spans="1:26" ht="13.5" customHeight="1" x14ac:dyDescent="0.2">
      <c r="A209" s="386">
        <f t="shared" si="0"/>
        <v>19</v>
      </c>
      <c r="B209" s="387">
        <f t="shared" si="4"/>
        <v>224</v>
      </c>
      <c r="C209" s="398">
        <f t="shared" si="5"/>
        <v>52932</v>
      </c>
      <c r="D209" s="389">
        <f t="shared" si="6"/>
        <v>1110824.4855729982</v>
      </c>
      <c r="E209" s="389">
        <f t="shared" si="1"/>
        <v>5785.5441956926988</v>
      </c>
      <c r="F209" s="389">
        <f>($C$14-E209)*(B209&lt;$C$9*12+$B$22)*(B209&gt;INPUTS!$R$20*12+$B$22-1)</f>
        <v>7244.5149385186942</v>
      </c>
      <c r="G209" s="389">
        <f t="shared" si="2"/>
        <v>1103579.9706344795</v>
      </c>
      <c r="H209" s="389">
        <f t="shared" si="3"/>
        <v>1573347.9664876086</v>
      </c>
      <c r="I209" s="363"/>
      <c r="J209" s="363"/>
      <c r="K209" s="363"/>
      <c r="L209" s="363"/>
      <c r="M209" s="363"/>
      <c r="N209" s="363"/>
      <c r="O209" s="363"/>
      <c r="P209" s="363"/>
      <c r="Q209" s="363"/>
      <c r="R209" s="363"/>
      <c r="S209" s="363"/>
      <c r="T209" s="363"/>
      <c r="U209" s="363"/>
      <c r="V209" s="363"/>
      <c r="W209" s="363"/>
      <c r="X209" s="363"/>
      <c r="Y209" s="363"/>
      <c r="Z209" s="363"/>
    </row>
    <row r="210" spans="1:26" ht="13.5" customHeight="1" x14ac:dyDescent="0.2">
      <c r="A210" s="386">
        <f t="shared" si="0"/>
        <v>19</v>
      </c>
      <c r="B210" s="387">
        <f t="shared" si="4"/>
        <v>225</v>
      </c>
      <c r="C210" s="398">
        <f t="shared" si="5"/>
        <v>52963</v>
      </c>
      <c r="D210" s="389">
        <f t="shared" si="6"/>
        <v>1103579.9706344795</v>
      </c>
      <c r="E210" s="389">
        <f t="shared" si="1"/>
        <v>5747.8123470545806</v>
      </c>
      <c r="F210" s="389">
        <f>($C$14-E210)*(B210&lt;$C$9*12+$B$22)*(B210&gt;INPUTS!$R$20*12+$B$22-1)</f>
        <v>7282.2467871568124</v>
      </c>
      <c r="G210" s="389">
        <f t="shared" si="2"/>
        <v>1096297.7238473226</v>
      </c>
      <c r="H210" s="389">
        <f t="shared" si="3"/>
        <v>1579095.7788346631</v>
      </c>
      <c r="I210" s="363"/>
      <c r="J210" s="363"/>
      <c r="K210" s="363"/>
      <c r="L210" s="363"/>
      <c r="M210" s="363"/>
      <c r="N210" s="363"/>
      <c r="O210" s="363"/>
      <c r="P210" s="363"/>
      <c r="Q210" s="363"/>
      <c r="R210" s="363"/>
      <c r="S210" s="363"/>
      <c r="T210" s="363"/>
      <c r="U210" s="363"/>
      <c r="V210" s="363"/>
      <c r="W210" s="363"/>
      <c r="X210" s="363"/>
      <c r="Y210" s="363"/>
      <c r="Z210" s="363"/>
    </row>
    <row r="211" spans="1:26" ht="13.5" customHeight="1" x14ac:dyDescent="0.2">
      <c r="A211" s="386">
        <f t="shared" si="0"/>
        <v>19</v>
      </c>
      <c r="B211" s="387">
        <f t="shared" si="4"/>
        <v>226</v>
      </c>
      <c r="C211" s="398">
        <f t="shared" si="5"/>
        <v>52994</v>
      </c>
      <c r="D211" s="389">
        <f t="shared" si="6"/>
        <v>1096297.7238473226</v>
      </c>
      <c r="E211" s="389">
        <f t="shared" si="1"/>
        <v>5709.883978371472</v>
      </c>
      <c r="F211" s="389">
        <f>($C$14-E211)*(B211&lt;$C$9*12+$B$22)*(B211&gt;INPUTS!$R$20*12+$B$22-1)</f>
        <v>7320.175155839921</v>
      </c>
      <c r="G211" s="389">
        <f t="shared" si="2"/>
        <v>1088977.5486914827</v>
      </c>
      <c r="H211" s="389">
        <f t="shared" si="3"/>
        <v>1584805.6628130346</v>
      </c>
      <c r="I211" s="363"/>
      <c r="J211" s="363"/>
      <c r="K211" s="363"/>
      <c r="L211" s="363"/>
      <c r="M211" s="363"/>
      <c r="N211" s="363"/>
      <c r="O211" s="363"/>
      <c r="P211" s="363"/>
      <c r="Q211" s="363"/>
      <c r="R211" s="363"/>
      <c r="S211" s="363"/>
      <c r="T211" s="363"/>
      <c r="U211" s="363"/>
      <c r="V211" s="363"/>
      <c r="W211" s="363"/>
      <c r="X211" s="363"/>
      <c r="Y211" s="363"/>
      <c r="Z211" s="363"/>
    </row>
    <row r="212" spans="1:26" ht="13.5" customHeight="1" x14ac:dyDescent="0.2">
      <c r="A212" s="386">
        <f t="shared" si="0"/>
        <v>19</v>
      </c>
      <c r="B212" s="387">
        <f t="shared" si="4"/>
        <v>227</v>
      </c>
      <c r="C212" s="398">
        <f t="shared" si="5"/>
        <v>53022</v>
      </c>
      <c r="D212" s="389">
        <f t="shared" si="6"/>
        <v>1088977.5486914827</v>
      </c>
      <c r="E212" s="389">
        <f t="shared" si="1"/>
        <v>5671.7580661014727</v>
      </c>
      <c r="F212" s="389">
        <f>($C$14-E212)*(B212&lt;$C$9*12+$B$22)*(B212&gt;INPUTS!$R$20*12+$B$22-1)</f>
        <v>7358.3010681099204</v>
      </c>
      <c r="G212" s="389">
        <f t="shared" si="2"/>
        <v>1081619.2476233728</v>
      </c>
      <c r="H212" s="389">
        <f t="shared" si="3"/>
        <v>1590477.4208791361</v>
      </c>
      <c r="I212" s="363"/>
      <c r="J212" s="363"/>
      <c r="K212" s="363"/>
      <c r="L212" s="363"/>
      <c r="M212" s="363"/>
      <c r="N212" s="363"/>
      <c r="O212" s="363"/>
      <c r="P212" s="363"/>
      <c r="Q212" s="363"/>
      <c r="R212" s="363"/>
      <c r="S212" s="363"/>
      <c r="T212" s="363"/>
      <c r="U212" s="363"/>
      <c r="V212" s="363"/>
      <c r="W212" s="363"/>
      <c r="X212" s="363"/>
      <c r="Y212" s="363"/>
      <c r="Z212" s="363"/>
    </row>
    <row r="213" spans="1:26" ht="13.5" customHeight="1" x14ac:dyDescent="0.2">
      <c r="A213" s="386">
        <f t="shared" si="0"/>
        <v>19</v>
      </c>
      <c r="B213" s="387">
        <f t="shared" si="4"/>
        <v>228</v>
      </c>
      <c r="C213" s="398">
        <f t="shared" si="5"/>
        <v>53053</v>
      </c>
      <c r="D213" s="389">
        <f t="shared" si="6"/>
        <v>1081619.2476233728</v>
      </c>
      <c r="E213" s="389">
        <f t="shared" si="1"/>
        <v>5633.4335813717335</v>
      </c>
      <c r="F213" s="389">
        <f>($C$14-E213)*(B213&lt;$C$9*12+$B$22)*(B213&gt;INPUTS!$R$20*12+$B$22-1)</f>
        <v>7396.6255528396596</v>
      </c>
      <c r="G213" s="389">
        <f t="shared" si="2"/>
        <v>1074222.6220705332</v>
      </c>
      <c r="H213" s="389">
        <f t="shared" si="3"/>
        <v>1596110.8544605079</v>
      </c>
      <c r="I213" s="363"/>
      <c r="J213" s="363"/>
      <c r="K213" s="363"/>
      <c r="L213" s="363"/>
      <c r="M213" s="363"/>
      <c r="N213" s="363"/>
      <c r="O213" s="363"/>
      <c r="P213" s="363"/>
      <c r="Q213" s="363"/>
      <c r="R213" s="363"/>
      <c r="S213" s="363"/>
      <c r="T213" s="363"/>
      <c r="U213" s="363"/>
      <c r="V213" s="363"/>
      <c r="W213" s="363"/>
      <c r="X213" s="363"/>
      <c r="Y213" s="363"/>
      <c r="Z213" s="363"/>
    </row>
    <row r="214" spans="1:26" ht="13.5" customHeight="1" x14ac:dyDescent="0.2">
      <c r="A214" s="386">
        <f t="shared" si="0"/>
        <v>20</v>
      </c>
      <c r="B214" s="387">
        <f t="shared" si="4"/>
        <v>229</v>
      </c>
      <c r="C214" s="398">
        <f t="shared" si="5"/>
        <v>53083</v>
      </c>
      <c r="D214" s="389">
        <f t="shared" si="6"/>
        <v>1074222.6220705332</v>
      </c>
      <c r="E214" s="389">
        <f t="shared" si="1"/>
        <v>5594.9094899506936</v>
      </c>
      <c r="F214" s="389">
        <f>($C$14-E214)*(B214&lt;$C$9*12+$B$22)*(B214&gt;INPUTS!$R$20*12+$B$22-1)</f>
        <v>7435.1496442606995</v>
      </c>
      <c r="G214" s="389">
        <f t="shared" si="2"/>
        <v>1066787.4724262725</v>
      </c>
      <c r="H214" s="389">
        <f t="shared" si="3"/>
        <v>1601705.7639504585</v>
      </c>
      <c r="I214" s="363"/>
      <c r="J214" s="363"/>
      <c r="K214" s="363"/>
      <c r="L214" s="363"/>
      <c r="M214" s="363"/>
      <c r="N214" s="363"/>
      <c r="O214" s="363"/>
      <c r="P214" s="363"/>
      <c r="Q214" s="363"/>
      <c r="R214" s="363"/>
      <c r="S214" s="363"/>
      <c r="T214" s="363"/>
      <c r="U214" s="363"/>
      <c r="V214" s="363"/>
      <c r="W214" s="363"/>
      <c r="X214" s="363"/>
      <c r="Y214" s="363"/>
      <c r="Z214" s="363"/>
    </row>
    <row r="215" spans="1:26" ht="13.5" customHeight="1" x14ac:dyDescent="0.2">
      <c r="A215" s="386">
        <f t="shared" si="0"/>
        <v>20</v>
      </c>
      <c r="B215" s="387">
        <f t="shared" si="4"/>
        <v>230</v>
      </c>
      <c r="C215" s="398">
        <f t="shared" si="5"/>
        <v>53114</v>
      </c>
      <c r="D215" s="389">
        <f t="shared" si="6"/>
        <v>1066787.4724262725</v>
      </c>
      <c r="E215" s="389">
        <f t="shared" si="1"/>
        <v>5556.1847522201688</v>
      </c>
      <c r="F215" s="389">
        <f>($C$14-E215)*(B215&lt;$C$9*12+$B$22)*(B215&gt;INPUTS!$R$20*12+$B$22-1)</f>
        <v>7473.8743819912243</v>
      </c>
      <c r="G215" s="389">
        <f t="shared" si="2"/>
        <v>1059313.5980442811</v>
      </c>
      <c r="H215" s="389">
        <f t="shared" si="3"/>
        <v>1607261.9487026786</v>
      </c>
      <c r="I215" s="363"/>
      <c r="J215" s="363"/>
      <c r="K215" s="363"/>
      <c r="L215" s="363"/>
      <c r="M215" s="363"/>
      <c r="N215" s="363"/>
      <c r="O215" s="363"/>
      <c r="P215" s="363"/>
      <c r="Q215" s="363"/>
      <c r="R215" s="363"/>
      <c r="S215" s="363"/>
      <c r="T215" s="363"/>
      <c r="U215" s="363"/>
      <c r="V215" s="363"/>
      <c r="W215" s="363"/>
      <c r="X215" s="363"/>
      <c r="Y215" s="363"/>
      <c r="Z215" s="363"/>
    </row>
    <row r="216" spans="1:26" ht="13.5" customHeight="1" x14ac:dyDescent="0.2">
      <c r="A216" s="386">
        <f t="shared" si="0"/>
        <v>20</v>
      </c>
      <c r="B216" s="387">
        <f t="shared" si="4"/>
        <v>231</v>
      </c>
      <c r="C216" s="398">
        <f t="shared" si="5"/>
        <v>53144</v>
      </c>
      <c r="D216" s="389">
        <f t="shared" si="6"/>
        <v>1059313.5980442811</v>
      </c>
      <c r="E216" s="389">
        <f t="shared" si="1"/>
        <v>5517.2583231472972</v>
      </c>
      <c r="F216" s="389">
        <f>($C$14-E216)*(B216&lt;$C$9*12+$B$22)*(B216&gt;INPUTS!$R$20*12+$B$22-1)</f>
        <v>7512.8008110640958</v>
      </c>
      <c r="G216" s="389">
        <f t="shared" si="2"/>
        <v>1051800.7972332169</v>
      </c>
      <c r="H216" s="389">
        <f t="shared" si="3"/>
        <v>1612779.2070258257</v>
      </c>
      <c r="I216" s="363"/>
      <c r="J216" s="363"/>
      <c r="K216" s="363"/>
      <c r="L216" s="363"/>
      <c r="M216" s="363"/>
      <c r="N216" s="363"/>
      <c r="O216" s="363"/>
      <c r="P216" s="363"/>
      <c r="Q216" s="363"/>
      <c r="R216" s="363"/>
      <c r="S216" s="363"/>
      <c r="T216" s="363"/>
      <c r="U216" s="363"/>
      <c r="V216" s="363"/>
      <c r="W216" s="363"/>
      <c r="X216" s="363"/>
      <c r="Y216" s="363"/>
      <c r="Z216" s="363"/>
    </row>
    <row r="217" spans="1:26" ht="13.5" customHeight="1" x14ac:dyDescent="0.2">
      <c r="A217" s="386">
        <f t="shared" si="0"/>
        <v>20</v>
      </c>
      <c r="B217" s="387">
        <f t="shared" si="4"/>
        <v>232</v>
      </c>
      <c r="C217" s="398">
        <f t="shared" si="5"/>
        <v>53175</v>
      </c>
      <c r="D217" s="389">
        <f t="shared" si="6"/>
        <v>1051800.7972332169</v>
      </c>
      <c r="E217" s="389">
        <f t="shared" si="1"/>
        <v>5478.1291522563379</v>
      </c>
      <c r="F217" s="389">
        <f>($C$14-E217)*(B217&lt;$C$9*12+$B$22)*(B217&gt;INPUTS!$R$20*12+$B$22-1)</f>
        <v>7551.9299819550552</v>
      </c>
      <c r="G217" s="389">
        <f t="shared" si="2"/>
        <v>1044248.8672512618</v>
      </c>
      <c r="H217" s="389">
        <f t="shared" si="3"/>
        <v>1618257.336178082</v>
      </c>
      <c r="I217" s="363"/>
      <c r="J217" s="363"/>
      <c r="K217" s="363"/>
      <c r="L217" s="363"/>
      <c r="M217" s="363"/>
      <c r="N217" s="363"/>
      <c r="O217" s="363"/>
      <c r="P217" s="363"/>
      <c r="Q217" s="363"/>
      <c r="R217" s="363"/>
      <c r="S217" s="363"/>
      <c r="T217" s="363"/>
      <c r="U217" s="363"/>
      <c r="V217" s="363"/>
      <c r="W217" s="363"/>
      <c r="X217" s="363"/>
      <c r="Y217" s="363"/>
      <c r="Z217" s="363"/>
    </row>
    <row r="218" spans="1:26" ht="13.5" customHeight="1" x14ac:dyDescent="0.2">
      <c r="A218" s="386">
        <f t="shared" si="0"/>
        <v>20</v>
      </c>
      <c r="B218" s="387">
        <f t="shared" si="4"/>
        <v>233</v>
      </c>
      <c r="C218" s="398">
        <f t="shared" si="5"/>
        <v>53206</v>
      </c>
      <c r="D218" s="389">
        <f t="shared" si="6"/>
        <v>1044248.8672512618</v>
      </c>
      <c r="E218" s="389">
        <f t="shared" si="1"/>
        <v>5438.7961836003224</v>
      </c>
      <c r="F218" s="389">
        <f>($C$14-E218)*(B218&lt;$C$9*12+$B$22)*(B218&gt;INPUTS!$R$20*12+$B$22-1)</f>
        <v>7591.2629506110707</v>
      </c>
      <c r="G218" s="389">
        <f t="shared" si="2"/>
        <v>1036657.6043006508</v>
      </c>
      <c r="H218" s="389">
        <f t="shared" si="3"/>
        <v>1623696.1323616824</v>
      </c>
      <c r="I218" s="363"/>
      <c r="J218" s="363"/>
      <c r="K218" s="363"/>
      <c r="L218" s="363"/>
      <c r="M218" s="363"/>
      <c r="N218" s="363"/>
      <c r="O218" s="363"/>
      <c r="P218" s="363"/>
      <c r="Q218" s="363"/>
      <c r="R218" s="363"/>
      <c r="S218" s="363"/>
      <c r="T218" s="363"/>
      <c r="U218" s="363"/>
      <c r="V218" s="363"/>
      <c r="W218" s="363"/>
      <c r="X218" s="363"/>
      <c r="Y218" s="363"/>
      <c r="Z218" s="363"/>
    </row>
    <row r="219" spans="1:26" ht="13.5" customHeight="1" x14ac:dyDescent="0.2">
      <c r="A219" s="386">
        <f t="shared" si="0"/>
        <v>20</v>
      </c>
      <c r="B219" s="387">
        <f t="shared" si="4"/>
        <v>234</v>
      </c>
      <c r="C219" s="398">
        <f t="shared" si="5"/>
        <v>53236</v>
      </c>
      <c r="D219" s="389">
        <f t="shared" si="6"/>
        <v>1036657.6043006508</v>
      </c>
      <c r="E219" s="389">
        <f t="shared" si="1"/>
        <v>5399.2583557325561</v>
      </c>
      <c r="F219" s="389">
        <f>($C$14-E219)*(B219&lt;$C$9*12+$B$22)*(B219&gt;INPUTS!$R$20*12+$B$22-1)</f>
        <v>7630.8007784788369</v>
      </c>
      <c r="G219" s="389">
        <f t="shared" si="2"/>
        <v>1029026.8035221719</v>
      </c>
      <c r="H219" s="389">
        <f t="shared" si="3"/>
        <v>1629095.3907174149</v>
      </c>
      <c r="I219" s="363"/>
      <c r="J219" s="363"/>
      <c r="K219" s="363"/>
      <c r="L219" s="363"/>
      <c r="M219" s="363"/>
      <c r="N219" s="363"/>
      <c r="O219" s="363"/>
      <c r="P219" s="363"/>
      <c r="Q219" s="363"/>
      <c r="R219" s="363"/>
      <c r="S219" s="363"/>
      <c r="T219" s="363"/>
      <c r="U219" s="363"/>
      <c r="V219" s="363"/>
      <c r="W219" s="363"/>
      <c r="X219" s="363"/>
      <c r="Y219" s="363"/>
      <c r="Z219" s="363"/>
    </row>
    <row r="220" spans="1:26" ht="13.5" customHeight="1" x14ac:dyDescent="0.2">
      <c r="A220" s="386">
        <f t="shared" si="0"/>
        <v>20</v>
      </c>
      <c r="B220" s="387">
        <f t="shared" si="4"/>
        <v>235</v>
      </c>
      <c r="C220" s="398">
        <f t="shared" si="5"/>
        <v>53267</v>
      </c>
      <c r="D220" s="389">
        <f t="shared" si="6"/>
        <v>1029026.8035221719</v>
      </c>
      <c r="E220" s="389">
        <f t="shared" si="1"/>
        <v>5359.514601677979</v>
      </c>
      <c r="F220" s="389">
        <f>($C$14-E220)*(B220&lt;$C$9*12+$B$22)*(B220&gt;INPUTS!$R$20*12+$B$22-1)</f>
        <v>7670.544532533414</v>
      </c>
      <c r="G220" s="389">
        <f t="shared" si="2"/>
        <v>1021356.2589896385</v>
      </c>
      <c r="H220" s="389">
        <f t="shared" si="3"/>
        <v>1634454.9053190928</v>
      </c>
      <c r="I220" s="363"/>
      <c r="J220" s="363"/>
      <c r="K220" s="363"/>
      <c r="L220" s="363"/>
      <c r="M220" s="363"/>
      <c r="N220" s="363"/>
      <c r="O220" s="363"/>
      <c r="P220" s="363"/>
      <c r="Q220" s="363"/>
      <c r="R220" s="363"/>
      <c r="S220" s="363"/>
      <c r="T220" s="363"/>
      <c r="U220" s="363"/>
      <c r="V220" s="363"/>
      <c r="W220" s="363"/>
      <c r="X220" s="363"/>
      <c r="Y220" s="363"/>
      <c r="Z220" s="363"/>
    </row>
    <row r="221" spans="1:26" ht="13.5" customHeight="1" x14ac:dyDescent="0.2">
      <c r="A221" s="386">
        <f t="shared" si="0"/>
        <v>20</v>
      </c>
      <c r="B221" s="387">
        <f t="shared" si="4"/>
        <v>236</v>
      </c>
      <c r="C221" s="398">
        <f t="shared" si="5"/>
        <v>53297</v>
      </c>
      <c r="D221" s="389">
        <f t="shared" si="6"/>
        <v>1021356.2589896385</v>
      </c>
      <c r="E221" s="389">
        <f t="shared" si="1"/>
        <v>5319.5638489043677</v>
      </c>
      <c r="F221" s="389">
        <f>($C$14-E221)*(B221&lt;$C$9*12+$B$22)*(B221&gt;INPUTS!$R$20*12+$B$22-1)</f>
        <v>7710.4952853070254</v>
      </c>
      <c r="G221" s="389">
        <f t="shared" si="2"/>
        <v>1013645.7637043315</v>
      </c>
      <c r="H221" s="389">
        <f t="shared" si="3"/>
        <v>1639774.4691679971</v>
      </c>
      <c r="I221" s="363"/>
      <c r="J221" s="363"/>
      <c r="K221" s="363"/>
      <c r="L221" s="363"/>
      <c r="M221" s="363"/>
      <c r="N221" s="363"/>
      <c r="O221" s="363"/>
      <c r="P221" s="363"/>
      <c r="Q221" s="363"/>
      <c r="R221" s="363"/>
      <c r="S221" s="363"/>
      <c r="T221" s="363"/>
      <c r="U221" s="363"/>
      <c r="V221" s="363"/>
      <c r="W221" s="363"/>
      <c r="X221" s="363"/>
      <c r="Y221" s="363"/>
      <c r="Z221" s="363"/>
    </row>
    <row r="222" spans="1:26" ht="13.5" customHeight="1" x14ac:dyDescent="0.2">
      <c r="A222" s="386">
        <f t="shared" si="0"/>
        <v>20</v>
      </c>
      <c r="B222" s="387">
        <f t="shared" si="4"/>
        <v>237</v>
      </c>
      <c r="C222" s="398">
        <f t="shared" si="5"/>
        <v>53328</v>
      </c>
      <c r="D222" s="389">
        <f t="shared" si="6"/>
        <v>1013645.7637043315</v>
      </c>
      <c r="E222" s="389">
        <f t="shared" si="1"/>
        <v>5279.4050192933928</v>
      </c>
      <c r="F222" s="389">
        <f>($C$14-E222)*(B222&lt;$C$9*12+$B$22)*(B222&gt;INPUTS!$R$20*12+$B$22-1)</f>
        <v>7750.6541149180002</v>
      </c>
      <c r="G222" s="389">
        <f t="shared" si="2"/>
        <v>1005895.1095894135</v>
      </c>
      <c r="H222" s="389">
        <f t="shared" si="3"/>
        <v>1645053.8741872904</v>
      </c>
      <c r="I222" s="363"/>
      <c r="J222" s="363"/>
      <c r="K222" s="363"/>
      <c r="L222" s="363"/>
      <c r="M222" s="363"/>
      <c r="N222" s="363"/>
      <c r="O222" s="363"/>
      <c r="P222" s="363"/>
      <c r="Q222" s="363"/>
      <c r="R222" s="363"/>
      <c r="S222" s="363"/>
      <c r="T222" s="363"/>
      <c r="U222" s="363"/>
      <c r="V222" s="363"/>
      <c r="W222" s="363"/>
      <c r="X222" s="363"/>
      <c r="Y222" s="363"/>
      <c r="Z222" s="363"/>
    </row>
    <row r="223" spans="1:26" ht="13.5" customHeight="1" x14ac:dyDescent="0.2">
      <c r="A223" s="386">
        <f t="shared" si="0"/>
        <v>20</v>
      </c>
      <c r="B223" s="387">
        <f t="shared" si="4"/>
        <v>238</v>
      </c>
      <c r="C223" s="398">
        <f t="shared" si="5"/>
        <v>53359</v>
      </c>
      <c r="D223" s="389">
        <f t="shared" si="6"/>
        <v>1005895.1095894135</v>
      </c>
      <c r="E223" s="389">
        <f t="shared" si="1"/>
        <v>5239.0370291115287</v>
      </c>
      <c r="F223" s="389">
        <f>($C$14-E223)*(B223&lt;$C$9*12+$B$22)*(B223&gt;INPUTS!$R$20*12+$B$22-1)</f>
        <v>7791.0221050998643</v>
      </c>
      <c r="G223" s="389">
        <f t="shared" si="2"/>
        <v>998104.08748431364</v>
      </c>
      <c r="H223" s="389">
        <f t="shared" si="3"/>
        <v>1650292.911216402</v>
      </c>
      <c r="I223" s="363"/>
      <c r="J223" s="363"/>
      <c r="K223" s="363"/>
      <c r="L223" s="363"/>
      <c r="M223" s="363"/>
      <c r="N223" s="363"/>
      <c r="O223" s="363"/>
      <c r="P223" s="363"/>
      <c r="Q223" s="363"/>
      <c r="R223" s="363"/>
      <c r="S223" s="363"/>
      <c r="T223" s="363"/>
      <c r="U223" s="363"/>
      <c r="V223" s="363"/>
      <c r="W223" s="363"/>
      <c r="X223" s="363"/>
      <c r="Y223" s="363"/>
      <c r="Z223" s="363"/>
    </row>
    <row r="224" spans="1:26" ht="13.5" customHeight="1" x14ac:dyDescent="0.2">
      <c r="A224" s="386">
        <f t="shared" si="0"/>
        <v>20</v>
      </c>
      <c r="B224" s="387">
        <f t="shared" si="4"/>
        <v>239</v>
      </c>
      <c r="C224" s="398">
        <f t="shared" si="5"/>
        <v>53387</v>
      </c>
      <c r="D224" s="389">
        <f t="shared" si="6"/>
        <v>998104.08748431364</v>
      </c>
      <c r="E224" s="389">
        <f t="shared" si="1"/>
        <v>5198.4587889807999</v>
      </c>
      <c r="F224" s="389">
        <f>($C$14-E224)*(B224&lt;$C$9*12+$B$22)*(B224&gt;INPUTS!$R$20*12+$B$22-1)</f>
        <v>7831.6003452305931</v>
      </c>
      <c r="G224" s="389">
        <f t="shared" si="2"/>
        <v>990272.4871390831</v>
      </c>
      <c r="H224" s="389">
        <f t="shared" si="3"/>
        <v>1655491.3700053827</v>
      </c>
      <c r="I224" s="363"/>
      <c r="J224" s="363"/>
      <c r="K224" s="363"/>
      <c r="L224" s="363"/>
      <c r="M224" s="363"/>
      <c r="N224" s="363"/>
      <c r="O224" s="363"/>
      <c r="P224" s="363"/>
      <c r="Q224" s="363"/>
      <c r="R224" s="363"/>
      <c r="S224" s="363"/>
      <c r="T224" s="363"/>
      <c r="U224" s="363"/>
      <c r="V224" s="363"/>
      <c r="W224" s="363"/>
      <c r="X224" s="363"/>
      <c r="Y224" s="363"/>
      <c r="Z224" s="363"/>
    </row>
    <row r="225" spans="1:26" ht="13.5" customHeight="1" x14ac:dyDescent="0.2">
      <c r="A225" s="386">
        <f t="shared" si="0"/>
        <v>20</v>
      </c>
      <c r="B225" s="387">
        <f t="shared" si="4"/>
        <v>240</v>
      </c>
      <c r="C225" s="398">
        <f t="shared" si="5"/>
        <v>53418</v>
      </c>
      <c r="D225" s="389">
        <f t="shared" si="6"/>
        <v>990272.4871390831</v>
      </c>
      <c r="E225" s="389">
        <f t="shared" si="1"/>
        <v>5157.6692038493911</v>
      </c>
      <c r="F225" s="389">
        <f>($C$14-E225)*(B225&lt;$C$9*12+$B$22)*(B225&gt;INPUTS!$R$20*12+$B$22-1)</f>
        <v>7872.3899303620019</v>
      </c>
      <c r="G225" s="389">
        <f t="shared" si="2"/>
        <v>982400.0972087211</v>
      </c>
      <c r="H225" s="389">
        <f t="shared" si="3"/>
        <v>1660649.039209232</v>
      </c>
      <c r="I225" s="363"/>
      <c r="J225" s="363"/>
      <c r="K225" s="363"/>
      <c r="L225" s="363"/>
      <c r="M225" s="363"/>
      <c r="N225" s="363"/>
      <c r="O225" s="363"/>
      <c r="P225" s="363"/>
      <c r="Q225" s="363"/>
      <c r="R225" s="363"/>
      <c r="S225" s="363"/>
      <c r="T225" s="363"/>
      <c r="U225" s="363"/>
      <c r="V225" s="363"/>
      <c r="W225" s="363"/>
      <c r="X225" s="363"/>
      <c r="Y225" s="363"/>
      <c r="Z225" s="363"/>
    </row>
    <row r="226" spans="1:26" ht="13.5" customHeight="1" x14ac:dyDescent="0.2">
      <c r="A226" s="386">
        <f t="shared" si="0"/>
        <v>21</v>
      </c>
      <c r="B226" s="387">
        <f t="shared" si="4"/>
        <v>241</v>
      </c>
      <c r="C226" s="398">
        <f t="shared" si="5"/>
        <v>53448</v>
      </c>
      <c r="D226" s="389">
        <f t="shared" si="6"/>
        <v>982400.0972087211</v>
      </c>
      <c r="E226" s="389">
        <f t="shared" si="1"/>
        <v>5116.6671729620894</v>
      </c>
      <c r="F226" s="389">
        <f>($C$14-E226)*(B226&lt;$C$9*12+$B$22)*(B226&gt;INPUTS!$R$20*12+$B$22-1)</f>
        <v>7913.3919612493037</v>
      </c>
      <c r="G226" s="389">
        <f t="shared" si="2"/>
        <v>974486.70524747181</v>
      </c>
      <c r="H226" s="389">
        <f t="shared" si="3"/>
        <v>1665765.7063821941</v>
      </c>
      <c r="I226" s="363"/>
      <c r="J226" s="363"/>
      <c r="K226" s="363"/>
      <c r="L226" s="363"/>
      <c r="M226" s="363"/>
      <c r="N226" s="363"/>
      <c r="O226" s="363"/>
      <c r="P226" s="363"/>
      <c r="Q226" s="363"/>
      <c r="R226" s="363"/>
      <c r="S226" s="363"/>
      <c r="T226" s="363"/>
      <c r="U226" s="363"/>
      <c r="V226" s="363"/>
      <c r="W226" s="363"/>
      <c r="X226" s="363"/>
      <c r="Y226" s="363"/>
      <c r="Z226" s="363"/>
    </row>
    <row r="227" spans="1:26" ht="13.5" customHeight="1" x14ac:dyDescent="0.2">
      <c r="A227" s="386">
        <f t="shared" si="0"/>
        <v>21</v>
      </c>
      <c r="B227" s="387">
        <f t="shared" si="4"/>
        <v>242</v>
      </c>
      <c r="C227" s="398">
        <f t="shared" si="5"/>
        <v>53479</v>
      </c>
      <c r="D227" s="389">
        <f t="shared" si="6"/>
        <v>974486.70524747181</v>
      </c>
      <c r="E227" s="389">
        <f t="shared" si="1"/>
        <v>5075.4515898305826</v>
      </c>
      <c r="F227" s="389">
        <f>($C$14-E227)*(B227&lt;$C$9*12+$B$22)*(B227&gt;INPUTS!$R$20*12+$B$22-1)</f>
        <v>7954.6075443808104</v>
      </c>
      <c r="G227" s="389">
        <f t="shared" si="2"/>
        <v>966532.09770309099</v>
      </c>
      <c r="H227" s="389">
        <f t="shared" si="3"/>
        <v>1670841.1579720248</v>
      </c>
      <c r="I227" s="363"/>
      <c r="J227" s="363"/>
      <c r="K227" s="363"/>
      <c r="L227" s="363"/>
      <c r="M227" s="363"/>
      <c r="N227" s="363"/>
      <c r="O227" s="363"/>
      <c r="P227" s="363"/>
      <c r="Q227" s="363"/>
      <c r="R227" s="363"/>
      <c r="S227" s="363"/>
      <c r="T227" s="363"/>
      <c r="U227" s="363"/>
      <c r="V227" s="363"/>
      <c r="W227" s="363"/>
      <c r="X227" s="363"/>
      <c r="Y227" s="363"/>
      <c r="Z227" s="363"/>
    </row>
    <row r="228" spans="1:26" ht="13.5" customHeight="1" x14ac:dyDescent="0.2">
      <c r="A228" s="386">
        <f t="shared" si="0"/>
        <v>21</v>
      </c>
      <c r="B228" s="387">
        <f t="shared" si="4"/>
        <v>243</v>
      </c>
      <c r="C228" s="398">
        <f t="shared" si="5"/>
        <v>53509</v>
      </c>
      <c r="D228" s="389">
        <f t="shared" si="6"/>
        <v>966532.09770309099</v>
      </c>
      <c r="E228" s="389">
        <f t="shared" si="1"/>
        <v>5034.0213422035986</v>
      </c>
      <c r="F228" s="389">
        <f>($C$14-E228)*(B228&lt;$C$9*12+$B$22)*(B228&gt;INPUTS!$R$20*12+$B$22-1)</f>
        <v>7996.0377920077945</v>
      </c>
      <c r="G228" s="389">
        <f t="shared" si="2"/>
        <v>958536.0599110832</v>
      </c>
      <c r="H228" s="389">
        <f t="shared" si="3"/>
        <v>1675875.1793142282</v>
      </c>
      <c r="I228" s="363"/>
      <c r="J228" s="363"/>
      <c r="K228" s="363"/>
      <c r="L228" s="363"/>
      <c r="M228" s="363"/>
      <c r="N228" s="363"/>
      <c r="O228" s="363"/>
      <c r="P228" s="363"/>
      <c r="Q228" s="363"/>
      <c r="R228" s="363"/>
      <c r="S228" s="363"/>
      <c r="T228" s="363"/>
      <c r="U228" s="363"/>
      <c r="V228" s="363"/>
      <c r="W228" s="363"/>
      <c r="X228" s="363"/>
      <c r="Y228" s="363"/>
      <c r="Z228" s="363"/>
    </row>
    <row r="229" spans="1:26" ht="13.5" customHeight="1" x14ac:dyDescent="0.2">
      <c r="A229" s="386">
        <f t="shared" si="0"/>
        <v>21</v>
      </c>
      <c r="B229" s="387">
        <f t="shared" si="4"/>
        <v>244</v>
      </c>
      <c r="C229" s="398">
        <f t="shared" si="5"/>
        <v>53540</v>
      </c>
      <c r="D229" s="389">
        <f t="shared" si="6"/>
        <v>958536.0599110832</v>
      </c>
      <c r="E229" s="389">
        <f t="shared" si="1"/>
        <v>4992.375312036892</v>
      </c>
      <c r="F229" s="389">
        <f>($C$14-E229)*(B229&lt;$C$9*12+$B$22)*(B229&gt;INPUTS!$R$20*12+$B$22-1)</f>
        <v>8037.6838221745011</v>
      </c>
      <c r="G229" s="389">
        <f t="shared" si="2"/>
        <v>950498.37608890864</v>
      </c>
      <c r="H229" s="389">
        <f t="shared" si="3"/>
        <v>1680867.5546262651</v>
      </c>
      <c r="I229" s="363"/>
      <c r="J229" s="363"/>
      <c r="K229" s="363"/>
      <c r="L229" s="363"/>
      <c r="M229" s="363"/>
      <c r="N229" s="363"/>
      <c r="O229" s="363"/>
      <c r="P229" s="363"/>
      <c r="Q229" s="363"/>
      <c r="R229" s="363"/>
      <c r="S229" s="363"/>
      <c r="T229" s="363"/>
      <c r="U229" s="363"/>
      <c r="V229" s="363"/>
      <c r="W229" s="363"/>
      <c r="X229" s="363"/>
      <c r="Y229" s="363"/>
      <c r="Z229" s="363"/>
    </row>
    <row r="230" spans="1:26" ht="13.5" customHeight="1" x14ac:dyDescent="0.2">
      <c r="A230" s="386">
        <f t="shared" si="0"/>
        <v>21</v>
      </c>
      <c r="B230" s="387">
        <f t="shared" si="4"/>
        <v>245</v>
      </c>
      <c r="C230" s="398">
        <f t="shared" si="5"/>
        <v>53571</v>
      </c>
      <c r="D230" s="389">
        <f t="shared" si="6"/>
        <v>950498.37608890864</v>
      </c>
      <c r="E230" s="389">
        <f t="shared" si="1"/>
        <v>4950.5123754630658</v>
      </c>
      <c r="F230" s="389">
        <f>($C$14-E230)*(B230&lt;$C$9*12+$B$22)*(B230&gt;INPUTS!$R$20*12+$B$22-1)</f>
        <v>8079.5467587483272</v>
      </c>
      <c r="G230" s="389">
        <f t="shared" si="2"/>
        <v>942418.82933016028</v>
      </c>
      <c r="H230" s="389">
        <f t="shared" si="3"/>
        <v>1685818.0670017281</v>
      </c>
      <c r="I230" s="363"/>
      <c r="J230" s="363"/>
      <c r="K230" s="363"/>
      <c r="L230" s="363"/>
      <c r="M230" s="363"/>
      <c r="N230" s="363"/>
      <c r="O230" s="363"/>
      <c r="P230" s="363"/>
      <c r="Q230" s="363"/>
      <c r="R230" s="363"/>
      <c r="S230" s="363"/>
      <c r="T230" s="363"/>
      <c r="U230" s="363"/>
      <c r="V230" s="363"/>
      <c r="W230" s="363"/>
      <c r="X230" s="363"/>
      <c r="Y230" s="363"/>
      <c r="Z230" s="363"/>
    </row>
    <row r="231" spans="1:26" ht="13.5" customHeight="1" x14ac:dyDescent="0.2">
      <c r="A231" s="386">
        <f t="shared" si="0"/>
        <v>21</v>
      </c>
      <c r="B231" s="387">
        <f t="shared" si="4"/>
        <v>246</v>
      </c>
      <c r="C231" s="398">
        <f t="shared" si="5"/>
        <v>53601</v>
      </c>
      <c r="D231" s="389">
        <f t="shared" si="6"/>
        <v>942418.82933016028</v>
      </c>
      <c r="E231" s="389">
        <f t="shared" si="1"/>
        <v>4908.4314027612518</v>
      </c>
      <c r="F231" s="389">
        <f>($C$14-E231)*(B231&lt;$C$9*12+$B$22)*(B231&gt;INPUTS!$R$20*12+$B$22-1)</f>
        <v>8121.6277314501413</v>
      </c>
      <c r="G231" s="389">
        <f t="shared" si="2"/>
        <v>934297.20159871015</v>
      </c>
      <c r="H231" s="389">
        <f t="shared" si="3"/>
        <v>1690726.4984044894</v>
      </c>
      <c r="I231" s="363"/>
      <c r="J231" s="363"/>
      <c r="K231" s="363"/>
      <c r="L231" s="363"/>
      <c r="M231" s="363"/>
      <c r="N231" s="363"/>
      <c r="O231" s="363"/>
      <c r="P231" s="363"/>
      <c r="Q231" s="363"/>
      <c r="R231" s="363"/>
      <c r="S231" s="363"/>
      <c r="T231" s="363"/>
      <c r="U231" s="363"/>
      <c r="V231" s="363"/>
      <c r="W231" s="363"/>
      <c r="X231" s="363"/>
      <c r="Y231" s="363"/>
      <c r="Z231" s="363"/>
    </row>
    <row r="232" spans="1:26" ht="13.5" customHeight="1" x14ac:dyDescent="0.2">
      <c r="A232" s="386">
        <f t="shared" si="0"/>
        <v>21</v>
      </c>
      <c r="B232" s="387">
        <f t="shared" si="4"/>
        <v>247</v>
      </c>
      <c r="C232" s="398">
        <f t="shared" si="5"/>
        <v>53632</v>
      </c>
      <c r="D232" s="389">
        <f t="shared" si="6"/>
        <v>934297.20159871015</v>
      </c>
      <c r="E232" s="389">
        <f t="shared" si="1"/>
        <v>4866.1312583266154</v>
      </c>
      <c r="F232" s="389">
        <f>($C$14-E232)*(B232&lt;$C$9*12+$B$22)*(B232&gt;INPUTS!$R$20*12+$B$22-1)</f>
        <v>8163.9278758847777</v>
      </c>
      <c r="G232" s="389">
        <f t="shared" si="2"/>
        <v>926133.27372282534</v>
      </c>
      <c r="H232" s="389">
        <f t="shared" si="3"/>
        <v>1695592.6296628159</v>
      </c>
      <c r="I232" s="363"/>
      <c r="J232" s="363"/>
      <c r="K232" s="363"/>
      <c r="L232" s="363"/>
      <c r="M232" s="363"/>
      <c r="N232" s="363"/>
      <c r="O232" s="363"/>
      <c r="P232" s="363"/>
      <c r="Q232" s="363"/>
      <c r="R232" s="363"/>
      <c r="S232" s="363"/>
      <c r="T232" s="363"/>
      <c r="U232" s="363"/>
      <c r="V232" s="363"/>
      <c r="W232" s="363"/>
      <c r="X232" s="363"/>
      <c r="Y232" s="363"/>
      <c r="Z232" s="363"/>
    </row>
    <row r="233" spans="1:26" ht="13.5" customHeight="1" x14ac:dyDescent="0.2">
      <c r="A233" s="386">
        <f t="shared" si="0"/>
        <v>21</v>
      </c>
      <c r="B233" s="387">
        <f t="shared" si="4"/>
        <v>248</v>
      </c>
      <c r="C233" s="398">
        <f t="shared" si="5"/>
        <v>53662</v>
      </c>
      <c r="D233" s="389">
        <f t="shared" si="6"/>
        <v>926133.27372282534</v>
      </c>
      <c r="E233" s="389">
        <f t="shared" si="1"/>
        <v>4823.6108006397153</v>
      </c>
      <c r="F233" s="389">
        <f>($C$14-E233)*(B233&lt;$C$9*12+$B$22)*(B233&gt;INPUTS!$R$20*12+$B$22-1)</f>
        <v>8206.4483335716777</v>
      </c>
      <c r="G233" s="389">
        <f t="shared" si="2"/>
        <v>917926.82538925367</v>
      </c>
      <c r="H233" s="389">
        <f t="shared" si="3"/>
        <v>1700416.2404634557</v>
      </c>
      <c r="I233" s="363"/>
      <c r="J233" s="363"/>
      <c r="K233" s="363"/>
      <c r="L233" s="363"/>
      <c r="M233" s="363"/>
      <c r="N233" s="363"/>
      <c r="O233" s="363"/>
      <c r="P233" s="363"/>
      <c r="Q233" s="363"/>
      <c r="R233" s="363"/>
      <c r="S233" s="363"/>
      <c r="T233" s="363"/>
      <c r="U233" s="363"/>
      <c r="V233" s="363"/>
      <c r="W233" s="363"/>
      <c r="X233" s="363"/>
      <c r="Y233" s="363"/>
      <c r="Z233" s="363"/>
    </row>
    <row r="234" spans="1:26" ht="13.5" customHeight="1" x14ac:dyDescent="0.2">
      <c r="A234" s="386">
        <f t="shared" si="0"/>
        <v>21</v>
      </c>
      <c r="B234" s="387">
        <f t="shared" si="4"/>
        <v>249</v>
      </c>
      <c r="C234" s="398">
        <f t="shared" si="5"/>
        <v>53693</v>
      </c>
      <c r="D234" s="389">
        <f t="shared" si="6"/>
        <v>917926.82538925367</v>
      </c>
      <c r="E234" s="389">
        <f t="shared" si="1"/>
        <v>4780.8688822356962</v>
      </c>
      <c r="F234" s="389">
        <f>($C$14-E234)*(B234&lt;$C$9*12+$B$22)*(B234&gt;INPUTS!$R$20*12+$B$22-1)</f>
        <v>8249.1902519756968</v>
      </c>
      <c r="G234" s="389">
        <f t="shared" si="2"/>
        <v>909677.635137278</v>
      </c>
      <c r="H234" s="389">
        <f t="shared" si="3"/>
        <v>1705197.1093456913</v>
      </c>
      <c r="I234" s="363"/>
      <c r="J234" s="363"/>
      <c r="K234" s="363"/>
      <c r="L234" s="363"/>
      <c r="M234" s="363"/>
      <c r="N234" s="363"/>
      <c r="O234" s="363"/>
      <c r="P234" s="363"/>
      <c r="Q234" s="363"/>
      <c r="R234" s="363"/>
      <c r="S234" s="363"/>
      <c r="T234" s="363"/>
      <c r="U234" s="363"/>
      <c r="V234" s="363"/>
      <c r="W234" s="363"/>
      <c r="X234" s="363"/>
      <c r="Y234" s="363"/>
      <c r="Z234" s="363"/>
    </row>
    <row r="235" spans="1:26" ht="13.5" customHeight="1" x14ac:dyDescent="0.2">
      <c r="A235" s="386">
        <f t="shared" si="0"/>
        <v>21</v>
      </c>
      <c r="B235" s="387">
        <f t="shared" si="4"/>
        <v>250</v>
      </c>
      <c r="C235" s="398">
        <f t="shared" si="5"/>
        <v>53724</v>
      </c>
      <c r="D235" s="389">
        <f t="shared" si="6"/>
        <v>909677.635137278</v>
      </c>
      <c r="E235" s="389">
        <f t="shared" si="1"/>
        <v>4737.9043496733229</v>
      </c>
      <c r="F235" s="389">
        <f>($C$14-E235)*(B235&lt;$C$9*12+$B$22)*(B235&gt;INPUTS!$R$20*12+$B$22-1)</f>
        <v>8292.1547845380701</v>
      </c>
      <c r="G235" s="389">
        <f t="shared" si="2"/>
        <v>901385.48035273992</v>
      </c>
      <c r="H235" s="389">
        <f t="shared" si="3"/>
        <v>1709935.0136953646</v>
      </c>
      <c r="I235" s="363"/>
      <c r="J235" s="363"/>
      <c r="K235" s="363"/>
      <c r="L235" s="363"/>
      <c r="M235" s="363"/>
      <c r="N235" s="363"/>
      <c r="O235" s="363"/>
      <c r="P235" s="363"/>
      <c r="Q235" s="363"/>
      <c r="R235" s="363"/>
      <c r="S235" s="363"/>
      <c r="T235" s="363"/>
      <c r="U235" s="363"/>
      <c r="V235" s="363"/>
      <c r="W235" s="363"/>
      <c r="X235" s="363"/>
      <c r="Y235" s="363"/>
      <c r="Z235" s="363"/>
    </row>
    <row r="236" spans="1:26" ht="13.5" customHeight="1" x14ac:dyDescent="0.2">
      <c r="A236" s="386">
        <f t="shared" si="0"/>
        <v>21</v>
      </c>
      <c r="B236" s="387">
        <f t="shared" si="4"/>
        <v>251</v>
      </c>
      <c r="C236" s="398">
        <f t="shared" si="5"/>
        <v>53752</v>
      </c>
      <c r="D236" s="389">
        <f t="shared" si="6"/>
        <v>901385.48035273992</v>
      </c>
      <c r="E236" s="389">
        <f t="shared" si="1"/>
        <v>4694.7160435038541</v>
      </c>
      <c r="F236" s="389">
        <f>($C$14-E236)*(B236&lt;$C$9*12+$B$22)*(B236&gt;INPUTS!$R$20*12+$B$22-1)</f>
        <v>8335.3430907075381</v>
      </c>
      <c r="G236" s="389">
        <f t="shared" si="2"/>
        <v>893050.13726203237</v>
      </c>
      <c r="H236" s="389">
        <f t="shared" si="3"/>
        <v>1714629.7297388685</v>
      </c>
      <c r="I236" s="363"/>
      <c r="J236" s="363"/>
      <c r="K236" s="363"/>
      <c r="L236" s="363"/>
      <c r="M236" s="363"/>
      <c r="N236" s="363"/>
      <c r="O236" s="363"/>
      <c r="P236" s="363"/>
      <c r="Q236" s="363"/>
      <c r="R236" s="363"/>
      <c r="S236" s="363"/>
      <c r="T236" s="363"/>
      <c r="U236" s="363"/>
      <c r="V236" s="363"/>
      <c r="W236" s="363"/>
      <c r="X236" s="363"/>
      <c r="Y236" s="363"/>
      <c r="Z236" s="363"/>
    </row>
    <row r="237" spans="1:26" ht="13.5" customHeight="1" x14ac:dyDescent="0.2">
      <c r="A237" s="386">
        <f t="shared" si="0"/>
        <v>21</v>
      </c>
      <c r="B237" s="387">
        <f t="shared" si="4"/>
        <v>252</v>
      </c>
      <c r="C237" s="398">
        <f t="shared" si="5"/>
        <v>53783</v>
      </c>
      <c r="D237" s="389">
        <f t="shared" si="6"/>
        <v>893050.13726203237</v>
      </c>
      <c r="E237" s="389">
        <f t="shared" si="1"/>
        <v>4651.3027982397516</v>
      </c>
      <c r="F237" s="389">
        <f>($C$14-E237)*(B237&lt;$C$9*12+$B$22)*(B237&gt;INPUTS!$R$20*12+$B$22-1)</f>
        <v>8378.7563359716405</v>
      </c>
      <c r="G237" s="389">
        <f t="shared" si="2"/>
        <v>884671.38092606072</v>
      </c>
      <c r="H237" s="389">
        <f t="shared" si="3"/>
        <v>1719281.0325371083</v>
      </c>
      <c r="I237" s="363"/>
      <c r="J237" s="363"/>
      <c r="K237" s="363"/>
      <c r="L237" s="363"/>
      <c r="M237" s="363"/>
      <c r="N237" s="363"/>
      <c r="O237" s="363"/>
      <c r="P237" s="363"/>
      <c r="Q237" s="363"/>
      <c r="R237" s="363"/>
      <c r="S237" s="363"/>
      <c r="T237" s="363"/>
      <c r="U237" s="363"/>
      <c r="V237" s="363"/>
      <c r="W237" s="363"/>
      <c r="X237" s="363"/>
      <c r="Y237" s="363"/>
      <c r="Z237" s="363"/>
    </row>
    <row r="238" spans="1:26" ht="13.5" customHeight="1" x14ac:dyDescent="0.2">
      <c r="A238" s="386">
        <f t="shared" si="0"/>
        <v>22</v>
      </c>
      <c r="B238" s="387">
        <f t="shared" si="4"/>
        <v>253</v>
      </c>
      <c r="C238" s="398">
        <f t="shared" si="5"/>
        <v>53813</v>
      </c>
      <c r="D238" s="389">
        <f t="shared" si="6"/>
        <v>884671.38092606072</v>
      </c>
      <c r="E238" s="389">
        <f t="shared" si="1"/>
        <v>4607.6634423232326</v>
      </c>
      <c r="F238" s="389">
        <f>($C$14-E238)*(B238&lt;$C$9*12+$B$22)*(B238&gt;INPUTS!$R$20*12+$B$22-1)</f>
        <v>8422.3956918881595</v>
      </c>
      <c r="G238" s="389">
        <f t="shared" si="2"/>
        <v>876248.98523417255</v>
      </c>
      <c r="H238" s="389">
        <f t="shared" si="3"/>
        <v>1723888.6959794315</v>
      </c>
      <c r="I238" s="363"/>
      <c r="J238" s="363"/>
      <c r="K238" s="363"/>
      <c r="L238" s="363"/>
      <c r="M238" s="363"/>
      <c r="N238" s="363"/>
      <c r="O238" s="363"/>
      <c r="P238" s="363"/>
      <c r="Q238" s="363"/>
      <c r="R238" s="363"/>
      <c r="S238" s="363"/>
      <c r="T238" s="363"/>
      <c r="U238" s="363"/>
      <c r="V238" s="363"/>
      <c r="W238" s="363"/>
      <c r="X238" s="363"/>
      <c r="Y238" s="363"/>
      <c r="Z238" s="363"/>
    </row>
    <row r="239" spans="1:26" ht="13.5" customHeight="1" x14ac:dyDescent="0.2">
      <c r="A239" s="386">
        <f t="shared" si="0"/>
        <v>22</v>
      </c>
      <c r="B239" s="387">
        <f t="shared" si="4"/>
        <v>254</v>
      </c>
      <c r="C239" s="398">
        <f t="shared" si="5"/>
        <v>53844</v>
      </c>
      <c r="D239" s="389">
        <f t="shared" si="6"/>
        <v>876248.98523417255</v>
      </c>
      <c r="E239" s="389">
        <f t="shared" si="1"/>
        <v>4563.7967980946487</v>
      </c>
      <c r="F239" s="389">
        <f>($C$14-E239)*(B239&lt;$C$9*12+$B$22)*(B239&gt;INPUTS!$R$20*12+$B$22-1)</f>
        <v>8466.2623361167443</v>
      </c>
      <c r="G239" s="389">
        <f t="shared" si="2"/>
        <v>867782.7228980558</v>
      </c>
      <c r="H239" s="389">
        <f t="shared" si="3"/>
        <v>1728452.4927775261</v>
      </c>
      <c r="I239" s="363"/>
      <c r="J239" s="363"/>
      <c r="K239" s="363"/>
      <c r="L239" s="363"/>
      <c r="M239" s="363"/>
      <c r="N239" s="363"/>
      <c r="O239" s="363"/>
      <c r="P239" s="363"/>
      <c r="Q239" s="363"/>
      <c r="R239" s="363"/>
      <c r="S239" s="363"/>
      <c r="T239" s="363"/>
      <c r="U239" s="363"/>
      <c r="V239" s="363"/>
      <c r="W239" s="363"/>
      <c r="X239" s="363"/>
      <c r="Y239" s="363"/>
      <c r="Z239" s="363"/>
    </row>
    <row r="240" spans="1:26" ht="13.5" customHeight="1" x14ac:dyDescent="0.2">
      <c r="A240" s="386">
        <f t="shared" si="0"/>
        <v>22</v>
      </c>
      <c r="B240" s="387">
        <f t="shared" si="4"/>
        <v>255</v>
      </c>
      <c r="C240" s="398">
        <f t="shared" si="5"/>
        <v>53874</v>
      </c>
      <c r="D240" s="389">
        <f t="shared" si="6"/>
        <v>867782.7228980558</v>
      </c>
      <c r="E240" s="389">
        <f t="shared" si="1"/>
        <v>4519.7016817607073</v>
      </c>
      <c r="F240" s="389">
        <f>($C$14-E240)*(B240&lt;$C$9*12+$B$22)*(B240&gt;INPUTS!$R$20*12+$B$22-1)</f>
        <v>8510.3574524506857</v>
      </c>
      <c r="G240" s="389">
        <f t="shared" si="2"/>
        <v>859272.36544560513</v>
      </c>
      <c r="H240" s="389">
        <f t="shared" si="3"/>
        <v>1732972.1944592868</v>
      </c>
      <c r="I240" s="363"/>
      <c r="J240" s="363"/>
      <c r="K240" s="363"/>
      <c r="L240" s="363"/>
      <c r="M240" s="363"/>
      <c r="N240" s="363"/>
      <c r="O240" s="363"/>
      <c r="P240" s="363"/>
      <c r="Q240" s="363"/>
      <c r="R240" s="363"/>
      <c r="S240" s="363"/>
      <c r="T240" s="363"/>
      <c r="U240" s="363"/>
      <c r="V240" s="363"/>
      <c r="W240" s="363"/>
      <c r="X240" s="363"/>
      <c r="Y240" s="363"/>
      <c r="Z240" s="363"/>
    </row>
    <row r="241" spans="1:26" ht="13.5" customHeight="1" x14ac:dyDescent="0.2">
      <c r="A241" s="386">
        <f t="shared" si="0"/>
        <v>22</v>
      </c>
      <c r="B241" s="387">
        <f t="shared" si="4"/>
        <v>256</v>
      </c>
      <c r="C241" s="398">
        <f t="shared" si="5"/>
        <v>53905</v>
      </c>
      <c r="D241" s="389">
        <f t="shared" si="6"/>
        <v>859272.36544560513</v>
      </c>
      <c r="E241" s="389">
        <f t="shared" si="1"/>
        <v>4475.3769033625267</v>
      </c>
      <c r="F241" s="389">
        <f>($C$14-E241)*(B241&lt;$C$9*12+$B$22)*(B241&gt;INPUTS!$R$20*12+$B$22-1)</f>
        <v>8554.6822308488663</v>
      </c>
      <c r="G241" s="389">
        <f t="shared" si="2"/>
        <v>850717.68321475631</v>
      </c>
      <c r="H241" s="389">
        <f t="shared" si="3"/>
        <v>1737447.5713626493</v>
      </c>
      <c r="I241" s="363"/>
      <c r="J241" s="363"/>
      <c r="K241" s="363"/>
      <c r="L241" s="363"/>
      <c r="M241" s="363"/>
      <c r="N241" s="363"/>
      <c r="O241" s="363"/>
      <c r="P241" s="363"/>
      <c r="Q241" s="363"/>
      <c r="R241" s="363"/>
      <c r="S241" s="363"/>
      <c r="T241" s="363"/>
      <c r="U241" s="363"/>
      <c r="V241" s="363"/>
      <c r="W241" s="363"/>
      <c r="X241" s="363"/>
      <c r="Y241" s="363"/>
      <c r="Z241" s="363"/>
    </row>
    <row r="242" spans="1:26" ht="13.5" customHeight="1" x14ac:dyDescent="0.2">
      <c r="A242" s="386">
        <f t="shared" si="0"/>
        <v>22</v>
      </c>
      <c r="B242" s="387">
        <f t="shared" si="4"/>
        <v>257</v>
      </c>
      <c r="C242" s="398">
        <f t="shared" si="5"/>
        <v>53936</v>
      </c>
      <c r="D242" s="389">
        <f t="shared" si="6"/>
        <v>850717.68321475631</v>
      </c>
      <c r="E242" s="389">
        <f t="shared" si="1"/>
        <v>4430.8212667435228</v>
      </c>
      <c r="F242" s="389">
        <f>($C$14-E242)*(B242&lt;$C$9*12+$B$22)*(B242&gt;INPUTS!$R$20*12+$B$22-1)</f>
        <v>8599.2378674678694</v>
      </c>
      <c r="G242" s="389">
        <f t="shared" si="2"/>
        <v>842118.44534728839</v>
      </c>
      <c r="H242" s="389">
        <f t="shared" si="3"/>
        <v>1741878.3926293929</v>
      </c>
      <c r="I242" s="363"/>
      <c r="J242" s="363"/>
      <c r="K242" s="363"/>
      <c r="L242" s="363"/>
      <c r="M242" s="363"/>
      <c r="N242" s="363"/>
      <c r="O242" s="363"/>
      <c r="P242" s="363"/>
      <c r="Q242" s="363"/>
      <c r="R242" s="363"/>
      <c r="S242" s="363"/>
      <c r="T242" s="363"/>
      <c r="U242" s="363"/>
      <c r="V242" s="363"/>
      <c r="W242" s="363"/>
      <c r="X242" s="363"/>
      <c r="Y242" s="363"/>
      <c r="Z242" s="363"/>
    </row>
    <row r="243" spans="1:26" ht="13.5" customHeight="1" x14ac:dyDescent="0.2">
      <c r="A243" s="386">
        <f t="shared" si="0"/>
        <v>22</v>
      </c>
      <c r="B243" s="387">
        <f t="shared" si="4"/>
        <v>258</v>
      </c>
      <c r="C243" s="398">
        <f t="shared" si="5"/>
        <v>53966</v>
      </c>
      <c r="D243" s="389">
        <f t="shared" si="6"/>
        <v>842118.44534728839</v>
      </c>
      <c r="E243" s="389">
        <f t="shared" si="1"/>
        <v>4386.033569517127</v>
      </c>
      <c r="F243" s="389">
        <f>($C$14-E243)*(B243&lt;$C$9*12+$B$22)*(B243&gt;INPUTS!$R$20*12+$B$22-1)</f>
        <v>8644.025564694266</v>
      </c>
      <c r="G243" s="389">
        <f t="shared" si="2"/>
        <v>833474.41978259408</v>
      </c>
      <c r="H243" s="389">
        <f t="shared" si="3"/>
        <v>1746264.42619891</v>
      </c>
      <c r="I243" s="363"/>
      <c r="J243" s="363"/>
      <c r="K243" s="363"/>
      <c r="L243" s="363"/>
      <c r="M243" s="363"/>
      <c r="N243" s="363"/>
      <c r="O243" s="363"/>
      <c r="P243" s="363"/>
      <c r="Q243" s="363"/>
      <c r="R243" s="363"/>
      <c r="S243" s="363"/>
      <c r="T243" s="363"/>
      <c r="U243" s="363"/>
      <c r="V243" s="363"/>
      <c r="W243" s="363"/>
      <c r="X243" s="363"/>
      <c r="Y243" s="363"/>
      <c r="Z243" s="363"/>
    </row>
    <row r="244" spans="1:26" ht="13.5" customHeight="1" x14ac:dyDescent="0.2">
      <c r="A244" s="386">
        <f t="shared" si="0"/>
        <v>22</v>
      </c>
      <c r="B244" s="387">
        <f t="shared" si="4"/>
        <v>259</v>
      </c>
      <c r="C244" s="398">
        <f t="shared" si="5"/>
        <v>53997</v>
      </c>
      <c r="D244" s="389">
        <f t="shared" si="6"/>
        <v>833474.41978259408</v>
      </c>
      <c r="E244" s="389">
        <f t="shared" si="1"/>
        <v>4341.0126030343445</v>
      </c>
      <c r="F244" s="389">
        <f>($C$14-E244)*(B244&lt;$C$9*12+$B$22)*(B244&gt;INPUTS!$R$20*12+$B$22-1)</f>
        <v>8689.0465311770495</v>
      </c>
      <c r="G244" s="389">
        <f t="shared" si="2"/>
        <v>824785.37325141707</v>
      </c>
      <c r="H244" s="389">
        <f t="shared" si="3"/>
        <v>1750605.4388019443</v>
      </c>
      <c r="I244" s="363"/>
      <c r="J244" s="363"/>
      <c r="K244" s="363"/>
      <c r="L244" s="363"/>
      <c r="M244" s="363"/>
      <c r="N244" s="363"/>
      <c r="O244" s="363"/>
      <c r="P244" s="363"/>
      <c r="Q244" s="363"/>
      <c r="R244" s="363"/>
      <c r="S244" s="363"/>
      <c r="T244" s="363"/>
      <c r="U244" s="363"/>
      <c r="V244" s="363"/>
      <c r="W244" s="363"/>
      <c r="X244" s="363"/>
      <c r="Y244" s="363"/>
      <c r="Z244" s="363"/>
    </row>
    <row r="245" spans="1:26" ht="13.5" customHeight="1" x14ac:dyDescent="0.2">
      <c r="A245" s="386">
        <f t="shared" si="0"/>
        <v>22</v>
      </c>
      <c r="B245" s="387">
        <f t="shared" si="4"/>
        <v>260</v>
      </c>
      <c r="C245" s="398">
        <f t="shared" si="5"/>
        <v>54027</v>
      </c>
      <c r="D245" s="389">
        <f t="shared" si="6"/>
        <v>824785.37325141707</v>
      </c>
      <c r="E245" s="389">
        <f t="shared" si="1"/>
        <v>4295.7571523511306</v>
      </c>
      <c r="F245" s="389">
        <f>($C$14-E245)*(B245&lt;$C$9*12+$B$22)*(B245&gt;INPUTS!$R$20*12+$B$22-1)</f>
        <v>8734.3019818602625</v>
      </c>
      <c r="G245" s="389">
        <f t="shared" si="2"/>
        <v>816051.07126955676</v>
      </c>
      <c r="H245" s="389">
        <f t="shared" si="3"/>
        <v>1754901.1959542953</v>
      </c>
      <c r="I245" s="363"/>
      <c r="J245" s="363"/>
      <c r="K245" s="363"/>
      <c r="L245" s="363"/>
      <c r="M245" s="363"/>
      <c r="N245" s="363"/>
      <c r="O245" s="363"/>
      <c r="P245" s="363"/>
      <c r="Q245" s="363"/>
      <c r="R245" s="363"/>
      <c r="S245" s="363"/>
      <c r="T245" s="363"/>
      <c r="U245" s="363"/>
      <c r="V245" s="363"/>
      <c r="W245" s="363"/>
      <c r="X245" s="363"/>
      <c r="Y245" s="363"/>
      <c r="Z245" s="363"/>
    </row>
    <row r="246" spans="1:26" ht="13.5" customHeight="1" x14ac:dyDescent="0.2">
      <c r="A246" s="386">
        <f t="shared" si="0"/>
        <v>22</v>
      </c>
      <c r="B246" s="387">
        <f t="shared" si="4"/>
        <v>261</v>
      </c>
      <c r="C246" s="398">
        <f t="shared" si="5"/>
        <v>54058</v>
      </c>
      <c r="D246" s="389">
        <f t="shared" si="6"/>
        <v>816051.07126955676</v>
      </c>
      <c r="E246" s="389">
        <f t="shared" si="1"/>
        <v>4250.2659961956078</v>
      </c>
      <c r="F246" s="389">
        <f>($C$14-E246)*(B246&lt;$C$9*12+$B$22)*(B246&gt;INPUTS!$R$20*12+$B$22-1)</f>
        <v>8779.7931380157861</v>
      </c>
      <c r="G246" s="389">
        <f t="shared" si="2"/>
        <v>807271.27813154098</v>
      </c>
      <c r="H246" s="389">
        <f t="shared" si="3"/>
        <v>1759151.4619504909</v>
      </c>
      <c r="I246" s="363"/>
      <c r="J246" s="363"/>
      <c r="K246" s="363"/>
      <c r="L246" s="363"/>
      <c r="M246" s="363"/>
      <c r="N246" s="363"/>
      <c r="O246" s="363"/>
      <c r="P246" s="363"/>
      <c r="Q246" s="363"/>
      <c r="R246" s="363"/>
      <c r="S246" s="363"/>
      <c r="T246" s="363"/>
      <c r="U246" s="363"/>
      <c r="V246" s="363"/>
      <c r="W246" s="363"/>
      <c r="X246" s="363"/>
      <c r="Y246" s="363"/>
      <c r="Z246" s="363"/>
    </row>
    <row r="247" spans="1:26" ht="13.5" customHeight="1" x14ac:dyDescent="0.2">
      <c r="A247" s="386">
        <f t="shared" si="0"/>
        <v>22</v>
      </c>
      <c r="B247" s="387">
        <f t="shared" si="4"/>
        <v>262</v>
      </c>
      <c r="C247" s="398">
        <f t="shared" si="5"/>
        <v>54089</v>
      </c>
      <c r="D247" s="389">
        <f t="shared" si="6"/>
        <v>807271.27813154098</v>
      </c>
      <c r="E247" s="389">
        <f t="shared" si="1"/>
        <v>4204.5379069351093</v>
      </c>
      <c r="F247" s="389">
        <f>($C$14-E247)*(B247&lt;$C$9*12+$B$22)*(B247&gt;INPUTS!$R$20*12+$B$22-1)</f>
        <v>8825.5212272762838</v>
      </c>
      <c r="G247" s="389">
        <f t="shared" si="2"/>
        <v>798445.75690426468</v>
      </c>
      <c r="H247" s="389">
        <f t="shared" si="3"/>
        <v>1763355.9998574262</v>
      </c>
      <c r="I247" s="363"/>
      <c r="J247" s="363"/>
      <c r="K247" s="363"/>
      <c r="L247" s="363"/>
      <c r="M247" s="363"/>
      <c r="N247" s="363"/>
      <c r="O247" s="363"/>
      <c r="P247" s="363"/>
      <c r="Q247" s="363"/>
      <c r="R247" s="363"/>
      <c r="S247" s="363"/>
      <c r="T247" s="363"/>
      <c r="U247" s="363"/>
      <c r="V247" s="363"/>
      <c r="W247" s="363"/>
      <c r="X247" s="363"/>
      <c r="Y247" s="363"/>
      <c r="Z247" s="363"/>
    </row>
    <row r="248" spans="1:26" ht="13.5" customHeight="1" x14ac:dyDescent="0.2">
      <c r="A248" s="386">
        <f t="shared" si="0"/>
        <v>22</v>
      </c>
      <c r="B248" s="387">
        <f t="shared" si="4"/>
        <v>263</v>
      </c>
      <c r="C248" s="398">
        <f t="shared" si="5"/>
        <v>54118</v>
      </c>
      <c r="D248" s="389">
        <f t="shared" si="6"/>
        <v>798445.75690426468</v>
      </c>
      <c r="E248" s="389">
        <f t="shared" si="1"/>
        <v>4158.5716505430455</v>
      </c>
      <c r="F248" s="389">
        <f>($C$14-E248)*(B248&lt;$C$9*12+$B$22)*(B248&gt;INPUTS!$R$20*12+$B$22-1)</f>
        <v>8871.4874836683484</v>
      </c>
      <c r="G248" s="389">
        <f t="shared" si="2"/>
        <v>789574.26942059631</v>
      </c>
      <c r="H248" s="389">
        <f t="shared" si="3"/>
        <v>1767514.5715079692</v>
      </c>
      <c r="I248" s="363"/>
      <c r="J248" s="363"/>
      <c r="K248" s="363"/>
      <c r="L248" s="363"/>
      <c r="M248" s="363"/>
      <c r="N248" s="363"/>
      <c r="O248" s="363"/>
      <c r="P248" s="363"/>
      <c r="Q248" s="363"/>
      <c r="R248" s="363"/>
      <c r="S248" s="363"/>
      <c r="T248" s="363"/>
      <c r="U248" s="363"/>
      <c r="V248" s="363"/>
      <c r="W248" s="363"/>
      <c r="X248" s="363"/>
      <c r="Y248" s="363"/>
      <c r="Z248" s="363"/>
    </row>
    <row r="249" spans="1:26" ht="13.5" customHeight="1" x14ac:dyDescent="0.2">
      <c r="A249" s="386">
        <f t="shared" si="0"/>
        <v>22</v>
      </c>
      <c r="B249" s="387">
        <f t="shared" si="4"/>
        <v>264</v>
      </c>
      <c r="C249" s="398">
        <f t="shared" si="5"/>
        <v>54149</v>
      </c>
      <c r="D249" s="389">
        <f t="shared" si="6"/>
        <v>789574.26942059631</v>
      </c>
      <c r="E249" s="389">
        <f t="shared" si="1"/>
        <v>4112.3659865656055</v>
      </c>
      <c r="F249" s="389">
        <f>($C$14-E249)*(B249&lt;$C$9*12+$B$22)*(B249&gt;INPUTS!$R$20*12+$B$22-1)</f>
        <v>8917.6931476457867</v>
      </c>
      <c r="G249" s="389">
        <f t="shared" si="2"/>
        <v>780656.57627295051</v>
      </c>
      <c r="H249" s="389">
        <f t="shared" si="3"/>
        <v>1771626.9374945348</v>
      </c>
      <c r="I249" s="363"/>
      <c r="J249" s="363"/>
      <c r="K249" s="363"/>
      <c r="L249" s="363"/>
      <c r="M249" s="363"/>
      <c r="N249" s="363"/>
      <c r="O249" s="363"/>
      <c r="P249" s="363"/>
      <c r="Q249" s="363"/>
      <c r="R249" s="363"/>
      <c r="S249" s="363"/>
      <c r="T249" s="363"/>
      <c r="U249" s="363"/>
      <c r="V249" s="363"/>
      <c r="W249" s="363"/>
      <c r="X249" s="363"/>
      <c r="Y249" s="363"/>
      <c r="Z249" s="363"/>
    </row>
    <row r="250" spans="1:26" ht="13.5" customHeight="1" x14ac:dyDescent="0.2">
      <c r="A250" s="386">
        <f t="shared" si="0"/>
        <v>23</v>
      </c>
      <c r="B250" s="387">
        <f t="shared" si="4"/>
        <v>265</v>
      </c>
      <c r="C250" s="398">
        <f t="shared" si="5"/>
        <v>54179</v>
      </c>
      <c r="D250" s="389">
        <f t="shared" si="6"/>
        <v>780656.57627295051</v>
      </c>
      <c r="E250" s="389">
        <f t="shared" si="1"/>
        <v>4065.9196680882837</v>
      </c>
      <c r="F250" s="389">
        <f>($C$14-E250)*(B250&lt;$C$9*12+$B$22)*(B250&gt;INPUTS!$R$20*12+$B$22-1)</f>
        <v>8964.1394661231097</v>
      </c>
      <c r="G250" s="389">
        <f t="shared" si="2"/>
        <v>771692.43680682743</v>
      </c>
      <c r="H250" s="389">
        <f t="shared" si="3"/>
        <v>1775692.857162623</v>
      </c>
      <c r="I250" s="363"/>
      <c r="J250" s="363"/>
      <c r="K250" s="363"/>
      <c r="L250" s="363"/>
      <c r="M250" s="363"/>
      <c r="N250" s="363"/>
      <c r="O250" s="363"/>
      <c r="P250" s="363"/>
      <c r="Q250" s="363"/>
      <c r="R250" s="363"/>
      <c r="S250" s="363"/>
      <c r="T250" s="363"/>
      <c r="U250" s="363"/>
      <c r="V250" s="363"/>
      <c r="W250" s="363"/>
      <c r="X250" s="363"/>
      <c r="Y250" s="363"/>
      <c r="Z250" s="363"/>
    </row>
    <row r="251" spans="1:26" ht="13.5" customHeight="1" x14ac:dyDescent="0.2">
      <c r="A251" s="386">
        <f t="shared" si="0"/>
        <v>23</v>
      </c>
      <c r="B251" s="387">
        <f t="shared" si="4"/>
        <v>266</v>
      </c>
      <c r="C251" s="398">
        <f t="shared" si="5"/>
        <v>54210</v>
      </c>
      <c r="D251" s="389">
        <f t="shared" si="6"/>
        <v>771692.43680682743</v>
      </c>
      <c r="E251" s="389">
        <f t="shared" si="1"/>
        <v>4019.2314417022262</v>
      </c>
      <c r="F251" s="389">
        <f>($C$14-E251)*(B251&lt;$C$9*12+$B$22)*(B251&gt;INPUTS!$R$20*12+$B$22-1)</f>
        <v>9010.8276925091668</v>
      </c>
      <c r="G251" s="389">
        <f t="shared" si="2"/>
        <v>762681.60911431827</v>
      </c>
      <c r="H251" s="389">
        <f t="shared" si="3"/>
        <v>1779712.0886043252</v>
      </c>
      <c r="I251" s="363"/>
      <c r="J251" s="363"/>
      <c r="K251" s="363"/>
      <c r="L251" s="363"/>
      <c r="M251" s="363"/>
      <c r="N251" s="363"/>
      <c r="O251" s="363"/>
      <c r="P251" s="363"/>
      <c r="Q251" s="363"/>
      <c r="R251" s="363"/>
      <c r="S251" s="363"/>
      <c r="T251" s="363"/>
      <c r="U251" s="363"/>
      <c r="V251" s="363"/>
      <c r="W251" s="363"/>
      <c r="X251" s="363"/>
      <c r="Y251" s="363"/>
      <c r="Z251" s="363"/>
    </row>
    <row r="252" spans="1:26" ht="13.5" customHeight="1" x14ac:dyDescent="0.2">
      <c r="A252" s="386">
        <f t="shared" si="0"/>
        <v>23</v>
      </c>
      <c r="B252" s="387">
        <f t="shared" si="4"/>
        <v>267</v>
      </c>
      <c r="C252" s="398">
        <f t="shared" si="5"/>
        <v>54240</v>
      </c>
      <c r="D252" s="389">
        <f t="shared" si="6"/>
        <v>762681.60911431827</v>
      </c>
      <c r="E252" s="389">
        <f t="shared" si="1"/>
        <v>3972.3000474704077</v>
      </c>
      <c r="F252" s="389">
        <f>($C$14-E252)*(B252&lt;$C$9*12+$B$22)*(B252&gt;INPUTS!$R$20*12+$B$22-1)</f>
        <v>9057.7590867409854</v>
      </c>
      <c r="G252" s="389">
        <f t="shared" si="2"/>
        <v>753623.85002757725</v>
      </c>
      <c r="H252" s="389">
        <f t="shared" si="3"/>
        <v>1783684.3886517957</v>
      </c>
      <c r="I252" s="363"/>
      <c r="J252" s="363"/>
      <c r="K252" s="363"/>
      <c r="L252" s="363"/>
      <c r="M252" s="363"/>
      <c r="N252" s="363"/>
      <c r="O252" s="363"/>
      <c r="P252" s="363"/>
      <c r="Q252" s="363"/>
      <c r="R252" s="363"/>
      <c r="S252" s="363"/>
      <c r="T252" s="363"/>
      <c r="U252" s="363"/>
      <c r="V252" s="363"/>
      <c r="W252" s="363"/>
      <c r="X252" s="363"/>
      <c r="Y252" s="363"/>
      <c r="Z252" s="363"/>
    </row>
    <row r="253" spans="1:26" ht="13.5" customHeight="1" x14ac:dyDescent="0.2">
      <c r="A253" s="386">
        <f t="shared" si="0"/>
        <v>23</v>
      </c>
      <c r="B253" s="387">
        <f t="shared" si="4"/>
        <v>268</v>
      </c>
      <c r="C253" s="398">
        <f t="shared" si="5"/>
        <v>54271</v>
      </c>
      <c r="D253" s="389">
        <f t="shared" si="6"/>
        <v>753623.85002757725</v>
      </c>
      <c r="E253" s="389">
        <f t="shared" si="1"/>
        <v>3925.1242188936317</v>
      </c>
      <c r="F253" s="389">
        <f>($C$14-E253)*(B253&lt;$C$9*12+$B$22)*(B253&gt;INPUTS!$R$20*12+$B$22-1)</f>
        <v>9104.9349153177609</v>
      </c>
      <c r="G253" s="389">
        <f t="shared" si="2"/>
        <v>744518.91511225945</v>
      </c>
      <c r="H253" s="389">
        <f t="shared" si="3"/>
        <v>1787609.5128706894</v>
      </c>
      <c r="I253" s="363"/>
      <c r="J253" s="363"/>
      <c r="K253" s="363"/>
      <c r="L253" s="363"/>
      <c r="M253" s="363"/>
      <c r="N253" s="363"/>
      <c r="O253" s="363"/>
      <c r="P253" s="363"/>
      <c r="Q253" s="363"/>
      <c r="R253" s="363"/>
      <c r="S253" s="363"/>
      <c r="T253" s="363"/>
      <c r="U253" s="363"/>
      <c r="V253" s="363"/>
      <c r="W253" s="363"/>
      <c r="X253" s="363"/>
      <c r="Y253" s="363"/>
      <c r="Z253" s="363"/>
    </row>
    <row r="254" spans="1:26" ht="13.5" customHeight="1" x14ac:dyDescent="0.2">
      <c r="A254" s="386">
        <f t="shared" si="0"/>
        <v>23</v>
      </c>
      <c r="B254" s="387">
        <f t="shared" si="4"/>
        <v>269</v>
      </c>
      <c r="C254" s="398">
        <f t="shared" si="5"/>
        <v>54302</v>
      </c>
      <c r="D254" s="389">
        <f t="shared" si="6"/>
        <v>744518.91511225945</v>
      </c>
      <c r="E254" s="389">
        <f t="shared" si="1"/>
        <v>3877.7026828763514</v>
      </c>
      <c r="F254" s="389">
        <f>($C$14-E254)*(B254&lt;$C$9*12+$B$22)*(B254&gt;INPUTS!$R$20*12+$B$22-1)</f>
        <v>9152.3564513350411</v>
      </c>
      <c r="G254" s="389">
        <f t="shared" si="2"/>
        <v>735366.55866092443</v>
      </c>
      <c r="H254" s="389">
        <f t="shared" si="3"/>
        <v>1791487.2155535656</v>
      </c>
      <c r="I254" s="363"/>
      <c r="J254" s="363"/>
      <c r="K254" s="363"/>
      <c r="L254" s="363"/>
      <c r="M254" s="363"/>
      <c r="N254" s="363"/>
      <c r="O254" s="363"/>
      <c r="P254" s="363"/>
      <c r="Q254" s="363"/>
      <c r="R254" s="363"/>
      <c r="S254" s="363"/>
      <c r="T254" s="363"/>
      <c r="U254" s="363"/>
      <c r="V254" s="363"/>
      <c r="W254" s="363"/>
      <c r="X254" s="363"/>
      <c r="Y254" s="363"/>
      <c r="Z254" s="363"/>
    </row>
    <row r="255" spans="1:26" ht="13.5" customHeight="1" x14ac:dyDescent="0.2">
      <c r="A255" s="386">
        <f t="shared" si="0"/>
        <v>23</v>
      </c>
      <c r="B255" s="387">
        <f t="shared" si="4"/>
        <v>270</v>
      </c>
      <c r="C255" s="398">
        <f t="shared" si="5"/>
        <v>54332</v>
      </c>
      <c r="D255" s="389">
        <f t="shared" si="6"/>
        <v>735366.55866092443</v>
      </c>
      <c r="E255" s="389">
        <f t="shared" si="1"/>
        <v>3830.0341596923149</v>
      </c>
      <c r="F255" s="389">
        <f>($C$14-E255)*(B255&lt;$C$9*12+$B$22)*(B255&gt;INPUTS!$R$20*12+$B$22-1)</f>
        <v>9200.0249745190777</v>
      </c>
      <c r="G255" s="389">
        <f t="shared" si="2"/>
        <v>726166.5336864054</v>
      </c>
      <c r="H255" s="389">
        <f t="shared" si="3"/>
        <v>1795317.2497132579</v>
      </c>
      <c r="I255" s="363"/>
      <c r="J255" s="363"/>
      <c r="K255" s="363"/>
      <c r="L255" s="363"/>
      <c r="M255" s="363"/>
      <c r="N255" s="363"/>
      <c r="O255" s="363"/>
      <c r="P255" s="363"/>
      <c r="Q255" s="363"/>
      <c r="R255" s="363"/>
      <c r="S255" s="363"/>
      <c r="T255" s="363"/>
      <c r="U255" s="363"/>
      <c r="V255" s="363"/>
      <c r="W255" s="363"/>
      <c r="X255" s="363"/>
      <c r="Y255" s="363"/>
      <c r="Z255" s="363"/>
    </row>
    <row r="256" spans="1:26" ht="13.5" customHeight="1" x14ac:dyDescent="0.2">
      <c r="A256" s="386">
        <f t="shared" si="0"/>
        <v>23</v>
      </c>
      <c r="B256" s="387">
        <f t="shared" si="4"/>
        <v>271</v>
      </c>
      <c r="C256" s="398">
        <f t="shared" si="5"/>
        <v>54363</v>
      </c>
      <c r="D256" s="389">
        <f t="shared" si="6"/>
        <v>726166.5336864054</v>
      </c>
      <c r="E256" s="389">
        <f t="shared" si="1"/>
        <v>3782.1173629500281</v>
      </c>
      <c r="F256" s="389">
        <f>($C$14-E256)*(B256&lt;$C$9*12+$B$22)*(B256&gt;INPUTS!$R$20*12+$B$22-1)</f>
        <v>9247.9417712613649</v>
      </c>
      <c r="G256" s="389">
        <f t="shared" si="2"/>
        <v>716918.591915144</v>
      </c>
      <c r="H256" s="389">
        <f t="shared" si="3"/>
        <v>1799099.3670762079</v>
      </c>
      <c r="I256" s="363"/>
      <c r="J256" s="363"/>
      <c r="K256" s="363"/>
      <c r="L256" s="363"/>
      <c r="M256" s="363"/>
      <c r="N256" s="363"/>
      <c r="O256" s="363"/>
      <c r="P256" s="363"/>
      <c r="Q256" s="363"/>
      <c r="R256" s="363"/>
      <c r="S256" s="363"/>
      <c r="T256" s="363"/>
      <c r="U256" s="363"/>
      <c r="V256" s="363"/>
      <c r="W256" s="363"/>
      <c r="X256" s="363"/>
      <c r="Y256" s="363"/>
      <c r="Z256" s="363"/>
    </row>
    <row r="257" spans="1:26" ht="13.5" customHeight="1" x14ac:dyDescent="0.2">
      <c r="A257" s="386">
        <f t="shared" si="0"/>
        <v>23</v>
      </c>
      <c r="B257" s="387">
        <f t="shared" si="4"/>
        <v>272</v>
      </c>
      <c r="C257" s="398">
        <f t="shared" si="5"/>
        <v>54393</v>
      </c>
      <c r="D257" s="389">
        <f t="shared" si="6"/>
        <v>716918.591915144</v>
      </c>
      <c r="E257" s="389">
        <f t="shared" si="1"/>
        <v>3733.9509995580415</v>
      </c>
      <c r="F257" s="389">
        <f>($C$14-E257)*(B257&lt;$C$9*12+$B$22)*(B257&gt;INPUTS!$R$20*12+$B$22-1)</f>
        <v>9296.108134653352</v>
      </c>
      <c r="G257" s="389">
        <f t="shared" si="2"/>
        <v>707622.4837804907</v>
      </c>
      <c r="H257" s="389">
        <f t="shared" si="3"/>
        <v>1802833.3180757659</v>
      </c>
      <c r="I257" s="363"/>
      <c r="J257" s="363"/>
      <c r="K257" s="363"/>
      <c r="L257" s="363"/>
      <c r="M257" s="363"/>
      <c r="N257" s="363"/>
      <c r="O257" s="363"/>
      <c r="P257" s="363"/>
      <c r="Q257" s="363"/>
      <c r="R257" s="363"/>
      <c r="S257" s="363"/>
      <c r="T257" s="363"/>
      <c r="U257" s="363"/>
      <c r="V257" s="363"/>
      <c r="W257" s="363"/>
      <c r="X257" s="363"/>
      <c r="Y257" s="363"/>
      <c r="Z257" s="363"/>
    </row>
    <row r="258" spans="1:26" ht="13.5" customHeight="1" x14ac:dyDescent="0.2">
      <c r="A258" s="386">
        <f t="shared" si="0"/>
        <v>23</v>
      </c>
      <c r="B258" s="387">
        <f t="shared" si="4"/>
        <v>273</v>
      </c>
      <c r="C258" s="398">
        <f t="shared" si="5"/>
        <v>54424</v>
      </c>
      <c r="D258" s="389">
        <f t="shared" si="6"/>
        <v>707622.4837804907</v>
      </c>
      <c r="E258" s="389">
        <f t="shared" si="1"/>
        <v>3685.5337696900556</v>
      </c>
      <c r="F258" s="389">
        <f>($C$14-E258)*(B258&lt;$C$9*12+$B$22)*(B258&gt;INPUTS!$R$20*12+$B$22-1)</f>
        <v>9344.5253645213379</v>
      </c>
      <c r="G258" s="389">
        <f t="shared" si="2"/>
        <v>698277.95841596939</v>
      </c>
      <c r="H258" s="389">
        <f t="shared" si="3"/>
        <v>1806518.8518454558</v>
      </c>
      <c r="I258" s="363"/>
      <c r="J258" s="363"/>
      <c r="K258" s="363"/>
      <c r="L258" s="363"/>
      <c r="M258" s="363"/>
      <c r="N258" s="363"/>
      <c r="O258" s="363"/>
      <c r="P258" s="363"/>
      <c r="Q258" s="363"/>
      <c r="R258" s="363"/>
      <c r="S258" s="363"/>
      <c r="T258" s="363"/>
      <c r="U258" s="363"/>
      <c r="V258" s="363"/>
      <c r="W258" s="363"/>
      <c r="X258" s="363"/>
      <c r="Y258" s="363"/>
      <c r="Z258" s="363"/>
    </row>
    <row r="259" spans="1:26" ht="13.5" customHeight="1" x14ac:dyDescent="0.2">
      <c r="A259" s="386">
        <f t="shared" si="0"/>
        <v>23</v>
      </c>
      <c r="B259" s="387">
        <f t="shared" si="4"/>
        <v>274</v>
      </c>
      <c r="C259" s="398">
        <f t="shared" si="5"/>
        <v>54455</v>
      </c>
      <c r="D259" s="389">
        <f t="shared" si="6"/>
        <v>698277.95841596939</v>
      </c>
      <c r="E259" s="389">
        <f t="shared" si="1"/>
        <v>3636.8643667498404</v>
      </c>
      <c r="F259" s="389">
        <f>($C$14-E259)*(B259&lt;$C$9*12+$B$22)*(B259&gt;INPUTS!$R$20*12+$B$22-1)</f>
        <v>9393.1947674615531</v>
      </c>
      <c r="G259" s="389">
        <f t="shared" si="2"/>
        <v>688884.76364850788</v>
      </c>
      <c r="H259" s="389">
        <f t="shared" si="3"/>
        <v>1810155.7162122056</v>
      </c>
      <c r="I259" s="363"/>
      <c r="J259" s="363"/>
      <c r="K259" s="363"/>
      <c r="L259" s="363"/>
      <c r="M259" s="363"/>
      <c r="N259" s="363"/>
      <c r="O259" s="363"/>
      <c r="P259" s="363"/>
      <c r="Q259" s="363"/>
      <c r="R259" s="363"/>
      <c r="S259" s="363"/>
      <c r="T259" s="363"/>
      <c r="U259" s="363"/>
      <c r="V259" s="363"/>
      <c r="W259" s="363"/>
      <c r="X259" s="363"/>
      <c r="Y259" s="363"/>
      <c r="Z259" s="363"/>
    </row>
    <row r="260" spans="1:26" ht="13.5" customHeight="1" x14ac:dyDescent="0.2">
      <c r="A260" s="386">
        <f t="shared" si="0"/>
        <v>23</v>
      </c>
      <c r="B260" s="387">
        <f t="shared" si="4"/>
        <v>275</v>
      </c>
      <c r="C260" s="398">
        <f t="shared" si="5"/>
        <v>54483</v>
      </c>
      <c r="D260" s="389">
        <f t="shared" si="6"/>
        <v>688884.76364850788</v>
      </c>
      <c r="E260" s="389">
        <f t="shared" si="1"/>
        <v>3587.9414773359786</v>
      </c>
      <c r="F260" s="389">
        <f>($C$14-E260)*(B260&lt;$C$9*12+$B$22)*(B260&gt;INPUTS!$R$20*12+$B$22-1)</f>
        <v>9442.1176568754145</v>
      </c>
      <c r="G260" s="389">
        <f t="shared" si="2"/>
        <v>679442.64599163248</v>
      </c>
      <c r="H260" s="389">
        <f t="shared" si="3"/>
        <v>1813743.6576895416</v>
      </c>
      <c r="I260" s="363"/>
      <c r="J260" s="363"/>
      <c r="K260" s="363"/>
      <c r="L260" s="363"/>
      <c r="M260" s="363"/>
      <c r="N260" s="363"/>
      <c r="O260" s="363"/>
      <c r="P260" s="363"/>
      <c r="Q260" s="363"/>
      <c r="R260" s="363"/>
      <c r="S260" s="363"/>
      <c r="T260" s="363"/>
      <c r="U260" s="363"/>
      <c r="V260" s="363"/>
      <c r="W260" s="363"/>
      <c r="X260" s="363"/>
      <c r="Y260" s="363"/>
      <c r="Z260" s="363"/>
    </row>
    <row r="261" spans="1:26" ht="13.5" customHeight="1" x14ac:dyDescent="0.2">
      <c r="A261" s="386">
        <f t="shared" si="0"/>
        <v>23</v>
      </c>
      <c r="B261" s="387">
        <f t="shared" si="4"/>
        <v>276</v>
      </c>
      <c r="C261" s="398">
        <f t="shared" si="5"/>
        <v>54514</v>
      </c>
      <c r="D261" s="389">
        <f t="shared" si="6"/>
        <v>679442.64599163248</v>
      </c>
      <c r="E261" s="389">
        <f t="shared" si="1"/>
        <v>3538.763781206419</v>
      </c>
      <c r="F261" s="389">
        <f>($C$14-E261)*(B261&lt;$C$9*12+$B$22)*(B261&gt;INPUTS!$R$20*12+$B$22-1)</f>
        <v>9491.2953530049745</v>
      </c>
      <c r="G261" s="389">
        <f t="shared" si="2"/>
        <v>669951.35063862754</v>
      </c>
      <c r="H261" s="389">
        <f t="shared" si="3"/>
        <v>1817282.421470748</v>
      </c>
      <c r="I261" s="363"/>
      <c r="J261" s="363"/>
      <c r="K261" s="363"/>
      <c r="L261" s="363"/>
      <c r="M261" s="363"/>
      <c r="N261" s="363"/>
      <c r="O261" s="363"/>
      <c r="P261" s="363"/>
      <c r="Q261" s="363"/>
      <c r="R261" s="363"/>
      <c r="S261" s="363"/>
      <c r="T261" s="363"/>
      <c r="U261" s="363"/>
      <c r="V261" s="363"/>
      <c r="W261" s="363"/>
      <c r="X261" s="363"/>
      <c r="Y261" s="363"/>
      <c r="Z261" s="363"/>
    </row>
    <row r="262" spans="1:26" ht="13.5" customHeight="1" x14ac:dyDescent="0.2">
      <c r="A262" s="386">
        <f t="shared" si="0"/>
        <v>24</v>
      </c>
      <c r="B262" s="387">
        <f t="shared" si="4"/>
        <v>277</v>
      </c>
      <c r="C262" s="398">
        <f t="shared" si="5"/>
        <v>54544</v>
      </c>
      <c r="D262" s="389">
        <f t="shared" si="6"/>
        <v>669951.35063862754</v>
      </c>
      <c r="E262" s="389">
        <f t="shared" si="1"/>
        <v>3489.3299512428516</v>
      </c>
      <c r="F262" s="389">
        <f>($C$14-E262)*(B262&lt;$C$9*12+$B$22)*(B262&gt;INPUTS!$R$20*12+$B$22-1)</f>
        <v>9540.7291829685419</v>
      </c>
      <c r="G262" s="389">
        <f t="shared" si="2"/>
        <v>660410.62145565904</v>
      </c>
      <c r="H262" s="389">
        <f t="shared" si="3"/>
        <v>1820771.7514219908</v>
      </c>
      <c r="I262" s="363"/>
      <c r="J262" s="363"/>
      <c r="K262" s="363"/>
      <c r="L262" s="363"/>
      <c r="M262" s="363"/>
      <c r="N262" s="363"/>
      <c r="O262" s="363"/>
      <c r="P262" s="363"/>
      <c r="Q262" s="363"/>
      <c r="R262" s="363"/>
      <c r="S262" s="363"/>
      <c r="T262" s="363"/>
      <c r="U262" s="363"/>
      <c r="V262" s="363"/>
      <c r="W262" s="363"/>
      <c r="X262" s="363"/>
      <c r="Y262" s="363"/>
      <c r="Z262" s="363"/>
    </row>
    <row r="263" spans="1:26" ht="13.5" customHeight="1" x14ac:dyDescent="0.2">
      <c r="A263" s="386">
        <f t="shared" si="0"/>
        <v>24</v>
      </c>
      <c r="B263" s="387">
        <f t="shared" si="4"/>
        <v>278</v>
      </c>
      <c r="C263" s="398">
        <f t="shared" si="5"/>
        <v>54575</v>
      </c>
      <c r="D263" s="389">
        <f t="shared" si="6"/>
        <v>660410.62145565904</v>
      </c>
      <c r="E263" s="389">
        <f t="shared" si="1"/>
        <v>3439.638653414891</v>
      </c>
      <c r="F263" s="389">
        <f>($C$14-E263)*(B263&lt;$C$9*12+$B$22)*(B263&gt;INPUTS!$R$20*12+$B$22-1)</f>
        <v>9590.4204807965016</v>
      </c>
      <c r="G263" s="389">
        <f t="shared" si="2"/>
        <v>650820.20097486256</v>
      </c>
      <c r="H263" s="389">
        <f t="shared" si="3"/>
        <v>1824211.3900754056</v>
      </c>
      <c r="I263" s="363"/>
      <c r="J263" s="363"/>
      <c r="K263" s="363"/>
      <c r="L263" s="363"/>
      <c r="M263" s="363"/>
      <c r="N263" s="363"/>
      <c r="O263" s="363"/>
      <c r="P263" s="363"/>
      <c r="Q263" s="363"/>
      <c r="R263" s="363"/>
      <c r="S263" s="363"/>
      <c r="T263" s="363"/>
      <c r="U263" s="363"/>
      <c r="V263" s="363"/>
      <c r="W263" s="363"/>
      <c r="X263" s="363"/>
      <c r="Y263" s="363"/>
      <c r="Z263" s="363"/>
    </row>
    <row r="264" spans="1:26" ht="13.5" customHeight="1" x14ac:dyDescent="0.2">
      <c r="A264" s="386">
        <f t="shared" si="0"/>
        <v>24</v>
      </c>
      <c r="B264" s="387">
        <f t="shared" si="4"/>
        <v>279</v>
      </c>
      <c r="C264" s="398">
        <f t="shared" si="5"/>
        <v>54605</v>
      </c>
      <c r="D264" s="389">
        <f t="shared" si="6"/>
        <v>650820.20097486256</v>
      </c>
      <c r="E264" s="389">
        <f t="shared" si="1"/>
        <v>3389.6885467440757</v>
      </c>
      <c r="F264" s="389">
        <f>($C$14-E264)*(B264&lt;$C$9*12+$B$22)*(B264&gt;INPUTS!$R$20*12+$B$22-1)</f>
        <v>9640.3705874673178</v>
      </c>
      <c r="G264" s="389">
        <f t="shared" si="2"/>
        <v>641179.83038739522</v>
      </c>
      <c r="H264" s="389">
        <f t="shared" si="3"/>
        <v>1827601.0786221498</v>
      </c>
      <c r="I264" s="363"/>
      <c r="J264" s="363"/>
      <c r="K264" s="363"/>
      <c r="L264" s="363"/>
      <c r="M264" s="363"/>
      <c r="N264" s="363"/>
      <c r="O264" s="363"/>
      <c r="P264" s="363"/>
      <c r="Q264" s="363"/>
      <c r="R264" s="363"/>
      <c r="S264" s="363"/>
      <c r="T264" s="363"/>
      <c r="U264" s="363"/>
      <c r="V264" s="363"/>
      <c r="W264" s="363"/>
      <c r="X264" s="363"/>
      <c r="Y264" s="363"/>
      <c r="Z264" s="363"/>
    </row>
    <row r="265" spans="1:26" ht="13.5" customHeight="1" x14ac:dyDescent="0.2">
      <c r="A265" s="386">
        <f t="shared" si="0"/>
        <v>24</v>
      </c>
      <c r="B265" s="387">
        <f t="shared" si="4"/>
        <v>280</v>
      </c>
      <c r="C265" s="398">
        <f t="shared" si="5"/>
        <v>54636</v>
      </c>
      <c r="D265" s="389">
        <f t="shared" si="6"/>
        <v>641179.83038739522</v>
      </c>
      <c r="E265" s="389">
        <f t="shared" si="1"/>
        <v>3339.4782832676833</v>
      </c>
      <c r="F265" s="389">
        <f>($C$14-E265)*(B265&lt;$C$9*12+$B$22)*(B265&gt;INPUTS!$R$20*12+$B$22-1)</f>
        <v>9690.5808509437102</v>
      </c>
      <c r="G265" s="389">
        <f t="shared" si="2"/>
        <v>631489.24953645153</v>
      </c>
      <c r="H265" s="389">
        <f t="shared" si="3"/>
        <v>1830940.5569054175</v>
      </c>
      <c r="I265" s="363"/>
      <c r="J265" s="363"/>
      <c r="K265" s="363"/>
      <c r="L265" s="363"/>
      <c r="M265" s="363"/>
      <c r="N265" s="363"/>
      <c r="O265" s="363"/>
      <c r="P265" s="363"/>
      <c r="Q265" s="363"/>
      <c r="R265" s="363"/>
      <c r="S265" s="363"/>
      <c r="T265" s="363"/>
      <c r="U265" s="363"/>
      <c r="V265" s="363"/>
      <c r="W265" s="363"/>
      <c r="X265" s="363"/>
      <c r="Y265" s="363"/>
      <c r="Z265" s="363"/>
    </row>
    <row r="266" spans="1:26" ht="13.5" customHeight="1" x14ac:dyDescent="0.2">
      <c r="A266" s="386">
        <f t="shared" si="0"/>
        <v>24</v>
      </c>
      <c r="B266" s="387">
        <f t="shared" si="4"/>
        <v>281</v>
      </c>
      <c r="C266" s="398">
        <f t="shared" si="5"/>
        <v>54667</v>
      </c>
      <c r="D266" s="389">
        <f t="shared" si="6"/>
        <v>631489.24953645153</v>
      </c>
      <c r="E266" s="389">
        <f t="shared" si="1"/>
        <v>3289.0065080023519</v>
      </c>
      <c r="F266" s="389">
        <f>($C$14-E266)*(B266&lt;$C$9*12+$B$22)*(B266&gt;INPUTS!$R$20*12+$B$22-1)</f>
        <v>9741.0526262090407</v>
      </c>
      <c r="G266" s="389">
        <f t="shared" si="2"/>
        <v>621748.19691024255</v>
      </c>
      <c r="H266" s="389">
        <f t="shared" si="3"/>
        <v>1834229.5634134198</v>
      </c>
      <c r="I266" s="363"/>
      <c r="J266" s="363"/>
      <c r="K266" s="363"/>
      <c r="L266" s="363"/>
      <c r="M266" s="363"/>
      <c r="N266" s="363"/>
      <c r="O266" s="363"/>
      <c r="P266" s="363"/>
      <c r="Q266" s="363"/>
      <c r="R266" s="363"/>
      <c r="S266" s="363"/>
      <c r="T266" s="363"/>
      <c r="U266" s="363"/>
      <c r="V266" s="363"/>
      <c r="W266" s="363"/>
      <c r="X266" s="363"/>
      <c r="Y266" s="363"/>
      <c r="Z266" s="363"/>
    </row>
    <row r="267" spans="1:26" ht="13.5" customHeight="1" x14ac:dyDescent="0.2">
      <c r="A267" s="386">
        <f t="shared" si="0"/>
        <v>24</v>
      </c>
      <c r="B267" s="387">
        <f t="shared" si="4"/>
        <v>282</v>
      </c>
      <c r="C267" s="398">
        <f t="shared" si="5"/>
        <v>54697</v>
      </c>
      <c r="D267" s="389">
        <f t="shared" si="6"/>
        <v>621748.19691024255</v>
      </c>
      <c r="E267" s="389">
        <f t="shared" si="1"/>
        <v>3238.2718589075134</v>
      </c>
      <c r="F267" s="389">
        <f>($C$14-E267)*(B267&lt;$C$9*12+$B$22)*(B267&gt;INPUTS!$R$20*12+$B$22-1)</f>
        <v>9791.7872753038791</v>
      </c>
      <c r="G267" s="389">
        <f t="shared" si="2"/>
        <v>611956.4096349387</v>
      </c>
      <c r="H267" s="389">
        <f t="shared" si="3"/>
        <v>1837467.8352723273</v>
      </c>
      <c r="I267" s="363"/>
      <c r="J267" s="363"/>
      <c r="K267" s="363"/>
      <c r="L267" s="363"/>
      <c r="M267" s="363"/>
      <c r="N267" s="363"/>
      <c r="O267" s="363"/>
      <c r="P267" s="363"/>
      <c r="Q267" s="363"/>
      <c r="R267" s="363"/>
      <c r="S267" s="363"/>
      <c r="T267" s="363"/>
      <c r="U267" s="363"/>
      <c r="V267" s="363"/>
      <c r="W267" s="363"/>
      <c r="X267" s="363"/>
      <c r="Y267" s="363"/>
      <c r="Z267" s="363"/>
    </row>
    <row r="268" spans="1:26" ht="13.5" customHeight="1" x14ac:dyDescent="0.2">
      <c r="A268" s="386">
        <f t="shared" si="0"/>
        <v>24</v>
      </c>
      <c r="B268" s="387">
        <f t="shared" si="4"/>
        <v>283</v>
      </c>
      <c r="C268" s="398">
        <f t="shared" si="5"/>
        <v>54728</v>
      </c>
      <c r="D268" s="389">
        <f t="shared" si="6"/>
        <v>611956.4096349387</v>
      </c>
      <c r="E268" s="389">
        <f t="shared" si="1"/>
        <v>3187.272966848639</v>
      </c>
      <c r="F268" s="389">
        <f>($C$14-E268)*(B268&lt;$C$9*12+$B$22)*(B268&gt;INPUTS!$R$20*12+$B$22-1)</f>
        <v>9842.786167362754</v>
      </c>
      <c r="G268" s="389">
        <f t="shared" si="2"/>
        <v>602113.62346757599</v>
      </c>
      <c r="H268" s="389">
        <f t="shared" si="3"/>
        <v>1840655.108239176</v>
      </c>
      <c r="I268" s="363"/>
      <c r="J268" s="363"/>
      <c r="K268" s="363"/>
      <c r="L268" s="363"/>
      <c r="M268" s="363"/>
      <c r="N268" s="363"/>
      <c r="O268" s="363"/>
      <c r="P268" s="363"/>
      <c r="Q268" s="363"/>
      <c r="R268" s="363"/>
      <c r="S268" s="363"/>
      <c r="T268" s="363"/>
      <c r="U268" s="363"/>
      <c r="V268" s="363"/>
      <c r="W268" s="363"/>
      <c r="X268" s="363"/>
      <c r="Y268" s="363"/>
      <c r="Z268" s="363"/>
    </row>
    <row r="269" spans="1:26" ht="13.5" customHeight="1" x14ac:dyDescent="0.2">
      <c r="A269" s="386">
        <f t="shared" si="0"/>
        <v>24</v>
      </c>
      <c r="B269" s="387">
        <f t="shared" si="4"/>
        <v>284</v>
      </c>
      <c r="C269" s="398">
        <f t="shared" si="5"/>
        <v>54758</v>
      </c>
      <c r="D269" s="389">
        <f t="shared" si="6"/>
        <v>602113.62346757599</v>
      </c>
      <c r="E269" s="389">
        <f t="shared" si="1"/>
        <v>3136.0084555602916</v>
      </c>
      <c r="F269" s="389">
        <f>($C$14-E269)*(B269&lt;$C$9*12+$B$22)*(B269&gt;INPUTS!$R$20*12+$B$22-1)</f>
        <v>9894.0506786511014</v>
      </c>
      <c r="G269" s="389">
        <f t="shared" si="2"/>
        <v>592219.57278892491</v>
      </c>
      <c r="H269" s="389">
        <f t="shared" si="3"/>
        <v>1843791.1166947363</v>
      </c>
      <c r="I269" s="363"/>
      <c r="J269" s="363"/>
      <c r="K269" s="363"/>
      <c r="L269" s="363"/>
      <c r="M269" s="363"/>
      <c r="N269" s="363"/>
      <c r="O269" s="363"/>
      <c r="P269" s="363"/>
      <c r="Q269" s="363"/>
      <c r="R269" s="363"/>
      <c r="S269" s="363"/>
      <c r="T269" s="363"/>
      <c r="U269" s="363"/>
      <c r="V269" s="363"/>
      <c r="W269" s="363"/>
      <c r="X269" s="363"/>
      <c r="Y269" s="363"/>
      <c r="Z269" s="363"/>
    </row>
    <row r="270" spans="1:26" ht="13.5" customHeight="1" x14ac:dyDescent="0.2">
      <c r="A270" s="386">
        <f t="shared" si="0"/>
        <v>24</v>
      </c>
      <c r="B270" s="387">
        <f t="shared" si="4"/>
        <v>285</v>
      </c>
      <c r="C270" s="398">
        <f t="shared" si="5"/>
        <v>54789</v>
      </c>
      <c r="D270" s="389">
        <f t="shared" si="6"/>
        <v>592219.57278892491</v>
      </c>
      <c r="E270" s="389">
        <f t="shared" si="1"/>
        <v>3084.4769416089839</v>
      </c>
      <c r="F270" s="389">
        <f>($C$14-E270)*(B270&lt;$C$9*12+$B$22)*(B270&gt;INPUTS!$R$20*12+$B$22-1)</f>
        <v>9945.5821926024091</v>
      </c>
      <c r="G270" s="389">
        <f t="shared" si="2"/>
        <v>582273.99059632246</v>
      </c>
      <c r="H270" s="389">
        <f t="shared" si="3"/>
        <v>1846875.5936363454</v>
      </c>
      <c r="I270" s="363"/>
      <c r="J270" s="363"/>
      <c r="K270" s="363"/>
      <c r="L270" s="363"/>
      <c r="M270" s="363"/>
      <c r="N270" s="363"/>
      <c r="O270" s="363"/>
      <c r="P270" s="363"/>
      <c r="Q270" s="363"/>
      <c r="R270" s="363"/>
      <c r="S270" s="363"/>
      <c r="T270" s="363"/>
      <c r="U270" s="363"/>
      <c r="V270" s="363"/>
      <c r="W270" s="363"/>
      <c r="X270" s="363"/>
      <c r="Y270" s="363"/>
      <c r="Z270" s="363"/>
    </row>
    <row r="271" spans="1:26" ht="13.5" customHeight="1" x14ac:dyDescent="0.2">
      <c r="A271" s="386">
        <f t="shared" si="0"/>
        <v>24</v>
      </c>
      <c r="B271" s="387">
        <f t="shared" si="4"/>
        <v>286</v>
      </c>
      <c r="C271" s="398">
        <f t="shared" si="5"/>
        <v>54820</v>
      </c>
      <c r="D271" s="389">
        <f t="shared" si="6"/>
        <v>582273.99059632246</v>
      </c>
      <c r="E271" s="389">
        <f t="shared" si="1"/>
        <v>3032.677034355846</v>
      </c>
      <c r="F271" s="389">
        <f>($C$14-E271)*(B271&lt;$C$9*12+$B$22)*(B271&gt;INPUTS!$R$20*12+$B$22-1)</f>
        <v>9997.3820998555475</v>
      </c>
      <c r="G271" s="389">
        <f t="shared" si="2"/>
        <v>572276.60849646688</v>
      </c>
      <c r="H271" s="389">
        <f t="shared" si="3"/>
        <v>1849908.2706707013</v>
      </c>
      <c r="I271" s="363"/>
      <c r="J271" s="363"/>
      <c r="K271" s="363"/>
      <c r="L271" s="363"/>
      <c r="M271" s="363"/>
      <c r="N271" s="363"/>
      <c r="O271" s="363"/>
      <c r="P271" s="363"/>
      <c r="Q271" s="363"/>
      <c r="R271" s="363"/>
      <c r="S271" s="363"/>
      <c r="T271" s="363"/>
      <c r="U271" s="363"/>
      <c r="V271" s="363"/>
      <c r="W271" s="363"/>
      <c r="X271" s="363"/>
      <c r="Y271" s="363"/>
      <c r="Z271" s="363"/>
    </row>
    <row r="272" spans="1:26" ht="13.5" customHeight="1" x14ac:dyDescent="0.2">
      <c r="A272" s="386">
        <f t="shared" si="0"/>
        <v>24</v>
      </c>
      <c r="B272" s="387">
        <f t="shared" si="4"/>
        <v>287</v>
      </c>
      <c r="C272" s="398">
        <f t="shared" si="5"/>
        <v>54848</v>
      </c>
      <c r="D272" s="389">
        <f t="shared" si="6"/>
        <v>572276.60849646688</v>
      </c>
      <c r="E272" s="389">
        <f t="shared" si="1"/>
        <v>2980.6073359190982</v>
      </c>
      <c r="F272" s="389">
        <f>($C$14-E272)*(B272&lt;$C$9*12+$B$22)*(B272&gt;INPUTS!$R$20*12+$B$22-1)</f>
        <v>10049.451798292295</v>
      </c>
      <c r="G272" s="389">
        <f t="shared" si="2"/>
        <v>562227.15669817454</v>
      </c>
      <c r="H272" s="389">
        <f t="shared" si="3"/>
        <v>1852888.8780066203</v>
      </c>
      <c r="I272" s="363"/>
      <c r="J272" s="363"/>
      <c r="K272" s="363"/>
      <c r="L272" s="363"/>
      <c r="M272" s="363"/>
      <c r="N272" s="363"/>
      <c r="O272" s="363"/>
      <c r="P272" s="363"/>
      <c r="Q272" s="363"/>
      <c r="R272" s="363"/>
      <c r="S272" s="363"/>
      <c r="T272" s="363"/>
      <c r="U272" s="363"/>
      <c r="V272" s="363"/>
      <c r="W272" s="363"/>
      <c r="X272" s="363"/>
      <c r="Y272" s="363"/>
      <c r="Z272" s="363"/>
    </row>
    <row r="273" spans="1:26" ht="13.5" customHeight="1" x14ac:dyDescent="0.2">
      <c r="A273" s="386">
        <f t="shared" si="0"/>
        <v>24</v>
      </c>
      <c r="B273" s="387">
        <f t="shared" si="4"/>
        <v>288</v>
      </c>
      <c r="C273" s="398">
        <f t="shared" si="5"/>
        <v>54879</v>
      </c>
      <c r="D273" s="389">
        <f t="shared" si="6"/>
        <v>562227.15669817454</v>
      </c>
      <c r="E273" s="389">
        <f t="shared" si="1"/>
        <v>2928.2664411363257</v>
      </c>
      <c r="F273" s="389">
        <f>($C$14-E273)*(B273&lt;$C$9*12+$B$22)*(B273&gt;INPUTS!$R$20*12+$B$22-1)</f>
        <v>10101.792693075067</v>
      </c>
      <c r="G273" s="389">
        <f t="shared" si="2"/>
        <v>552125.36400509952</v>
      </c>
      <c r="H273" s="389">
        <f t="shared" si="3"/>
        <v>1855817.1444477567</v>
      </c>
      <c r="I273" s="363"/>
      <c r="J273" s="363"/>
      <c r="K273" s="363"/>
      <c r="L273" s="363"/>
      <c r="M273" s="363"/>
      <c r="N273" s="363"/>
      <c r="O273" s="363"/>
      <c r="P273" s="363"/>
      <c r="Q273" s="363"/>
      <c r="R273" s="363"/>
      <c r="S273" s="363"/>
      <c r="T273" s="363"/>
      <c r="U273" s="363"/>
      <c r="V273" s="363"/>
      <c r="W273" s="363"/>
      <c r="X273" s="363"/>
      <c r="Y273" s="363"/>
      <c r="Z273" s="363"/>
    </row>
    <row r="274" spans="1:26" ht="13.5" customHeight="1" x14ac:dyDescent="0.2">
      <c r="A274" s="386">
        <f t="shared" si="0"/>
        <v>25</v>
      </c>
      <c r="B274" s="387">
        <f t="shared" si="4"/>
        <v>289</v>
      </c>
      <c r="C274" s="398">
        <f t="shared" si="5"/>
        <v>54909</v>
      </c>
      <c r="D274" s="389">
        <f t="shared" si="6"/>
        <v>552125.36400509952</v>
      </c>
      <c r="E274" s="389">
        <f t="shared" si="1"/>
        <v>2875.65293752656</v>
      </c>
      <c r="F274" s="389">
        <f>($C$14-E274)*(B274&lt;$C$9*12+$B$22)*(B274&gt;INPUTS!$R$20*12+$B$22-1)</f>
        <v>10154.406196684833</v>
      </c>
      <c r="G274" s="389">
        <f t="shared" si="2"/>
        <v>541970.95780841471</v>
      </c>
      <c r="H274" s="389">
        <f t="shared" si="3"/>
        <v>1858692.7973852833</v>
      </c>
      <c r="I274" s="363"/>
      <c r="J274" s="363"/>
      <c r="K274" s="363"/>
      <c r="L274" s="363"/>
      <c r="M274" s="363"/>
      <c r="N274" s="363"/>
      <c r="O274" s="363"/>
      <c r="P274" s="363"/>
      <c r="Q274" s="363"/>
      <c r="R274" s="363"/>
      <c r="S274" s="363"/>
      <c r="T274" s="363"/>
      <c r="U274" s="363"/>
      <c r="V274" s="363"/>
      <c r="W274" s="363"/>
      <c r="X274" s="363"/>
      <c r="Y274" s="363"/>
      <c r="Z274" s="363"/>
    </row>
    <row r="275" spans="1:26" ht="13.5" customHeight="1" x14ac:dyDescent="0.2">
      <c r="A275" s="386">
        <f t="shared" si="0"/>
        <v>25</v>
      </c>
      <c r="B275" s="387">
        <f t="shared" si="4"/>
        <v>290</v>
      </c>
      <c r="C275" s="398">
        <f t="shared" si="5"/>
        <v>54940</v>
      </c>
      <c r="D275" s="389">
        <f t="shared" si="6"/>
        <v>541970.95780841471</v>
      </c>
      <c r="E275" s="389">
        <f t="shared" si="1"/>
        <v>2822.7654052521598</v>
      </c>
      <c r="F275" s="389">
        <f>($C$14-E275)*(B275&lt;$C$9*12+$B$22)*(B275&gt;INPUTS!$R$20*12+$B$22-1)</f>
        <v>10207.293728959234</v>
      </c>
      <c r="G275" s="389">
        <f t="shared" si="2"/>
        <v>531763.66407945543</v>
      </c>
      <c r="H275" s="389">
        <f t="shared" si="3"/>
        <v>1861515.5627905354</v>
      </c>
      <c r="I275" s="363"/>
      <c r="J275" s="363"/>
      <c r="K275" s="363"/>
      <c r="L275" s="363"/>
      <c r="M275" s="363"/>
      <c r="N275" s="363"/>
      <c r="O275" s="363"/>
      <c r="P275" s="363"/>
      <c r="Q275" s="363"/>
      <c r="R275" s="363"/>
      <c r="S275" s="363"/>
      <c r="T275" s="363"/>
      <c r="U275" s="363"/>
      <c r="V275" s="363"/>
      <c r="W275" s="363"/>
      <c r="X275" s="363"/>
      <c r="Y275" s="363"/>
      <c r="Z275" s="363"/>
    </row>
    <row r="276" spans="1:26" ht="13.5" customHeight="1" x14ac:dyDescent="0.2">
      <c r="A276" s="386">
        <f t="shared" si="0"/>
        <v>25</v>
      </c>
      <c r="B276" s="387">
        <f t="shared" si="4"/>
        <v>291</v>
      </c>
      <c r="C276" s="398">
        <f t="shared" si="5"/>
        <v>54970</v>
      </c>
      <c r="D276" s="389">
        <f t="shared" si="6"/>
        <v>531763.66407945543</v>
      </c>
      <c r="E276" s="389">
        <f t="shared" si="1"/>
        <v>2769.6024170804972</v>
      </c>
      <c r="F276" s="389">
        <f>($C$14-E276)*(B276&lt;$C$9*12+$B$22)*(B276&gt;INPUTS!$R$20*12+$B$22-1)</f>
        <v>10260.456717130895</v>
      </c>
      <c r="G276" s="389">
        <f t="shared" si="2"/>
        <v>521503.20736232452</v>
      </c>
      <c r="H276" s="389">
        <f t="shared" si="3"/>
        <v>1864285.1652076158</v>
      </c>
      <c r="I276" s="363"/>
      <c r="J276" s="363"/>
      <c r="K276" s="363"/>
      <c r="L276" s="363"/>
      <c r="M276" s="363"/>
      <c r="N276" s="363"/>
      <c r="O276" s="363"/>
      <c r="P276" s="363"/>
      <c r="Q276" s="363"/>
      <c r="R276" s="363"/>
      <c r="S276" s="363"/>
      <c r="T276" s="363"/>
      <c r="U276" s="363"/>
      <c r="V276" s="363"/>
      <c r="W276" s="363"/>
      <c r="X276" s="363"/>
      <c r="Y276" s="363"/>
      <c r="Z276" s="363"/>
    </row>
    <row r="277" spans="1:26" ht="13.5" customHeight="1" x14ac:dyDescent="0.2">
      <c r="A277" s="386">
        <f t="shared" si="0"/>
        <v>25</v>
      </c>
      <c r="B277" s="387">
        <f t="shared" si="4"/>
        <v>292</v>
      </c>
      <c r="C277" s="398">
        <f t="shared" si="5"/>
        <v>55001</v>
      </c>
      <c r="D277" s="389">
        <f t="shared" si="6"/>
        <v>521503.20736232452</v>
      </c>
      <c r="E277" s="389">
        <f t="shared" si="1"/>
        <v>2716.1625383454402</v>
      </c>
      <c r="F277" s="389">
        <f>($C$14-E277)*(B277&lt;$C$9*12+$B$22)*(B277&gt;INPUTS!$R$20*12+$B$22-1)</f>
        <v>10313.896595865954</v>
      </c>
      <c r="G277" s="389">
        <f t="shared" si="2"/>
        <v>511189.31076645857</v>
      </c>
      <c r="H277" s="389">
        <f t="shared" si="3"/>
        <v>1867001.3277459613</v>
      </c>
      <c r="I277" s="363"/>
      <c r="J277" s="363"/>
      <c r="K277" s="363"/>
      <c r="L277" s="363"/>
      <c r="M277" s="363"/>
      <c r="N277" s="363"/>
      <c r="O277" s="363"/>
      <c r="P277" s="363"/>
      <c r="Q277" s="363"/>
      <c r="R277" s="363"/>
      <c r="S277" s="363"/>
      <c r="T277" s="363"/>
      <c r="U277" s="363"/>
      <c r="V277" s="363"/>
      <c r="W277" s="363"/>
      <c r="X277" s="363"/>
      <c r="Y277" s="363"/>
      <c r="Z277" s="363"/>
    </row>
    <row r="278" spans="1:26" ht="13.5" customHeight="1" x14ac:dyDescent="0.2">
      <c r="A278" s="386">
        <f t="shared" si="0"/>
        <v>25</v>
      </c>
      <c r="B278" s="387">
        <f t="shared" si="4"/>
        <v>293</v>
      </c>
      <c r="C278" s="398">
        <f t="shared" si="5"/>
        <v>55032</v>
      </c>
      <c r="D278" s="389">
        <f t="shared" si="6"/>
        <v>511189.31076645857</v>
      </c>
      <c r="E278" s="389">
        <f t="shared" si="1"/>
        <v>2662.4443269086382</v>
      </c>
      <c r="F278" s="389">
        <f>($C$14-E278)*(B278&lt;$C$9*12+$B$22)*(B278&gt;INPUTS!$R$20*12+$B$22-1)</f>
        <v>10367.614807302754</v>
      </c>
      <c r="G278" s="389">
        <f t="shared" si="2"/>
        <v>500821.6959591558</v>
      </c>
      <c r="H278" s="389">
        <f t="shared" si="3"/>
        <v>1869663.7720728698</v>
      </c>
      <c r="I278" s="363"/>
      <c r="J278" s="363"/>
      <c r="K278" s="363"/>
      <c r="L278" s="363"/>
      <c r="M278" s="363"/>
      <c r="N278" s="363"/>
      <c r="O278" s="363"/>
      <c r="P278" s="363"/>
      <c r="Q278" s="363"/>
      <c r="R278" s="363"/>
      <c r="S278" s="363"/>
      <c r="T278" s="363"/>
      <c r="U278" s="363"/>
      <c r="V278" s="363"/>
      <c r="W278" s="363"/>
      <c r="X278" s="363"/>
      <c r="Y278" s="363"/>
      <c r="Z278" s="363"/>
    </row>
    <row r="279" spans="1:26" ht="13.5" customHeight="1" x14ac:dyDescent="0.2">
      <c r="A279" s="386">
        <f t="shared" si="0"/>
        <v>25</v>
      </c>
      <c r="B279" s="387">
        <f t="shared" si="4"/>
        <v>294</v>
      </c>
      <c r="C279" s="398">
        <f t="shared" si="5"/>
        <v>55062</v>
      </c>
      <c r="D279" s="389">
        <f t="shared" si="6"/>
        <v>500821.6959591558</v>
      </c>
      <c r="E279" s="389">
        <f t="shared" si="1"/>
        <v>2608.446333120603</v>
      </c>
      <c r="F279" s="389">
        <f>($C$14-E279)*(B279&lt;$C$9*12+$B$22)*(B279&gt;INPUTS!$R$20*12+$B$22-1)</f>
        <v>10421.612801090791</v>
      </c>
      <c r="G279" s="389">
        <f t="shared" si="2"/>
        <v>490400.08315806498</v>
      </c>
      <c r="H279" s="389">
        <f t="shared" si="3"/>
        <v>1872272.2184059904</v>
      </c>
      <c r="I279" s="363"/>
      <c r="J279" s="363"/>
      <c r="K279" s="363"/>
      <c r="L279" s="363"/>
      <c r="M279" s="363"/>
      <c r="N279" s="363"/>
      <c r="O279" s="363"/>
      <c r="P279" s="363"/>
      <c r="Q279" s="363"/>
      <c r="R279" s="363"/>
      <c r="S279" s="363"/>
      <c r="T279" s="363"/>
      <c r="U279" s="363"/>
      <c r="V279" s="363"/>
      <c r="W279" s="363"/>
      <c r="X279" s="363"/>
      <c r="Y279" s="363"/>
      <c r="Z279" s="363"/>
    </row>
    <row r="280" spans="1:26" ht="13.5" customHeight="1" x14ac:dyDescent="0.2">
      <c r="A280" s="386">
        <f t="shared" si="0"/>
        <v>25</v>
      </c>
      <c r="B280" s="387">
        <f t="shared" si="4"/>
        <v>295</v>
      </c>
      <c r="C280" s="398">
        <f t="shared" si="5"/>
        <v>55093</v>
      </c>
      <c r="D280" s="389">
        <f t="shared" si="6"/>
        <v>490400.08315806498</v>
      </c>
      <c r="E280" s="389">
        <f t="shared" si="1"/>
        <v>2554.1670997815886</v>
      </c>
      <c r="F280" s="389">
        <f>($C$14-E280)*(B280&lt;$C$9*12+$B$22)*(B280&gt;INPUTS!$R$20*12+$B$22-1)</f>
        <v>10475.892034429804</v>
      </c>
      <c r="G280" s="389">
        <f t="shared" si="2"/>
        <v>479924.19112363516</v>
      </c>
      <c r="H280" s="389">
        <f t="shared" si="3"/>
        <v>1874826.385505772</v>
      </c>
      <c r="I280" s="363"/>
      <c r="J280" s="363"/>
      <c r="K280" s="363"/>
      <c r="L280" s="363"/>
      <c r="M280" s="363"/>
      <c r="N280" s="363"/>
      <c r="O280" s="363"/>
      <c r="P280" s="363"/>
      <c r="Q280" s="363"/>
      <c r="R280" s="363"/>
      <c r="S280" s="363"/>
      <c r="T280" s="363"/>
      <c r="U280" s="363"/>
      <c r="V280" s="363"/>
      <c r="W280" s="363"/>
      <c r="X280" s="363"/>
      <c r="Y280" s="363"/>
      <c r="Z280" s="363"/>
    </row>
    <row r="281" spans="1:26" ht="13.5" customHeight="1" x14ac:dyDescent="0.2">
      <c r="A281" s="386">
        <f t="shared" si="0"/>
        <v>25</v>
      </c>
      <c r="B281" s="387">
        <f t="shared" si="4"/>
        <v>296</v>
      </c>
      <c r="C281" s="398">
        <f t="shared" si="5"/>
        <v>55123</v>
      </c>
      <c r="D281" s="389">
        <f t="shared" si="6"/>
        <v>479924.19112363516</v>
      </c>
      <c r="E281" s="389">
        <f t="shared" si="1"/>
        <v>2499.6051621022666</v>
      </c>
      <c r="F281" s="389">
        <f>($C$14-E281)*(B281&lt;$C$9*12+$B$22)*(B281&gt;INPUTS!$R$20*12+$B$22-1)</f>
        <v>10530.453972109126</v>
      </c>
      <c r="G281" s="389">
        <f t="shared" si="2"/>
        <v>469393.73715152603</v>
      </c>
      <c r="H281" s="389">
        <f t="shared" si="3"/>
        <v>1877325.9906678742</v>
      </c>
      <c r="I281" s="363"/>
      <c r="J281" s="363"/>
      <c r="K281" s="363"/>
      <c r="L281" s="363"/>
      <c r="M281" s="363"/>
      <c r="N281" s="363"/>
      <c r="O281" s="363"/>
      <c r="P281" s="363"/>
      <c r="Q281" s="363"/>
      <c r="R281" s="363"/>
      <c r="S281" s="363"/>
      <c r="T281" s="363"/>
      <c r="U281" s="363"/>
      <c r="V281" s="363"/>
      <c r="W281" s="363"/>
      <c r="X281" s="363"/>
      <c r="Y281" s="363"/>
      <c r="Z281" s="363"/>
    </row>
    <row r="282" spans="1:26" ht="13.5" customHeight="1" x14ac:dyDescent="0.2">
      <c r="A282" s="386">
        <f t="shared" si="0"/>
        <v>25</v>
      </c>
      <c r="B282" s="387">
        <f t="shared" si="4"/>
        <v>297</v>
      </c>
      <c r="C282" s="398">
        <f t="shared" si="5"/>
        <v>55154</v>
      </c>
      <c r="D282" s="389">
        <f t="shared" si="6"/>
        <v>469393.73715152603</v>
      </c>
      <c r="E282" s="389">
        <f t="shared" si="1"/>
        <v>2444.7590476641981</v>
      </c>
      <c r="F282" s="389">
        <f>($C$14-E282)*(B282&lt;$C$9*12+$B$22)*(B282&gt;INPUTS!$R$20*12+$B$22-1)</f>
        <v>10585.300086547195</v>
      </c>
      <c r="G282" s="389">
        <f t="shared" si="2"/>
        <v>458808.43706497882</v>
      </c>
      <c r="H282" s="389">
        <f t="shared" si="3"/>
        <v>1879770.7497155385</v>
      </c>
      <c r="I282" s="363"/>
      <c r="J282" s="363"/>
      <c r="K282" s="363"/>
      <c r="L282" s="363"/>
      <c r="M282" s="363"/>
      <c r="N282" s="363"/>
      <c r="O282" s="363"/>
      <c r="P282" s="363"/>
      <c r="Q282" s="363"/>
      <c r="R282" s="363"/>
      <c r="S282" s="363"/>
      <c r="T282" s="363"/>
      <c r="U282" s="363"/>
      <c r="V282" s="363"/>
      <c r="W282" s="363"/>
      <c r="X282" s="363"/>
      <c r="Y282" s="363"/>
      <c r="Z282" s="363"/>
    </row>
    <row r="283" spans="1:26" ht="13.5" customHeight="1" x14ac:dyDescent="0.2">
      <c r="A283" s="386">
        <f t="shared" si="0"/>
        <v>25</v>
      </c>
      <c r="B283" s="387">
        <f t="shared" si="4"/>
        <v>298</v>
      </c>
      <c r="C283" s="398">
        <f t="shared" si="5"/>
        <v>55185</v>
      </c>
      <c r="D283" s="389">
        <f t="shared" si="6"/>
        <v>458808.43706497882</v>
      </c>
      <c r="E283" s="389">
        <f t="shared" si="1"/>
        <v>2389.627276380098</v>
      </c>
      <c r="F283" s="389">
        <f>($C$14-E283)*(B283&lt;$C$9*12+$B$22)*(B283&gt;INPUTS!$R$20*12+$B$22-1)</f>
        <v>10640.431857831296</v>
      </c>
      <c r="G283" s="389">
        <f t="shared" si="2"/>
        <v>448168.00520714751</v>
      </c>
      <c r="H283" s="389">
        <f t="shared" si="3"/>
        <v>1882160.3769919185</v>
      </c>
      <c r="I283" s="363"/>
      <c r="J283" s="363"/>
      <c r="K283" s="363"/>
      <c r="L283" s="363"/>
      <c r="M283" s="363"/>
      <c r="N283" s="363"/>
      <c r="O283" s="363"/>
      <c r="P283" s="363"/>
      <c r="Q283" s="363"/>
      <c r="R283" s="363"/>
      <c r="S283" s="363"/>
      <c r="T283" s="363"/>
      <c r="U283" s="363"/>
      <c r="V283" s="363"/>
      <c r="W283" s="363"/>
      <c r="X283" s="363"/>
      <c r="Y283" s="363"/>
      <c r="Z283" s="363"/>
    </row>
    <row r="284" spans="1:26" ht="13.5" customHeight="1" x14ac:dyDescent="0.2">
      <c r="A284" s="386">
        <f t="shared" si="0"/>
        <v>25</v>
      </c>
      <c r="B284" s="387">
        <f t="shared" si="4"/>
        <v>299</v>
      </c>
      <c r="C284" s="398">
        <f t="shared" si="5"/>
        <v>55213</v>
      </c>
      <c r="D284" s="389">
        <f t="shared" si="6"/>
        <v>448168.00520714751</v>
      </c>
      <c r="E284" s="389">
        <f t="shared" si="1"/>
        <v>2334.2083604538934</v>
      </c>
      <c r="F284" s="389">
        <f>($C$14-E284)*(B284&lt;$C$9*12+$B$22)*(B284&gt;INPUTS!$R$20*12+$B$22-1)</f>
        <v>10695.8507737575</v>
      </c>
      <c r="G284" s="389">
        <f t="shared" si="2"/>
        <v>437472.15443339001</v>
      </c>
      <c r="H284" s="389">
        <f t="shared" si="3"/>
        <v>1884494.5853523724</v>
      </c>
      <c r="I284" s="363"/>
      <c r="J284" s="363"/>
      <c r="K284" s="363"/>
      <c r="L284" s="363"/>
      <c r="M284" s="363"/>
      <c r="N284" s="363"/>
      <c r="O284" s="363"/>
      <c r="P284" s="363"/>
      <c r="Q284" s="363"/>
      <c r="R284" s="363"/>
      <c r="S284" s="363"/>
      <c r="T284" s="363"/>
      <c r="U284" s="363"/>
      <c r="V284" s="363"/>
      <c r="W284" s="363"/>
      <c r="X284" s="363"/>
      <c r="Y284" s="363"/>
      <c r="Z284" s="363"/>
    </row>
    <row r="285" spans="1:26" ht="13.5" customHeight="1" x14ac:dyDescent="0.2">
      <c r="A285" s="386">
        <f t="shared" si="0"/>
        <v>25</v>
      </c>
      <c r="B285" s="387">
        <f t="shared" si="4"/>
        <v>300</v>
      </c>
      <c r="C285" s="398">
        <f t="shared" si="5"/>
        <v>55244</v>
      </c>
      <c r="D285" s="389">
        <f t="shared" si="6"/>
        <v>437472.15443339001</v>
      </c>
      <c r="E285" s="389">
        <f t="shared" si="1"/>
        <v>2278.5008043405728</v>
      </c>
      <c r="F285" s="389">
        <f>($C$14-E285)*(B285&lt;$C$9*12+$B$22)*(B285&gt;INPUTS!$R$20*12+$B$22-1)</f>
        <v>10751.558329870821</v>
      </c>
      <c r="G285" s="389">
        <f t="shared" si="2"/>
        <v>426720.5961035192</v>
      </c>
      <c r="H285" s="389">
        <f t="shared" si="3"/>
        <v>1886773.0861567128</v>
      </c>
      <c r="I285" s="363"/>
      <c r="J285" s="363"/>
      <c r="K285" s="363"/>
      <c r="L285" s="363"/>
      <c r="M285" s="363"/>
      <c r="N285" s="363"/>
      <c r="O285" s="363"/>
      <c r="P285" s="363"/>
      <c r="Q285" s="363"/>
      <c r="R285" s="363"/>
      <c r="S285" s="363"/>
      <c r="T285" s="363"/>
      <c r="U285" s="363"/>
      <c r="V285" s="363"/>
      <c r="W285" s="363"/>
      <c r="X285" s="363"/>
      <c r="Y285" s="363"/>
      <c r="Z285" s="363"/>
    </row>
    <row r="286" spans="1:26" ht="13.5" customHeight="1" x14ac:dyDescent="0.2">
      <c r="A286" s="386">
        <f t="shared" si="0"/>
        <v>26</v>
      </c>
      <c r="B286" s="387">
        <f t="shared" si="4"/>
        <v>301</v>
      </c>
      <c r="C286" s="398">
        <f t="shared" si="5"/>
        <v>55274</v>
      </c>
      <c r="D286" s="389">
        <f t="shared" si="6"/>
        <v>426720.5961035192</v>
      </c>
      <c r="E286" s="389">
        <f t="shared" si="1"/>
        <v>2222.5031047058292</v>
      </c>
      <c r="F286" s="389">
        <f>($C$14-E286)*(B286&lt;$C$9*12+$B$22)*(B286&gt;INPUTS!$R$20*12+$B$22-1)</f>
        <v>10807.556029505564</v>
      </c>
      <c r="G286" s="389">
        <f t="shared" si="2"/>
        <v>415913.04007401364</v>
      </c>
      <c r="H286" s="389">
        <f t="shared" si="3"/>
        <v>1888995.5892614187</v>
      </c>
      <c r="I286" s="363"/>
      <c r="J286" s="363"/>
      <c r="K286" s="363"/>
      <c r="L286" s="363"/>
      <c r="M286" s="363"/>
      <c r="N286" s="363"/>
      <c r="O286" s="363"/>
      <c r="P286" s="363"/>
      <c r="Q286" s="363"/>
      <c r="R286" s="363"/>
      <c r="S286" s="363"/>
      <c r="T286" s="363"/>
      <c r="U286" s="363"/>
      <c r="V286" s="363"/>
      <c r="W286" s="363"/>
      <c r="X286" s="363"/>
      <c r="Y286" s="363"/>
      <c r="Z286" s="363"/>
    </row>
    <row r="287" spans="1:26" ht="13.5" customHeight="1" x14ac:dyDescent="0.2">
      <c r="A287" s="386">
        <f t="shared" si="0"/>
        <v>26</v>
      </c>
      <c r="B287" s="387">
        <f t="shared" si="4"/>
        <v>302</v>
      </c>
      <c r="C287" s="398">
        <f t="shared" si="5"/>
        <v>55305</v>
      </c>
      <c r="D287" s="389">
        <f t="shared" si="6"/>
        <v>415913.04007401364</v>
      </c>
      <c r="E287" s="389">
        <f t="shared" si="1"/>
        <v>2166.2137503854879</v>
      </c>
      <c r="F287" s="389">
        <f>($C$14-E287)*(B287&lt;$C$9*12+$B$22)*(B287&gt;INPUTS!$R$20*12+$B$22-1)</f>
        <v>10863.845383825905</v>
      </c>
      <c r="G287" s="389">
        <f t="shared" si="2"/>
        <v>405049.19469018775</v>
      </c>
      <c r="H287" s="389">
        <f t="shared" si="3"/>
        <v>1891161.8030118041</v>
      </c>
      <c r="I287" s="363"/>
      <c r="J287" s="363"/>
      <c r="K287" s="363"/>
      <c r="L287" s="363"/>
      <c r="M287" s="363"/>
      <c r="N287" s="363"/>
      <c r="O287" s="363"/>
      <c r="P287" s="363"/>
      <c r="Q287" s="363"/>
      <c r="R287" s="363"/>
      <c r="S287" s="363"/>
      <c r="T287" s="363"/>
      <c r="U287" s="363"/>
      <c r="V287" s="363"/>
      <c r="W287" s="363"/>
      <c r="X287" s="363"/>
      <c r="Y287" s="363"/>
      <c r="Z287" s="363"/>
    </row>
    <row r="288" spans="1:26" ht="13.5" customHeight="1" x14ac:dyDescent="0.2">
      <c r="A288" s="386">
        <f t="shared" si="0"/>
        <v>26</v>
      </c>
      <c r="B288" s="387">
        <f t="shared" si="4"/>
        <v>303</v>
      </c>
      <c r="C288" s="398">
        <f t="shared" si="5"/>
        <v>55335</v>
      </c>
      <c r="D288" s="389">
        <f t="shared" si="6"/>
        <v>405049.19469018775</v>
      </c>
      <c r="E288" s="389">
        <f t="shared" si="1"/>
        <v>2109.631222344728</v>
      </c>
      <c r="F288" s="389">
        <f>($C$14-E288)*(B288&lt;$C$9*12+$B$22)*(B288&gt;INPUTS!$R$20*12+$B$22-1)</f>
        <v>10920.427911866665</v>
      </c>
      <c r="G288" s="389">
        <f t="shared" si="2"/>
        <v>394128.76677832106</v>
      </c>
      <c r="H288" s="389">
        <f t="shared" si="3"/>
        <v>1893271.4342341488</v>
      </c>
      <c r="I288" s="363"/>
      <c r="J288" s="363"/>
      <c r="K288" s="363"/>
      <c r="L288" s="363"/>
      <c r="M288" s="363"/>
      <c r="N288" s="363"/>
      <c r="O288" s="363"/>
      <c r="P288" s="363"/>
      <c r="Q288" s="363"/>
      <c r="R288" s="363"/>
      <c r="S288" s="363"/>
      <c r="T288" s="363"/>
      <c r="U288" s="363"/>
      <c r="V288" s="363"/>
      <c r="W288" s="363"/>
      <c r="X288" s="363"/>
      <c r="Y288" s="363"/>
      <c r="Z288" s="363"/>
    </row>
    <row r="289" spans="1:26" ht="13.5" customHeight="1" x14ac:dyDescent="0.2">
      <c r="A289" s="386">
        <f t="shared" si="0"/>
        <v>26</v>
      </c>
      <c r="B289" s="387">
        <f t="shared" si="4"/>
        <v>304</v>
      </c>
      <c r="C289" s="398">
        <f t="shared" si="5"/>
        <v>55366</v>
      </c>
      <c r="D289" s="389">
        <f t="shared" si="6"/>
        <v>394128.76677832106</v>
      </c>
      <c r="E289" s="389">
        <f t="shared" si="1"/>
        <v>2052.753993637089</v>
      </c>
      <c r="F289" s="389">
        <f>($C$14-E289)*(B289&lt;$C$9*12+$B$22)*(B289&gt;INPUTS!$R$20*12+$B$22-1)</f>
        <v>10977.305140574304</v>
      </c>
      <c r="G289" s="389">
        <f t="shared" si="2"/>
        <v>383151.46163774678</v>
      </c>
      <c r="H289" s="389">
        <f t="shared" si="3"/>
        <v>1895324.188227786</v>
      </c>
      <c r="I289" s="363"/>
      <c r="J289" s="363"/>
      <c r="K289" s="363"/>
      <c r="L289" s="363"/>
      <c r="M289" s="363"/>
      <c r="N289" s="363"/>
      <c r="O289" s="363"/>
      <c r="P289" s="363"/>
      <c r="Q289" s="363"/>
      <c r="R289" s="363"/>
      <c r="S289" s="363"/>
      <c r="T289" s="363"/>
      <c r="U289" s="363"/>
      <c r="V289" s="363"/>
      <c r="W289" s="363"/>
      <c r="X289" s="363"/>
      <c r="Y289" s="363"/>
      <c r="Z289" s="363"/>
    </row>
    <row r="290" spans="1:26" ht="13.5" customHeight="1" x14ac:dyDescent="0.2">
      <c r="A290" s="386">
        <f t="shared" si="0"/>
        <v>26</v>
      </c>
      <c r="B290" s="387">
        <f t="shared" si="4"/>
        <v>305</v>
      </c>
      <c r="C290" s="398">
        <f t="shared" si="5"/>
        <v>55397</v>
      </c>
      <c r="D290" s="389">
        <f t="shared" si="6"/>
        <v>383151.46163774678</v>
      </c>
      <c r="E290" s="389">
        <f t="shared" si="1"/>
        <v>1995.5805293632645</v>
      </c>
      <c r="F290" s="389">
        <f>($C$14-E290)*(B290&lt;$C$9*12+$B$22)*(B290&gt;INPUTS!$R$20*12+$B$22-1)</f>
        <v>11034.478604848129</v>
      </c>
      <c r="G290" s="389">
        <f t="shared" si="2"/>
        <v>372116.98303289863</v>
      </c>
      <c r="H290" s="389">
        <f t="shared" si="3"/>
        <v>1897319.7687571493</v>
      </c>
      <c r="I290" s="363"/>
      <c r="J290" s="363"/>
      <c r="K290" s="363"/>
      <c r="L290" s="363"/>
      <c r="M290" s="363"/>
      <c r="N290" s="363"/>
      <c r="O290" s="363"/>
      <c r="P290" s="363"/>
      <c r="Q290" s="363"/>
      <c r="R290" s="363"/>
      <c r="S290" s="363"/>
      <c r="T290" s="363"/>
      <c r="U290" s="363"/>
      <c r="V290" s="363"/>
      <c r="W290" s="363"/>
      <c r="X290" s="363"/>
      <c r="Y290" s="363"/>
      <c r="Z290" s="363"/>
    </row>
    <row r="291" spans="1:26" ht="13.5" customHeight="1" x14ac:dyDescent="0.2">
      <c r="A291" s="386">
        <f t="shared" si="0"/>
        <v>26</v>
      </c>
      <c r="B291" s="387">
        <f t="shared" si="4"/>
        <v>306</v>
      </c>
      <c r="C291" s="398">
        <f t="shared" si="5"/>
        <v>55427</v>
      </c>
      <c r="D291" s="389">
        <f t="shared" si="6"/>
        <v>372116.98303289863</v>
      </c>
      <c r="E291" s="389">
        <f t="shared" si="1"/>
        <v>1938.1092866296804</v>
      </c>
      <c r="F291" s="389">
        <f>($C$14-E291)*(B291&lt;$C$9*12+$B$22)*(B291&gt;INPUTS!$R$20*12+$B$22-1)</f>
        <v>11091.949847581713</v>
      </c>
      <c r="G291" s="389">
        <f t="shared" si="2"/>
        <v>361025.03318531689</v>
      </c>
      <c r="H291" s="389">
        <f t="shared" si="3"/>
        <v>1899257.8780437789</v>
      </c>
      <c r="I291" s="363"/>
      <c r="J291" s="363"/>
      <c r="K291" s="363"/>
      <c r="L291" s="363"/>
      <c r="M291" s="363"/>
      <c r="N291" s="363"/>
      <c r="O291" s="363"/>
      <c r="P291" s="363"/>
      <c r="Q291" s="363"/>
      <c r="R291" s="363"/>
      <c r="S291" s="363"/>
      <c r="T291" s="363"/>
      <c r="U291" s="363"/>
      <c r="V291" s="363"/>
      <c r="W291" s="363"/>
      <c r="X291" s="363"/>
      <c r="Y291" s="363"/>
      <c r="Z291" s="363"/>
    </row>
    <row r="292" spans="1:26" ht="13.5" customHeight="1" x14ac:dyDescent="0.2">
      <c r="A292" s="386">
        <f t="shared" si="0"/>
        <v>26</v>
      </c>
      <c r="B292" s="387">
        <f t="shared" si="4"/>
        <v>307</v>
      </c>
      <c r="C292" s="398">
        <f t="shared" si="5"/>
        <v>55458</v>
      </c>
      <c r="D292" s="389">
        <f t="shared" si="6"/>
        <v>361025.03318531689</v>
      </c>
      <c r="E292" s="389">
        <f t="shared" si="1"/>
        <v>1880.3387145068589</v>
      </c>
      <c r="F292" s="389">
        <f>($C$14-E292)*(B292&lt;$C$9*12+$B$22)*(B292&gt;INPUTS!$R$20*12+$B$22-1)</f>
        <v>11149.720419704534</v>
      </c>
      <c r="G292" s="389">
        <f t="shared" si="2"/>
        <v>349875.31276561238</v>
      </c>
      <c r="H292" s="389">
        <f t="shared" si="3"/>
        <v>1901138.2167582859</v>
      </c>
      <c r="I292" s="363"/>
      <c r="J292" s="363"/>
      <c r="K292" s="363"/>
      <c r="L292" s="363"/>
      <c r="M292" s="363"/>
      <c r="N292" s="363"/>
      <c r="O292" s="363"/>
      <c r="P292" s="363"/>
      <c r="Q292" s="363"/>
      <c r="R292" s="363"/>
      <c r="S292" s="363"/>
      <c r="T292" s="363"/>
      <c r="U292" s="363"/>
      <c r="V292" s="363"/>
      <c r="W292" s="363"/>
      <c r="X292" s="363"/>
      <c r="Y292" s="363"/>
      <c r="Z292" s="363"/>
    </row>
    <row r="293" spans="1:26" ht="13.5" customHeight="1" x14ac:dyDescent="0.2">
      <c r="A293" s="386">
        <f t="shared" si="0"/>
        <v>26</v>
      </c>
      <c r="B293" s="387">
        <f t="shared" si="4"/>
        <v>308</v>
      </c>
      <c r="C293" s="398">
        <f t="shared" si="5"/>
        <v>55488</v>
      </c>
      <c r="D293" s="389">
        <f t="shared" si="6"/>
        <v>349875.31276561238</v>
      </c>
      <c r="E293" s="389">
        <f t="shared" si="1"/>
        <v>1822.2672539875646</v>
      </c>
      <c r="F293" s="389">
        <f>($C$14-E293)*(B293&lt;$C$9*12+$B$22)*(B293&gt;INPUTS!$R$20*12+$B$22-1)</f>
        <v>11207.791880223829</v>
      </c>
      <c r="G293" s="389">
        <f t="shared" si="2"/>
        <v>338667.52088538854</v>
      </c>
      <c r="H293" s="389">
        <f t="shared" si="3"/>
        <v>1902960.4840122734</v>
      </c>
      <c r="I293" s="363"/>
      <c r="J293" s="363"/>
      <c r="K293" s="363"/>
      <c r="L293" s="363"/>
      <c r="M293" s="363"/>
      <c r="N293" s="363"/>
      <c r="O293" s="363"/>
      <c r="P293" s="363"/>
      <c r="Q293" s="363"/>
      <c r="R293" s="363"/>
      <c r="S293" s="363"/>
      <c r="T293" s="363"/>
      <c r="U293" s="363"/>
      <c r="V293" s="363"/>
      <c r="W293" s="363"/>
      <c r="X293" s="363"/>
      <c r="Y293" s="363"/>
      <c r="Z293" s="363"/>
    </row>
    <row r="294" spans="1:26" ht="13.5" customHeight="1" x14ac:dyDescent="0.2">
      <c r="A294" s="386">
        <f t="shared" si="0"/>
        <v>26</v>
      </c>
      <c r="B294" s="387">
        <f t="shared" si="4"/>
        <v>309</v>
      </c>
      <c r="C294" s="398">
        <f t="shared" si="5"/>
        <v>55519</v>
      </c>
      <c r="D294" s="389">
        <f t="shared" si="6"/>
        <v>338667.52088538854</v>
      </c>
      <c r="E294" s="389">
        <f t="shared" si="1"/>
        <v>1763.8933379447319</v>
      </c>
      <c r="F294" s="389">
        <f>($C$14-E294)*(B294&lt;$C$9*12+$B$22)*(B294&gt;INPUTS!$R$20*12+$B$22-1)</f>
        <v>11266.165796266661</v>
      </c>
      <c r="G294" s="389">
        <f t="shared" si="2"/>
        <v>327401.35508912191</v>
      </c>
      <c r="H294" s="389">
        <f t="shared" si="3"/>
        <v>1904724.3773502181</v>
      </c>
      <c r="I294" s="363"/>
      <c r="J294" s="363"/>
      <c r="K294" s="363"/>
      <c r="L294" s="363"/>
      <c r="M294" s="363"/>
      <c r="N294" s="363"/>
      <c r="O294" s="363"/>
      <c r="P294" s="363"/>
      <c r="Q294" s="363"/>
      <c r="R294" s="363"/>
      <c r="S294" s="363"/>
      <c r="T294" s="363"/>
      <c r="U294" s="363"/>
      <c r="V294" s="363"/>
      <c r="W294" s="363"/>
      <c r="X294" s="363"/>
      <c r="Y294" s="363"/>
      <c r="Z294" s="363"/>
    </row>
    <row r="295" spans="1:26" ht="13.5" customHeight="1" x14ac:dyDescent="0.2">
      <c r="A295" s="386">
        <f t="shared" si="0"/>
        <v>26</v>
      </c>
      <c r="B295" s="387">
        <f t="shared" si="4"/>
        <v>310</v>
      </c>
      <c r="C295" s="398">
        <f t="shared" si="5"/>
        <v>55550</v>
      </c>
      <c r="D295" s="389">
        <f t="shared" si="6"/>
        <v>327401.35508912191</v>
      </c>
      <c r="E295" s="389">
        <f t="shared" si="1"/>
        <v>1705.2153910891766</v>
      </c>
      <c r="F295" s="389">
        <f>($C$14-E295)*(B295&lt;$C$9*12+$B$22)*(B295&gt;INPUTS!$R$20*12+$B$22-1)</f>
        <v>11324.843743122216</v>
      </c>
      <c r="G295" s="389">
        <f t="shared" si="2"/>
        <v>316076.51134599966</v>
      </c>
      <c r="H295" s="389">
        <f t="shared" si="3"/>
        <v>1906429.5927413073</v>
      </c>
      <c r="I295" s="363"/>
      <c r="J295" s="363"/>
      <c r="K295" s="363"/>
      <c r="L295" s="363"/>
      <c r="M295" s="363"/>
      <c r="N295" s="363"/>
      <c r="O295" s="363"/>
      <c r="P295" s="363"/>
      <c r="Q295" s="363"/>
      <c r="R295" s="363"/>
      <c r="S295" s="363"/>
      <c r="T295" s="363"/>
      <c r="U295" s="363"/>
      <c r="V295" s="363"/>
      <c r="W295" s="363"/>
      <c r="X295" s="363"/>
      <c r="Y295" s="363"/>
      <c r="Z295" s="363"/>
    </row>
    <row r="296" spans="1:26" ht="13.5" customHeight="1" x14ac:dyDescent="0.2">
      <c r="A296" s="386">
        <f t="shared" si="0"/>
        <v>26</v>
      </c>
      <c r="B296" s="387">
        <f t="shared" si="4"/>
        <v>311</v>
      </c>
      <c r="C296" s="398">
        <f t="shared" si="5"/>
        <v>55579</v>
      </c>
      <c r="D296" s="389">
        <f t="shared" si="6"/>
        <v>316076.51134599966</v>
      </c>
      <c r="E296" s="389">
        <f t="shared" si="1"/>
        <v>1646.2318299270817</v>
      </c>
      <c r="F296" s="389">
        <f>($C$14-E296)*(B296&lt;$C$9*12+$B$22)*(B296&gt;INPUTS!$R$20*12+$B$22-1)</f>
        <v>11383.827304284312</v>
      </c>
      <c r="G296" s="389">
        <f t="shared" si="2"/>
        <v>304692.68404171534</v>
      </c>
      <c r="H296" s="389">
        <f t="shared" si="3"/>
        <v>1908075.8245712344</v>
      </c>
      <c r="I296" s="363"/>
      <c r="J296" s="363"/>
      <c r="K296" s="363"/>
      <c r="L296" s="363"/>
      <c r="M296" s="363"/>
      <c r="N296" s="363"/>
      <c r="O296" s="363"/>
      <c r="P296" s="363"/>
      <c r="Q296" s="363"/>
      <c r="R296" s="363"/>
      <c r="S296" s="363"/>
      <c r="T296" s="363"/>
      <c r="U296" s="363"/>
      <c r="V296" s="363"/>
      <c r="W296" s="363"/>
      <c r="X296" s="363"/>
      <c r="Y296" s="363"/>
      <c r="Z296" s="363"/>
    </row>
    <row r="297" spans="1:26" ht="13.5" customHeight="1" x14ac:dyDescent="0.2">
      <c r="A297" s="386">
        <f t="shared" si="0"/>
        <v>26</v>
      </c>
      <c r="B297" s="387">
        <f t="shared" si="4"/>
        <v>312</v>
      </c>
      <c r="C297" s="398">
        <f t="shared" si="5"/>
        <v>55610</v>
      </c>
      <c r="D297" s="389">
        <f t="shared" si="6"/>
        <v>304692.68404171534</v>
      </c>
      <c r="E297" s="389">
        <f t="shared" si="1"/>
        <v>1586.9410627172674</v>
      </c>
      <c r="F297" s="389">
        <f>($C$14-E297)*(B297&lt;$C$9*12+$B$22)*(B297&gt;INPUTS!$R$20*12+$B$22-1)</f>
        <v>11443.118071494126</v>
      </c>
      <c r="G297" s="389">
        <f t="shared" si="2"/>
        <v>293249.56597022124</v>
      </c>
      <c r="H297" s="389">
        <f t="shared" si="3"/>
        <v>1909662.7656339516</v>
      </c>
      <c r="I297" s="363"/>
      <c r="J297" s="363"/>
      <c r="K297" s="363"/>
      <c r="L297" s="363"/>
      <c r="M297" s="363"/>
      <c r="N297" s="363"/>
      <c r="O297" s="363"/>
      <c r="P297" s="363"/>
      <c r="Q297" s="363"/>
      <c r="R297" s="363"/>
      <c r="S297" s="363"/>
      <c r="T297" s="363"/>
      <c r="U297" s="363"/>
      <c r="V297" s="363"/>
      <c r="W297" s="363"/>
      <c r="X297" s="363"/>
      <c r="Y297" s="363"/>
      <c r="Z297" s="363"/>
    </row>
    <row r="298" spans="1:26" ht="13.5" customHeight="1" x14ac:dyDescent="0.2">
      <c r="A298" s="386">
        <f t="shared" si="0"/>
        <v>27</v>
      </c>
      <c r="B298" s="387">
        <f t="shared" si="4"/>
        <v>313</v>
      </c>
      <c r="C298" s="398">
        <f t="shared" si="5"/>
        <v>55640</v>
      </c>
      <c r="D298" s="389">
        <f t="shared" si="6"/>
        <v>293249.56597022124</v>
      </c>
      <c r="E298" s="389">
        <f t="shared" si="1"/>
        <v>1527.3414894282357</v>
      </c>
      <c r="F298" s="389">
        <f>($C$14-E298)*(B298&lt;$C$9*12+$B$22)*(B298&gt;INPUTS!$R$20*12+$B$22-1)</f>
        <v>11502.717644783157</v>
      </c>
      <c r="G298" s="389">
        <f t="shared" si="2"/>
        <v>281746.8483254381</v>
      </c>
      <c r="H298" s="389">
        <f t="shared" si="3"/>
        <v>1911190.1071233798</v>
      </c>
      <c r="I298" s="363"/>
      <c r="J298" s="363"/>
      <c r="K298" s="363"/>
      <c r="L298" s="363"/>
      <c r="M298" s="363"/>
      <c r="N298" s="363"/>
      <c r="O298" s="363"/>
      <c r="P298" s="363"/>
      <c r="Q298" s="363"/>
      <c r="R298" s="363"/>
      <c r="S298" s="363"/>
      <c r="T298" s="363"/>
      <c r="U298" s="363"/>
      <c r="V298" s="363"/>
      <c r="W298" s="363"/>
      <c r="X298" s="363"/>
      <c r="Y298" s="363"/>
      <c r="Z298" s="363"/>
    </row>
    <row r="299" spans="1:26" ht="13.5" customHeight="1" x14ac:dyDescent="0.2">
      <c r="A299" s="386">
        <f t="shared" si="0"/>
        <v>27</v>
      </c>
      <c r="B299" s="387">
        <f t="shared" si="4"/>
        <v>314</v>
      </c>
      <c r="C299" s="398">
        <f t="shared" si="5"/>
        <v>55671</v>
      </c>
      <c r="D299" s="389">
        <f t="shared" si="6"/>
        <v>281746.8483254381</v>
      </c>
      <c r="E299" s="389">
        <f t="shared" si="1"/>
        <v>1467.4315016949902</v>
      </c>
      <c r="F299" s="389">
        <f>($C$14-E299)*(B299&lt;$C$9*12+$B$22)*(B299&gt;INPUTS!$R$20*12+$B$22-1)</f>
        <v>11562.627632516404</v>
      </c>
      <c r="G299" s="389">
        <f t="shared" si="2"/>
        <v>270184.22069292172</v>
      </c>
      <c r="H299" s="389">
        <f t="shared" si="3"/>
        <v>1912657.5386250748</v>
      </c>
      <c r="I299" s="363"/>
      <c r="J299" s="363"/>
      <c r="K299" s="363"/>
      <c r="L299" s="363"/>
      <c r="M299" s="363"/>
      <c r="N299" s="363"/>
      <c r="O299" s="363"/>
      <c r="P299" s="363"/>
      <c r="Q299" s="363"/>
      <c r="R299" s="363"/>
      <c r="S299" s="363"/>
      <c r="T299" s="363"/>
      <c r="U299" s="363"/>
      <c r="V299" s="363"/>
      <c r="W299" s="363"/>
      <c r="X299" s="363"/>
      <c r="Y299" s="363"/>
      <c r="Z299" s="363"/>
    </row>
    <row r="300" spans="1:26" ht="13.5" customHeight="1" x14ac:dyDescent="0.2">
      <c r="A300" s="386">
        <f t="shared" si="0"/>
        <v>27</v>
      </c>
      <c r="B300" s="387">
        <f t="shared" si="4"/>
        <v>315</v>
      </c>
      <c r="C300" s="398">
        <f t="shared" si="5"/>
        <v>55701</v>
      </c>
      <c r="D300" s="389">
        <f t="shared" si="6"/>
        <v>270184.22069292172</v>
      </c>
      <c r="E300" s="389">
        <f t="shared" si="1"/>
        <v>1407.2094827756339</v>
      </c>
      <c r="F300" s="389">
        <f>($C$14-E300)*(B300&lt;$C$9*12+$B$22)*(B300&gt;INPUTS!$R$20*12+$B$22-1)</f>
        <v>11622.849651435759</v>
      </c>
      <c r="G300" s="389">
        <f t="shared" si="2"/>
        <v>258561.37104148595</v>
      </c>
      <c r="H300" s="389">
        <f t="shared" si="3"/>
        <v>1914064.7481078503</v>
      </c>
      <c r="I300" s="363"/>
      <c r="J300" s="363"/>
      <c r="K300" s="363"/>
      <c r="L300" s="363"/>
      <c r="M300" s="363"/>
      <c r="N300" s="363"/>
      <c r="O300" s="363"/>
      <c r="P300" s="363"/>
      <c r="Q300" s="363"/>
      <c r="R300" s="363"/>
      <c r="S300" s="363"/>
      <c r="T300" s="363"/>
      <c r="U300" s="363"/>
      <c r="V300" s="363"/>
      <c r="W300" s="363"/>
      <c r="X300" s="363"/>
      <c r="Y300" s="363"/>
      <c r="Z300" s="363"/>
    </row>
    <row r="301" spans="1:26" ht="13.5" customHeight="1" x14ac:dyDescent="0.2">
      <c r="A301" s="386">
        <f t="shared" si="0"/>
        <v>27</v>
      </c>
      <c r="B301" s="387">
        <f t="shared" si="4"/>
        <v>316</v>
      </c>
      <c r="C301" s="398">
        <f t="shared" si="5"/>
        <v>55732</v>
      </c>
      <c r="D301" s="389">
        <f t="shared" si="6"/>
        <v>258561.37104148595</v>
      </c>
      <c r="E301" s="389">
        <f t="shared" si="1"/>
        <v>1346.6738075077394</v>
      </c>
      <c r="F301" s="389">
        <f>($C$14-E301)*(B301&lt;$C$9*12+$B$22)*(B301&gt;INPUTS!$R$20*12+$B$22-1)</f>
        <v>11683.385326703654</v>
      </c>
      <c r="G301" s="389">
        <f t="shared" si="2"/>
        <v>246877.98571478229</v>
      </c>
      <c r="H301" s="389">
        <f t="shared" si="3"/>
        <v>1915411.4219153582</v>
      </c>
      <c r="I301" s="363"/>
      <c r="J301" s="363"/>
      <c r="K301" s="363"/>
      <c r="L301" s="363"/>
      <c r="M301" s="363"/>
      <c r="N301" s="363"/>
      <c r="O301" s="363"/>
      <c r="P301" s="363"/>
      <c r="Q301" s="363"/>
      <c r="R301" s="363"/>
      <c r="S301" s="363"/>
      <c r="T301" s="363"/>
      <c r="U301" s="363"/>
      <c r="V301" s="363"/>
      <c r="W301" s="363"/>
      <c r="X301" s="363"/>
      <c r="Y301" s="363"/>
      <c r="Z301" s="363"/>
    </row>
    <row r="302" spans="1:26" ht="13.5" customHeight="1" x14ac:dyDescent="0.2">
      <c r="A302" s="386">
        <f t="shared" si="0"/>
        <v>27</v>
      </c>
      <c r="B302" s="387">
        <f t="shared" si="4"/>
        <v>317</v>
      </c>
      <c r="C302" s="398">
        <f t="shared" si="5"/>
        <v>55763</v>
      </c>
      <c r="D302" s="389">
        <f t="shared" si="6"/>
        <v>246877.98571478229</v>
      </c>
      <c r="E302" s="389">
        <f t="shared" si="1"/>
        <v>1285.8228422644911</v>
      </c>
      <c r="F302" s="389">
        <f>($C$14-E302)*(B302&lt;$C$9*12+$B$22)*(B302&gt;INPUTS!$R$20*12+$B$22-1)</f>
        <v>11744.236291946901</v>
      </c>
      <c r="G302" s="389">
        <f t="shared" si="2"/>
        <v>235133.74942283539</v>
      </c>
      <c r="H302" s="389">
        <f t="shared" si="3"/>
        <v>1916697.2447576227</v>
      </c>
      <c r="I302" s="363"/>
      <c r="J302" s="363"/>
      <c r="K302" s="363"/>
      <c r="L302" s="363"/>
      <c r="M302" s="363"/>
      <c r="N302" s="363"/>
      <c r="O302" s="363"/>
      <c r="P302" s="363"/>
      <c r="Q302" s="363"/>
      <c r="R302" s="363"/>
      <c r="S302" s="363"/>
      <c r="T302" s="363"/>
      <c r="U302" s="363"/>
      <c r="V302" s="363"/>
      <c r="W302" s="363"/>
      <c r="X302" s="363"/>
      <c r="Y302" s="363"/>
      <c r="Z302" s="363"/>
    </row>
    <row r="303" spans="1:26" ht="13.5" customHeight="1" x14ac:dyDescent="0.2">
      <c r="A303" s="386">
        <f t="shared" si="0"/>
        <v>27</v>
      </c>
      <c r="B303" s="387">
        <f t="shared" si="4"/>
        <v>318</v>
      </c>
      <c r="C303" s="398">
        <f t="shared" si="5"/>
        <v>55793</v>
      </c>
      <c r="D303" s="389">
        <f t="shared" si="6"/>
        <v>235133.74942283539</v>
      </c>
      <c r="E303" s="389">
        <f t="shared" si="1"/>
        <v>1224.654944910601</v>
      </c>
      <c r="F303" s="389">
        <f>($C$14-E303)*(B303&lt;$C$9*12+$B$22)*(B303&gt;INPUTS!$R$20*12+$B$22-1)</f>
        <v>11805.404189300792</v>
      </c>
      <c r="G303" s="389">
        <f t="shared" si="2"/>
        <v>223328.34523353461</v>
      </c>
      <c r="H303" s="389">
        <f t="shared" si="3"/>
        <v>1917921.8997025334</v>
      </c>
      <c r="I303" s="363"/>
      <c r="J303" s="363"/>
      <c r="K303" s="363"/>
      <c r="L303" s="363"/>
      <c r="M303" s="363"/>
      <c r="N303" s="363"/>
      <c r="O303" s="363"/>
      <c r="P303" s="363"/>
      <c r="Q303" s="363"/>
      <c r="R303" s="363"/>
      <c r="S303" s="363"/>
      <c r="T303" s="363"/>
      <c r="U303" s="363"/>
      <c r="V303" s="363"/>
      <c r="W303" s="363"/>
      <c r="X303" s="363"/>
      <c r="Y303" s="363"/>
      <c r="Z303" s="363"/>
    </row>
    <row r="304" spans="1:26" ht="13.5" customHeight="1" x14ac:dyDescent="0.2">
      <c r="A304" s="386">
        <f t="shared" si="0"/>
        <v>27</v>
      </c>
      <c r="B304" s="387">
        <f t="shared" si="4"/>
        <v>319</v>
      </c>
      <c r="C304" s="398">
        <f t="shared" si="5"/>
        <v>55824</v>
      </c>
      <c r="D304" s="389">
        <f t="shared" si="6"/>
        <v>223328.34523353461</v>
      </c>
      <c r="E304" s="389">
        <f t="shared" si="1"/>
        <v>1163.1684647579928</v>
      </c>
      <c r="F304" s="389">
        <f>($C$14-E304)*(B304&lt;$C$9*12+$B$22)*(B304&gt;INPUTS!$R$20*12+$B$22-1)</f>
        <v>11866.8906694534</v>
      </c>
      <c r="G304" s="389">
        <f t="shared" si="2"/>
        <v>211461.45456408121</v>
      </c>
      <c r="H304" s="389">
        <f t="shared" si="3"/>
        <v>1919085.0681672913</v>
      </c>
      <c r="I304" s="363"/>
      <c r="J304" s="363"/>
      <c r="K304" s="363"/>
      <c r="L304" s="363"/>
      <c r="M304" s="363"/>
      <c r="N304" s="363"/>
      <c r="O304" s="363"/>
      <c r="P304" s="363"/>
      <c r="Q304" s="363"/>
      <c r="R304" s="363"/>
      <c r="S304" s="363"/>
      <c r="T304" s="363"/>
      <c r="U304" s="363"/>
      <c r="V304" s="363"/>
      <c r="W304" s="363"/>
      <c r="X304" s="363"/>
      <c r="Y304" s="363"/>
      <c r="Z304" s="363"/>
    </row>
    <row r="305" spans="1:26" ht="13.5" customHeight="1" x14ac:dyDescent="0.2">
      <c r="A305" s="386">
        <f t="shared" si="0"/>
        <v>27</v>
      </c>
      <c r="B305" s="387">
        <f t="shared" si="4"/>
        <v>320</v>
      </c>
      <c r="C305" s="398">
        <f t="shared" si="5"/>
        <v>55854</v>
      </c>
      <c r="D305" s="389">
        <f t="shared" si="6"/>
        <v>211461.45456408121</v>
      </c>
      <c r="E305" s="389">
        <f t="shared" si="1"/>
        <v>1101.3617425212562</v>
      </c>
      <c r="F305" s="389">
        <f>($C$14-E305)*(B305&lt;$C$9*12+$B$22)*(B305&gt;INPUTS!$R$20*12+$B$22-1)</f>
        <v>11928.697391690137</v>
      </c>
      <c r="G305" s="389">
        <f t="shared" si="2"/>
        <v>199532.75717239108</v>
      </c>
      <c r="H305" s="389">
        <f t="shared" si="3"/>
        <v>1920186.4299098125</v>
      </c>
      <c r="I305" s="363"/>
      <c r="J305" s="363"/>
      <c r="K305" s="363"/>
      <c r="L305" s="363"/>
      <c r="M305" s="363"/>
      <c r="N305" s="363"/>
      <c r="O305" s="363"/>
      <c r="P305" s="363"/>
      <c r="Q305" s="363"/>
      <c r="R305" s="363"/>
      <c r="S305" s="363"/>
      <c r="T305" s="363"/>
      <c r="U305" s="363"/>
      <c r="V305" s="363"/>
      <c r="W305" s="363"/>
      <c r="X305" s="363"/>
      <c r="Y305" s="363"/>
      <c r="Z305" s="363"/>
    </row>
    <row r="306" spans="1:26" ht="13.5" customHeight="1" x14ac:dyDescent="0.2">
      <c r="A306" s="386">
        <f t="shared" si="0"/>
        <v>27</v>
      </c>
      <c r="B306" s="387">
        <f t="shared" si="4"/>
        <v>321</v>
      </c>
      <c r="C306" s="398">
        <f t="shared" si="5"/>
        <v>55885</v>
      </c>
      <c r="D306" s="389">
        <f t="shared" si="6"/>
        <v>199532.75717239108</v>
      </c>
      <c r="E306" s="389">
        <f t="shared" si="1"/>
        <v>1039.2331102728701</v>
      </c>
      <c r="F306" s="389">
        <f>($C$14-E306)*(B306&lt;$C$9*12+$B$22)*(B306&gt;INPUTS!$R$20*12+$B$22-1)</f>
        <v>11990.826023938524</v>
      </c>
      <c r="G306" s="389">
        <f t="shared" si="2"/>
        <v>187541.93114845257</v>
      </c>
      <c r="H306" s="389">
        <f t="shared" si="3"/>
        <v>1921225.6630200853</v>
      </c>
      <c r="I306" s="363"/>
      <c r="J306" s="363"/>
      <c r="K306" s="363"/>
      <c r="L306" s="363"/>
      <c r="M306" s="363"/>
      <c r="N306" s="363"/>
      <c r="O306" s="363"/>
      <c r="P306" s="363"/>
      <c r="Q306" s="363"/>
      <c r="R306" s="363"/>
      <c r="S306" s="363"/>
      <c r="T306" s="363"/>
      <c r="U306" s="363"/>
      <c r="V306" s="363"/>
      <c r="W306" s="363"/>
      <c r="X306" s="363"/>
      <c r="Y306" s="363"/>
      <c r="Z306" s="363"/>
    </row>
    <row r="307" spans="1:26" ht="13.5" customHeight="1" x14ac:dyDescent="0.2">
      <c r="A307" s="386">
        <f t="shared" si="0"/>
        <v>27</v>
      </c>
      <c r="B307" s="387">
        <f t="shared" si="4"/>
        <v>322</v>
      </c>
      <c r="C307" s="398">
        <f t="shared" si="5"/>
        <v>55916</v>
      </c>
      <c r="D307" s="389">
        <f t="shared" si="6"/>
        <v>187541.93114845257</v>
      </c>
      <c r="E307" s="389">
        <f t="shared" si="1"/>
        <v>976.78089139819042</v>
      </c>
      <c r="F307" s="389">
        <f>($C$14-E307)*(B307&lt;$C$9*12+$B$22)*(B307&gt;INPUTS!$R$20*12+$B$22-1)</f>
        <v>12053.278242813203</v>
      </c>
      <c r="G307" s="389">
        <f t="shared" si="2"/>
        <v>175488.65290563938</v>
      </c>
      <c r="H307" s="389">
        <f t="shared" si="3"/>
        <v>1922202.4439114835</v>
      </c>
      <c r="I307" s="363"/>
      <c r="J307" s="363"/>
      <c r="K307" s="363"/>
      <c r="L307" s="363"/>
      <c r="M307" s="363"/>
      <c r="N307" s="363"/>
      <c r="O307" s="363"/>
      <c r="P307" s="363"/>
      <c r="Q307" s="363"/>
      <c r="R307" s="363"/>
      <c r="S307" s="363"/>
      <c r="T307" s="363"/>
      <c r="U307" s="363"/>
      <c r="V307" s="363"/>
      <c r="W307" s="363"/>
      <c r="X307" s="363"/>
      <c r="Y307" s="363"/>
      <c r="Z307" s="363"/>
    </row>
    <row r="308" spans="1:26" ht="13.5" customHeight="1" x14ac:dyDescent="0.2">
      <c r="A308" s="386">
        <f t="shared" si="0"/>
        <v>27</v>
      </c>
      <c r="B308" s="387">
        <f t="shared" si="4"/>
        <v>323</v>
      </c>
      <c r="C308" s="398">
        <f t="shared" si="5"/>
        <v>55944</v>
      </c>
      <c r="D308" s="389">
        <f t="shared" si="6"/>
        <v>175488.65290563938</v>
      </c>
      <c r="E308" s="389">
        <f t="shared" si="1"/>
        <v>914.00340055020513</v>
      </c>
      <c r="F308" s="389">
        <f>($C$14-E308)*(B308&lt;$C$9*12+$B$22)*(B308&gt;INPUTS!$R$20*12+$B$22-1)</f>
        <v>12116.055733661187</v>
      </c>
      <c r="G308" s="389">
        <f t="shared" si="2"/>
        <v>163372.59717197818</v>
      </c>
      <c r="H308" s="389">
        <f t="shared" si="3"/>
        <v>1923116.4473120337</v>
      </c>
      <c r="I308" s="363"/>
      <c r="J308" s="363"/>
      <c r="K308" s="363"/>
      <c r="L308" s="363"/>
      <c r="M308" s="363"/>
      <c r="N308" s="363"/>
      <c r="O308" s="363"/>
      <c r="P308" s="363"/>
      <c r="Q308" s="363"/>
      <c r="R308" s="363"/>
      <c r="S308" s="363"/>
      <c r="T308" s="363"/>
      <c r="U308" s="363"/>
      <c r="V308" s="363"/>
      <c r="W308" s="363"/>
      <c r="X308" s="363"/>
      <c r="Y308" s="363"/>
      <c r="Z308" s="363"/>
    </row>
    <row r="309" spans="1:26" ht="13.5" customHeight="1" x14ac:dyDescent="0.2">
      <c r="A309" s="386">
        <f t="shared" si="0"/>
        <v>27</v>
      </c>
      <c r="B309" s="387">
        <f t="shared" si="4"/>
        <v>324</v>
      </c>
      <c r="C309" s="398">
        <f t="shared" si="5"/>
        <v>55975</v>
      </c>
      <c r="D309" s="389">
        <f t="shared" si="6"/>
        <v>163372.59717197818</v>
      </c>
      <c r="E309" s="389">
        <f t="shared" si="1"/>
        <v>850.89894360405299</v>
      </c>
      <c r="F309" s="389">
        <f>($C$14-E309)*(B309&lt;$C$9*12+$B$22)*(B309&gt;INPUTS!$R$20*12+$B$22-1)</f>
        <v>12179.160190607339</v>
      </c>
      <c r="G309" s="389">
        <f t="shared" si="2"/>
        <v>151193.43698137085</v>
      </c>
      <c r="H309" s="389">
        <f t="shared" si="3"/>
        <v>1923967.3462556377</v>
      </c>
      <c r="I309" s="363"/>
      <c r="J309" s="363"/>
      <c r="K309" s="363"/>
      <c r="L309" s="363"/>
      <c r="M309" s="363"/>
      <c r="N309" s="363"/>
      <c r="O309" s="363"/>
      <c r="P309" s="363"/>
      <c r="Q309" s="363"/>
      <c r="R309" s="363"/>
      <c r="S309" s="363"/>
      <c r="T309" s="363"/>
      <c r="U309" s="363"/>
      <c r="V309" s="363"/>
      <c r="W309" s="363"/>
      <c r="X309" s="363"/>
      <c r="Y309" s="363"/>
      <c r="Z309" s="363"/>
    </row>
    <row r="310" spans="1:26" ht="13.5" customHeight="1" x14ac:dyDescent="0.2">
      <c r="A310" s="386">
        <f t="shared" si="0"/>
        <v>28</v>
      </c>
      <c r="B310" s="387">
        <f t="shared" si="4"/>
        <v>325</v>
      </c>
      <c r="C310" s="398">
        <f t="shared" si="5"/>
        <v>56005</v>
      </c>
      <c r="D310" s="389">
        <f t="shared" si="6"/>
        <v>151193.43698137085</v>
      </c>
      <c r="E310" s="389">
        <f t="shared" si="1"/>
        <v>787.46581761130653</v>
      </c>
      <c r="F310" s="389">
        <f>($C$14-E310)*(B310&lt;$C$9*12+$B$22)*(B310&gt;INPUTS!$R$20*12+$B$22-1)</f>
        <v>12242.593316600087</v>
      </c>
      <c r="G310" s="389">
        <f t="shared" si="2"/>
        <v>138950.84366477077</v>
      </c>
      <c r="H310" s="389">
        <f t="shared" si="3"/>
        <v>1924754.8120732489</v>
      </c>
      <c r="I310" s="363"/>
      <c r="J310" s="363"/>
      <c r="K310" s="363"/>
      <c r="L310" s="363"/>
      <c r="M310" s="363"/>
      <c r="N310" s="363"/>
      <c r="O310" s="363"/>
      <c r="P310" s="363"/>
      <c r="Q310" s="363"/>
      <c r="R310" s="363"/>
      <c r="S310" s="363"/>
      <c r="T310" s="363"/>
      <c r="U310" s="363"/>
      <c r="V310" s="363"/>
      <c r="W310" s="363"/>
      <c r="X310" s="363"/>
      <c r="Y310" s="363"/>
      <c r="Z310" s="363"/>
    </row>
    <row r="311" spans="1:26" ht="13.5" customHeight="1" x14ac:dyDescent="0.2">
      <c r="A311" s="386">
        <f t="shared" si="0"/>
        <v>28</v>
      </c>
      <c r="B311" s="387">
        <f t="shared" si="4"/>
        <v>326</v>
      </c>
      <c r="C311" s="398">
        <f t="shared" si="5"/>
        <v>56036</v>
      </c>
      <c r="D311" s="389">
        <f t="shared" si="6"/>
        <v>138950.84366477077</v>
      </c>
      <c r="E311" s="389">
        <f t="shared" si="1"/>
        <v>723.70231075401443</v>
      </c>
      <c r="F311" s="389">
        <f>($C$14-E311)*(B311&lt;$C$9*12+$B$22)*(B311&gt;INPUTS!$R$20*12+$B$22-1)</f>
        <v>12306.35682345738</v>
      </c>
      <c r="G311" s="389">
        <f t="shared" si="2"/>
        <v>126644.4868413134</v>
      </c>
      <c r="H311" s="389">
        <f t="shared" si="3"/>
        <v>1925478.5143840029</v>
      </c>
      <c r="I311" s="363"/>
      <c r="J311" s="363"/>
      <c r="K311" s="363"/>
      <c r="L311" s="363"/>
      <c r="M311" s="363"/>
      <c r="N311" s="363"/>
      <c r="O311" s="363"/>
      <c r="P311" s="363"/>
      <c r="Q311" s="363"/>
      <c r="R311" s="363"/>
      <c r="S311" s="363"/>
      <c r="T311" s="363"/>
      <c r="U311" s="363"/>
      <c r="V311" s="363"/>
      <c r="W311" s="363"/>
      <c r="X311" s="363"/>
      <c r="Y311" s="363"/>
      <c r="Z311" s="363"/>
    </row>
    <row r="312" spans="1:26" ht="13.5" customHeight="1" x14ac:dyDescent="0.2">
      <c r="A312" s="386">
        <f t="shared" si="0"/>
        <v>28</v>
      </c>
      <c r="B312" s="387">
        <f t="shared" si="4"/>
        <v>327</v>
      </c>
      <c r="C312" s="398">
        <f t="shared" si="5"/>
        <v>56066</v>
      </c>
      <c r="D312" s="389">
        <f t="shared" si="6"/>
        <v>126644.4868413134</v>
      </c>
      <c r="E312" s="389">
        <f t="shared" si="1"/>
        <v>659.60670229850723</v>
      </c>
      <c r="F312" s="389">
        <f>($C$14-E312)*(B312&lt;$C$9*12+$B$22)*(B312&gt;INPUTS!$R$20*12+$B$22-1)</f>
        <v>12370.452431912885</v>
      </c>
      <c r="G312" s="389">
        <f t="shared" si="2"/>
        <v>114274.03440940051</v>
      </c>
      <c r="H312" s="389">
        <f t="shared" si="3"/>
        <v>1926138.1210863013</v>
      </c>
      <c r="I312" s="363"/>
      <c r="J312" s="363"/>
      <c r="K312" s="363"/>
      <c r="L312" s="363"/>
      <c r="M312" s="363"/>
      <c r="N312" s="363"/>
      <c r="O312" s="363"/>
      <c r="P312" s="363"/>
      <c r="Q312" s="363"/>
      <c r="R312" s="363"/>
      <c r="S312" s="363"/>
      <c r="T312" s="363"/>
      <c r="U312" s="363"/>
      <c r="V312" s="363"/>
      <c r="W312" s="363"/>
      <c r="X312" s="363"/>
      <c r="Y312" s="363"/>
      <c r="Z312" s="363"/>
    </row>
    <row r="313" spans="1:26" ht="13.5" customHeight="1" x14ac:dyDescent="0.2">
      <c r="A313" s="386">
        <f t="shared" si="0"/>
        <v>28</v>
      </c>
      <c r="B313" s="387">
        <f t="shared" si="4"/>
        <v>328</v>
      </c>
      <c r="C313" s="398">
        <f t="shared" si="5"/>
        <v>56097</v>
      </c>
      <c r="D313" s="389">
        <f t="shared" si="6"/>
        <v>114274.03440940051</v>
      </c>
      <c r="E313" s="389">
        <f t="shared" si="1"/>
        <v>595.17726254896104</v>
      </c>
      <c r="F313" s="389">
        <f>($C$14-E313)*(B313&lt;$C$9*12+$B$22)*(B313&gt;INPUTS!$R$20*12+$B$22-1)</f>
        <v>12434.881871662432</v>
      </c>
      <c r="G313" s="389">
        <f t="shared" si="2"/>
        <v>101839.15253773807</v>
      </c>
      <c r="H313" s="389">
        <f t="shared" si="3"/>
        <v>1926733.2983488503</v>
      </c>
      <c r="I313" s="363"/>
      <c r="J313" s="363"/>
      <c r="K313" s="363"/>
      <c r="L313" s="363"/>
      <c r="M313" s="363"/>
      <c r="N313" s="363"/>
      <c r="O313" s="363"/>
      <c r="P313" s="363"/>
      <c r="Q313" s="363"/>
      <c r="R313" s="363"/>
      <c r="S313" s="363"/>
      <c r="T313" s="363"/>
      <c r="U313" s="363"/>
      <c r="V313" s="363"/>
      <c r="W313" s="363"/>
      <c r="X313" s="363"/>
      <c r="Y313" s="363"/>
      <c r="Z313" s="363"/>
    </row>
    <row r="314" spans="1:26" ht="13.5" customHeight="1" x14ac:dyDescent="0.2">
      <c r="A314" s="386">
        <f t="shared" si="0"/>
        <v>28</v>
      </c>
      <c r="B314" s="387">
        <f t="shared" si="4"/>
        <v>329</v>
      </c>
      <c r="C314" s="398">
        <f t="shared" si="5"/>
        <v>56128</v>
      </c>
      <c r="D314" s="389">
        <f t="shared" si="6"/>
        <v>101839.15253773807</v>
      </c>
      <c r="E314" s="389">
        <f t="shared" si="1"/>
        <v>530.4122528007191</v>
      </c>
      <c r="F314" s="389">
        <f>($C$14-E314)*(B314&lt;$C$9*12+$B$22)*(B314&gt;INPUTS!$R$20*12+$B$22-1)</f>
        <v>12499.646881410674</v>
      </c>
      <c r="G314" s="389">
        <f t="shared" si="2"/>
        <v>89339.505656327397</v>
      </c>
      <c r="H314" s="389">
        <f t="shared" si="3"/>
        <v>1927263.7106016511</v>
      </c>
      <c r="I314" s="363"/>
      <c r="J314" s="363"/>
      <c r="K314" s="363"/>
      <c r="L314" s="363"/>
      <c r="M314" s="363"/>
      <c r="N314" s="363"/>
      <c r="O314" s="363"/>
      <c r="P314" s="363"/>
      <c r="Q314" s="363"/>
      <c r="R314" s="363"/>
      <c r="S314" s="363"/>
      <c r="T314" s="363"/>
      <c r="U314" s="363"/>
      <c r="V314" s="363"/>
      <c r="W314" s="363"/>
      <c r="X314" s="363"/>
      <c r="Y314" s="363"/>
      <c r="Z314" s="363"/>
    </row>
    <row r="315" spans="1:26" ht="13.5" customHeight="1" x14ac:dyDescent="0.2">
      <c r="A315" s="386">
        <f t="shared" si="0"/>
        <v>28</v>
      </c>
      <c r="B315" s="387">
        <f t="shared" si="4"/>
        <v>330</v>
      </c>
      <c r="C315" s="398">
        <f t="shared" si="5"/>
        <v>56158</v>
      </c>
      <c r="D315" s="389">
        <f t="shared" si="6"/>
        <v>89339.505656327397</v>
      </c>
      <c r="E315" s="389">
        <f t="shared" si="1"/>
        <v>465.30992529337186</v>
      </c>
      <c r="F315" s="389">
        <f>($C$14-E315)*(B315&lt;$C$9*12+$B$22)*(B315&gt;INPUTS!$R$20*12+$B$22-1)</f>
        <v>12564.749208918021</v>
      </c>
      <c r="G315" s="389">
        <f t="shared" si="2"/>
        <v>76774.756447409382</v>
      </c>
      <c r="H315" s="389">
        <f t="shared" si="3"/>
        <v>1927729.0205269444</v>
      </c>
      <c r="I315" s="363"/>
      <c r="J315" s="363"/>
      <c r="K315" s="363"/>
      <c r="L315" s="363"/>
      <c r="M315" s="363"/>
      <c r="N315" s="363"/>
      <c r="O315" s="363"/>
      <c r="P315" s="363"/>
      <c r="Q315" s="363"/>
      <c r="R315" s="363"/>
      <c r="S315" s="363"/>
      <c r="T315" s="363"/>
      <c r="U315" s="363"/>
      <c r="V315" s="363"/>
      <c r="W315" s="363"/>
      <c r="X315" s="363"/>
      <c r="Y315" s="363"/>
      <c r="Z315" s="363"/>
    </row>
    <row r="316" spans="1:26" ht="13.5" customHeight="1" x14ac:dyDescent="0.2">
      <c r="A316" s="386">
        <f t="shared" si="0"/>
        <v>28</v>
      </c>
      <c r="B316" s="387">
        <f t="shared" si="4"/>
        <v>331</v>
      </c>
      <c r="C316" s="398">
        <f t="shared" si="5"/>
        <v>56189</v>
      </c>
      <c r="D316" s="389">
        <f t="shared" si="6"/>
        <v>76774.756447409382</v>
      </c>
      <c r="E316" s="389">
        <f t="shared" si="1"/>
        <v>399.86852316359051</v>
      </c>
      <c r="F316" s="389">
        <f>($C$14-E316)*(B316&lt;$C$9*12+$B$22)*(B316&gt;INPUTS!$R$20*12+$B$22-1)</f>
        <v>12630.190611047803</v>
      </c>
      <c r="G316" s="389">
        <f t="shared" si="2"/>
        <v>64144.56583636158</v>
      </c>
      <c r="H316" s="389">
        <f t="shared" si="3"/>
        <v>1928128.8890501079</v>
      </c>
      <c r="I316" s="363"/>
      <c r="J316" s="363"/>
      <c r="K316" s="363"/>
      <c r="L316" s="363"/>
      <c r="M316" s="363"/>
      <c r="N316" s="363"/>
      <c r="O316" s="363"/>
      <c r="P316" s="363"/>
      <c r="Q316" s="363"/>
      <c r="R316" s="363"/>
      <c r="S316" s="363"/>
      <c r="T316" s="363"/>
      <c r="U316" s="363"/>
      <c r="V316" s="363"/>
      <c r="W316" s="363"/>
      <c r="X316" s="363"/>
      <c r="Y316" s="363"/>
      <c r="Z316" s="363"/>
    </row>
    <row r="317" spans="1:26" ht="13.5" customHeight="1" x14ac:dyDescent="0.2">
      <c r="A317" s="386">
        <f t="shared" si="0"/>
        <v>28</v>
      </c>
      <c r="B317" s="387">
        <f t="shared" si="4"/>
        <v>332</v>
      </c>
      <c r="C317" s="398">
        <f t="shared" si="5"/>
        <v>56219</v>
      </c>
      <c r="D317" s="389">
        <f t="shared" si="6"/>
        <v>64144.56583636158</v>
      </c>
      <c r="E317" s="389">
        <f t="shared" si="1"/>
        <v>334.08628039771656</v>
      </c>
      <c r="F317" s="389">
        <f>($C$14-E317)*(B317&lt;$C$9*12+$B$22)*(B317&gt;INPUTS!$R$20*12+$B$22-1)</f>
        <v>12695.972853813677</v>
      </c>
      <c r="G317" s="389">
        <f t="shared" si="2"/>
        <v>51448.592982547903</v>
      </c>
      <c r="H317" s="389">
        <f t="shared" si="3"/>
        <v>1928462.9753305055</v>
      </c>
      <c r="I317" s="363"/>
      <c r="J317" s="363"/>
      <c r="K317" s="363"/>
      <c r="L317" s="363"/>
      <c r="M317" s="363"/>
      <c r="N317" s="363"/>
      <c r="O317" s="363"/>
      <c r="P317" s="363"/>
      <c r="Q317" s="363"/>
      <c r="R317" s="363"/>
      <c r="S317" s="363"/>
      <c r="T317" s="363"/>
      <c r="U317" s="363"/>
      <c r="V317" s="363"/>
      <c r="W317" s="363"/>
      <c r="X317" s="363"/>
      <c r="Y317" s="363"/>
      <c r="Z317" s="363"/>
    </row>
    <row r="318" spans="1:26" ht="13.5" customHeight="1" x14ac:dyDescent="0.2">
      <c r="A318" s="386">
        <f t="shared" si="0"/>
        <v>28</v>
      </c>
      <c r="B318" s="387">
        <f t="shared" si="4"/>
        <v>333</v>
      </c>
      <c r="C318" s="398">
        <f t="shared" si="5"/>
        <v>56250</v>
      </c>
      <c r="D318" s="389">
        <f t="shared" si="6"/>
        <v>51448.592982547903</v>
      </c>
      <c r="E318" s="389">
        <f t="shared" si="1"/>
        <v>267.96142178410366</v>
      </c>
      <c r="F318" s="389">
        <f>($C$14-E318)*(B318&lt;$C$9*12+$B$22)*(B318&gt;INPUTS!$R$20*12+$B$22-1)</f>
        <v>12762.097712427289</v>
      </c>
      <c r="G318" s="389">
        <f t="shared" si="2"/>
        <v>38686.495270120613</v>
      </c>
      <c r="H318" s="389">
        <f t="shared" si="3"/>
        <v>1928730.9367522895</v>
      </c>
      <c r="I318" s="363"/>
      <c r="J318" s="363"/>
      <c r="K318" s="363"/>
      <c r="L318" s="363"/>
      <c r="M318" s="363"/>
      <c r="N318" s="363"/>
      <c r="O318" s="363"/>
      <c r="P318" s="363"/>
      <c r="Q318" s="363"/>
      <c r="R318" s="363"/>
      <c r="S318" s="363"/>
      <c r="T318" s="363"/>
      <c r="U318" s="363"/>
      <c r="V318" s="363"/>
      <c r="W318" s="363"/>
      <c r="X318" s="363"/>
      <c r="Y318" s="363"/>
      <c r="Z318" s="363"/>
    </row>
    <row r="319" spans="1:26" ht="13.5" customHeight="1" x14ac:dyDescent="0.2">
      <c r="A319" s="386">
        <f t="shared" si="0"/>
        <v>28</v>
      </c>
      <c r="B319" s="387">
        <f t="shared" si="4"/>
        <v>334</v>
      </c>
      <c r="C319" s="398">
        <f t="shared" si="5"/>
        <v>56281</v>
      </c>
      <c r="D319" s="389">
        <f t="shared" si="6"/>
        <v>38686.495270120613</v>
      </c>
      <c r="E319" s="389">
        <f t="shared" si="1"/>
        <v>201.49216286521153</v>
      </c>
      <c r="F319" s="389">
        <f>($C$14-E319)*(B319&lt;$C$9*12+$B$22)*(B319&gt;INPUTS!$R$20*12+$B$22-1)</f>
        <v>12828.566971346181</v>
      </c>
      <c r="G319" s="389">
        <f t="shared" si="2"/>
        <v>25857.92829877443</v>
      </c>
      <c r="H319" s="389">
        <f t="shared" si="3"/>
        <v>1928932.4289151547</v>
      </c>
      <c r="I319" s="363"/>
      <c r="J319" s="363"/>
      <c r="K319" s="363"/>
      <c r="L319" s="363"/>
      <c r="M319" s="363"/>
      <c r="N319" s="363"/>
      <c r="O319" s="363"/>
      <c r="P319" s="363"/>
      <c r="Q319" s="363"/>
      <c r="R319" s="363"/>
      <c r="S319" s="363"/>
      <c r="T319" s="363"/>
      <c r="U319" s="363"/>
      <c r="V319" s="363"/>
      <c r="W319" s="363"/>
      <c r="X319" s="363"/>
      <c r="Y319" s="363"/>
      <c r="Z319" s="363"/>
    </row>
    <row r="320" spans="1:26" ht="13.5" customHeight="1" x14ac:dyDescent="0.2">
      <c r="A320" s="386">
        <f t="shared" si="0"/>
        <v>28</v>
      </c>
      <c r="B320" s="387">
        <f t="shared" si="4"/>
        <v>335</v>
      </c>
      <c r="C320" s="398">
        <f t="shared" si="5"/>
        <v>56309</v>
      </c>
      <c r="D320" s="389">
        <f t="shared" si="6"/>
        <v>25857.92829877443</v>
      </c>
      <c r="E320" s="389">
        <f t="shared" si="1"/>
        <v>134.67670988945017</v>
      </c>
      <c r="F320" s="389">
        <f>($C$14-E320)*(B320&lt;$C$9*12+$B$22)*(B320&gt;INPUTS!$R$20*12+$B$22-1)</f>
        <v>12895.382424321942</v>
      </c>
      <c r="G320" s="389">
        <f t="shared" si="2"/>
        <v>12962.545874452488</v>
      </c>
      <c r="H320" s="389">
        <f t="shared" si="3"/>
        <v>1929067.1056250441</v>
      </c>
      <c r="I320" s="363"/>
      <c r="J320" s="363"/>
      <c r="K320" s="363"/>
      <c r="L320" s="363"/>
      <c r="M320" s="363"/>
      <c r="N320" s="363"/>
      <c r="O320" s="363"/>
      <c r="P320" s="363"/>
      <c r="Q320" s="363"/>
      <c r="R320" s="363"/>
      <c r="S320" s="363"/>
      <c r="T320" s="363"/>
      <c r="U320" s="363"/>
      <c r="V320" s="363"/>
      <c r="W320" s="363"/>
      <c r="X320" s="363"/>
      <c r="Y320" s="363"/>
      <c r="Z320" s="363"/>
    </row>
    <row r="321" spans="1:26" ht="13.5" customHeight="1" x14ac:dyDescent="0.2">
      <c r="A321" s="386">
        <f t="shared" si="0"/>
        <v>28</v>
      </c>
      <c r="B321" s="387">
        <f t="shared" si="4"/>
        <v>336</v>
      </c>
      <c r="C321" s="398">
        <f t="shared" si="5"/>
        <v>56340</v>
      </c>
      <c r="D321" s="389">
        <f t="shared" si="6"/>
        <v>12962.545874452488</v>
      </c>
      <c r="E321" s="389">
        <f t="shared" si="1"/>
        <v>67.513259762773373</v>
      </c>
      <c r="F321" s="389">
        <f>($C$14-E321)*(B321&lt;$C$9*12+$B$22)*(B321&gt;INPUTS!$R$20*12+$B$22-1)</f>
        <v>12962.54587444862</v>
      </c>
      <c r="G321" s="389">
        <f t="shared" si="2"/>
        <v>3.8671714719384909E-9</v>
      </c>
      <c r="H321" s="389">
        <f t="shared" si="3"/>
        <v>1929134.6188848068</v>
      </c>
      <c r="I321" s="363"/>
      <c r="J321" s="363"/>
      <c r="K321" s="363"/>
      <c r="L321" s="363"/>
      <c r="M321" s="363"/>
      <c r="N321" s="363"/>
      <c r="O321" s="363"/>
      <c r="P321" s="363"/>
      <c r="Q321" s="363"/>
      <c r="R321" s="363"/>
      <c r="S321" s="363"/>
      <c r="T321" s="363"/>
      <c r="U321" s="363"/>
      <c r="V321" s="363"/>
      <c r="W321" s="363"/>
      <c r="X321" s="363"/>
      <c r="Y321" s="363"/>
      <c r="Z321" s="363"/>
    </row>
    <row r="322" spans="1:26" ht="13.5" customHeight="1" x14ac:dyDescent="0.2">
      <c r="A322" s="386">
        <f t="shared" si="0"/>
        <v>29</v>
      </c>
      <c r="B322" s="387">
        <f t="shared" si="4"/>
        <v>337</v>
      </c>
      <c r="C322" s="398">
        <f t="shared" si="5"/>
        <v>56370</v>
      </c>
      <c r="D322" s="389">
        <f t="shared" si="6"/>
        <v>3.8671714719384909E-9</v>
      </c>
      <c r="E322" s="389">
        <f t="shared" si="1"/>
        <v>2.0141518083012972E-11</v>
      </c>
      <c r="F322" s="389">
        <f>($C$14-E322)*(B322&lt;$C$9*12+$B$22)*(B322&gt;INPUTS!$R$20*12+$B$22-1)</f>
        <v>0</v>
      </c>
      <c r="G322" s="389">
        <f t="shared" si="2"/>
        <v>3.8671714719384909E-9</v>
      </c>
      <c r="H322" s="389">
        <f t="shared" si="3"/>
        <v>1929134.6188848068</v>
      </c>
      <c r="I322" s="363"/>
      <c r="J322" s="363"/>
      <c r="K322" s="363"/>
      <c r="L322" s="363"/>
      <c r="M322" s="363"/>
      <c r="N322" s="363"/>
      <c r="O322" s="363"/>
      <c r="P322" s="363"/>
      <c r="Q322" s="363"/>
      <c r="R322" s="363"/>
      <c r="S322" s="363"/>
      <c r="T322" s="363"/>
      <c r="U322" s="363"/>
      <c r="V322" s="363"/>
      <c r="W322" s="363"/>
      <c r="X322" s="363"/>
      <c r="Y322" s="363"/>
      <c r="Z322" s="363"/>
    </row>
    <row r="323" spans="1:26" ht="13.5" customHeight="1" x14ac:dyDescent="0.2">
      <c r="A323" s="386">
        <f t="shared" si="0"/>
        <v>29</v>
      </c>
      <c r="B323" s="387">
        <f t="shared" si="4"/>
        <v>338</v>
      </c>
      <c r="C323" s="398">
        <f t="shared" si="5"/>
        <v>56401</v>
      </c>
      <c r="D323" s="389">
        <f t="shared" si="6"/>
        <v>3.8671714719384909E-9</v>
      </c>
      <c r="E323" s="389">
        <f t="shared" si="1"/>
        <v>2.0141518083012972E-11</v>
      </c>
      <c r="F323" s="389">
        <f>($C$14-E323)*(B323&lt;$C$9*12+$B$22)*(B323&gt;INPUTS!$R$20*12+$B$22-1)</f>
        <v>0</v>
      </c>
      <c r="G323" s="389">
        <f t="shared" si="2"/>
        <v>3.8671714719384909E-9</v>
      </c>
      <c r="H323" s="389">
        <f t="shared" si="3"/>
        <v>1929134.6188848068</v>
      </c>
      <c r="I323" s="363"/>
      <c r="J323" s="363"/>
      <c r="K323" s="363"/>
      <c r="L323" s="363"/>
      <c r="M323" s="363"/>
      <c r="N323" s="363"/>
      <c r="O323" s="363"/>
      <c r="P323" s="363"/>
      <c r="Q323" s="363"/>
      <c r="R323" s="363"/>
      <c r="S323" s="363"/>
      <c r="T323" s="363"/>
      <c r="U323" s="363"/>
      <c r="V323" s="363"/>
      <c r="W323" s="363"/>
      <c r="X323" s="363"/>
      <c r="Y323" s="363"/>
      <c r="Z323" s="363"/>
    </row>
    <row r="324" spans="1:26" ht="13.5" customHeight="1" x14ac:dyDescent="0.2">
      <c r="A324" s="386">
        <f t="shared" si="0"/>
        <v>29</v>
      </c>
      <c r="B324" s="387">
        <f t="shared" si="4"/>
        <v>339</v>
      </c>
      <c r="C324" s="398">
        <f t="shared" si="5"/>
        <v>56431</v>
      </c>
      <c r="D324" s="389">
        <f t="shared" si="6"/>
        <v>3.8671714719384909E-9</v>
      </c>
      <c r="E324" s="389">
        <f t="shared" si="1"/>
        <v>2.0141518083012972E-11</v>
      </c>
      <c r="F324" s="389">
        <f>($C$14-E324)*(B324&lt;$C$9*12+$B$22)*(B324&gt;INPUTS!$R$20*12+$B$22-1)</f>
        <v>0</v>
      </c>
      <c r="G324" s="389">
        <f t="shared" si="2"/>
        <v>3.8671714719384909E-9</v>
      </c>
      <c r="H324" s="389">
        <f t="shared" si="3"/>
        <v>1929134.6188848068</v>
      </c>
      <c r="I324" s="363"/>
      <c r="J324" s="363"/>
      <c r="K324" s="363"/>
      <c r="L324" s="363"/>
      <c r="M324" s="363"/>
      <c r="N324" s="363"/>
      <c r="O324" s="363"/>
      <c r="P324" s="363"/>
      <c r="Q324" s="363"/>
      <c r="R324" s="363"/>
      <c r="S324" s="363"/>
      <c r="T324" s="363"/>
      <c r="U324" s="363"/>
      <c r="V324" s="363"/>
      <c r="W324" s="363"/>
      <c r="X324" s="363"/>
      <c r="Y324" s="363"/>
      <c r="Z324" s="363"/>
    </row>
    <row r="325" spans="1:26" ht="13.5" customHeight="1" x14ac:dyDescent="0.2">
      <c r="A325" s="386">
        <f t="shared" si="0"/>
        <v>29</v>
      </c>
      <c r="B325" s="387">
        <f t="shared" si="4"/>
        <v>340</v>
      </c>
      <c r="C325" s="398">
        <f t="shared" si="5"/>
        <v>56462</v>
      </c>
      <c r="D325" s="389">
        <f t="shared" si="6"/>
        <v>3.8671714719384909E-9</v>
      </c>
      <c r="E325" s="389">
        <f t="shared" si="1"/>
        <v>2.0141518083012972E-11</v>
      </c>
      <c r="F325" s="389">
        <f>($C$14-E325)*(B325&lt;$C$9*12+$B$22)*(B325&gt;INPUTS!$R$20*12+$B$22-1)</f>
        <v>0</v>
      </c>
      <c r="G325" s="389">
        <f t="shared" si="2"/>
        <v>3.8671714719384909E-9</v>
      </c>
      <c r="H325" s="389">
        <f t="shared" si="3"/>
        <v>1929134.6188848068</v>
      </c>
      <c r="I325" s="363"/>
      <c r="J325" s="363"/>
      <c r="K325" s="363"/>
      <c r="L325" s="363"/>
      <c r="M325" s="363"/>
      <c r="N325" s="363"/>
      <c r="O325" s="363"/>
      <c r="P325" s="363"/>
      <c r="Q325" s="363"/>
      <c r="R325" s="363"/>
      <c r="S325" s="363"/>
      <c r="T325" s="363"/>
      <c r="U325" s="363"/>
      <c r="V325" s="363"/>
      <c r="W325" s="363"/>
      <c r="X325" s="363"/>
      <c r="Y325" s="363"/>
      <c r="Z325" s="363"/>
    </row>
    <row r="326" spans="1:26" ht="13.5" customHeight="1" x14ac:dyDescent="0.2">
      <c r="A326" s="386">
        <f t="shared" si="0"/>
        <v>29</v>
      </c>
      <c r="B326" s="387">
        <f t="shared" si="4"/>
        <v>341</v>
      </c>
      <c r="C326" s="398">
        <f t="shared" si="5"/>
        <v>56493</v>
      </c>
      <c r="D326" s="389">
        <f t="shared" si="6"/>
        <v>3.8671714719384909E-9</v>
      </c>
      <c r="E326" s="389">
        <f t="shared" si="1"/>
        <v>2.0141518083012972E-11</v>
      </c>
      <c r="F326" s="389">
        <f>($C$14-E326)*(B326&lt;$C$9*12+$B$22)*(B326&gt;INPUTS!$R$20*12+$B$22-1)</f>
        <v>0</v>
      </c>
      <c r="G326" s="389">
        <f t="shared" si="2"/>
        <v>3.8671714719384909E-9</v>
      </c>
      <c r="H326" s="389">
        <f t="shared" si="3"/>
        <v>1929134.6188848068</v>
      </c>
      <c r="I326" s="363"/>
      <c r="J326" s="363"/>
      <c r="K326" s="363"/>
      <c r="L326" s="363"/>
      <c r="M326" s="363"/>
      <c r="N326" s="363"/>
      <c r="O326" s="363"/>
      <c r="P326" s="363"/>
      <c r="Q326" s="363"/>
      <c r="R326" s="363"/>
      <c r="S326" s="363"/>
      <c r="T326" s="363"/>
      <c r="U326" s="363"/>
      <c r="V326" s="363"/>
      <c r="W326" s="363"/>
      <c r="X326" s="363"/>
      <c r="Y326" s="363"/>
      <c r="Z326" s="363"/>
    </row>
    <row r="327" spans="1:26" ht="13.5" customHeight="1" x14ac:dyDescent="0.2">
      <c r="A327" s="386">
        <f t="shared" si="0"/>
        <v>29</v>
      </c>
      <c r="B327" s="387">
        <f t="shared" si="4"/>
        <v>342</v>
      </c>
      <c r="C327" s="398">
        <f t="shared" si="5"/>
        <v>56523</v>
      </c>
      <c r="D327" s="389">
        <f t="shared" si="6"/>
        <v>3.8671714719384909E-9</v>
      </c>
      <c r="E327" s="389">
        <f t="shared" si="1"/>
        <v>2.0141518083012972E-11</v>
      </c>
      <c r="F327" s="389">
        <f>($C$14-E327)*(B327&lt;$C$9*12+$B$22)*(B327&gt;INPUTS!$R$20*12+$B$22-1)</f>
        <v>0</v>
      </c>
      <c r="G327" s="389">
        <f t="shared" si="2"/>
        <v>3.8671714719384909E-9</v>
      </c>
      <c r="H327" s="389">
        <f t="shared" si="3"/>
        <v>1929134.6188848068</v>
      </c>
      <c r="I327" s="363"/>
      <c r="J327" s="363"/>
      <c r="K327" s="363"/>
      <c r="L327" s="363"/>
      <c r="M327" s="363"/>
      <c r="N327" s="363"/>
      <c r="O327" s="363"/>
      <c r="P327" s="363"/>
      <c r="Q327" s="363"/>
      <c r="R327" s="363"/>
      <c r="S327" s="363"/>
      <c r="T327" s="363"/>
      <c r="U327" s="363"/>
      <c r="V327" s="363"/>
      <c r="W327" s="363"/>
      <c r="X327" s="363"/>
      <c r="Y327" s="363"/>
      <c r="Z327" s="363"/>
    </row>
    <row r="328" spans="1:26" ht="13.5" customHeight="1" x14ac:dyDescent="0.2">
      <c r="A328" s="386">
        <f t="shared" si="0"/>
        <v>29</v>
      </c>
      <c r="B328" s="387">
        <f t="shared" si="4"/>
        <v>343</v>
      </c>
      <c r="C328" s="398">
        <f t="shared" si="5"/>
        <v>56554</v>
      </c>
      <c r="D328" s="389">
        <f t="shared" si="6"/>
        <v>3.8671714719384909E-9</v>
      </c>
      <c r="E328" s="389">
        <f t="shared" si="1"/>
        <v>2.0141518083012972E-11</v>
      </c>
      <c r="F328" s="389">
        <f>($C$14-E328)*(B328&lt;$C$9*12+$B$22)*(B328&gt;INPUTS!$R$20*12+$B$22-1)</f>
        <v>0</v>
      </c>
      <c r="G328" s="389">
        <f t="shared" si="2"/>
        <v>3.8671714719384909E-9</v>
      </c>
      <c r="H328" s="389">
        <f t="shared" si="3"/>
        <v>1929134.6188848068</v>
      </c>
      <c r="I328" s="363"/>
      <c r="J328" s="363"/>
      <c r="K328" s="363"/>
      <c r="L328" s="363"/>
      <c r="M328" s="363"/>
      <c r="N328" s="363"/>
      <c r="O328" s="363"/>
      <c r="P328" s="363"/>
      <c r="Q328" s="363"/>
      <c r="R328" s="363"/>
      <c r="S328" s="363"/>
      <c r="T328" s="363"/>
      <c r="U328" s="363"/>
      <c r="V328" s="363"/>
      <c r="W328" s="363"/>
      <c r="X328" s="363"/>
      <c r="Y328" s="363"/>
      <c r="Z328" s="363"/>
    </row>
    <row r="329" spans="1:26" ht="13.5" customHeight="1" x14ac:dyDescent="0.2">
      <c r="A329" s="386">
        <f t="shared" si="0"/>
        <v>29</v>
      </c>
      <c r="B329" s="387">
        <f t="shared" si="4"/>
        <v>344</v>
      </c>
      <c r="C329" s="398">
        <f t="shared" si="5"/>
        <v>56584</v>
      </c>
      <c r="D329" s="389">
        <f t="shared" si="6"/>
        <v>3.8671714719384909E-9</v>
      </c>
      <c r="E329" s="389">
        <f t="shared" si="1"/>
        <v>2.0141518083012972E-11</v>
      </c>
      <c r="F329" s="389">
        <f>($C$14-E329)*(B329&lt;$C$9*12+$B$22)*(B329&gt;INPUTS!$R$20*12+$B$22-1)</f>
        <v>0</v>
      </c>
      <c r="G329" s="389">
        <f t="shared" si="2"/>
        <v>3.8671714719384909E-9</v>
      </c>
      <c r="H329" s="389">
        <f t="shared" si="3"/>
        <v>1929134.6188848068</v>
      </c>
      <c r="I329" s="363"/>
      <c r="J329" s="363"/>
      <c r="K329" s="363"/>
      <c r="L329" s="363"/>
      <c r="M329" s="363"/>
      <c r="N329" s="363"/>
      <c r="O329" s="363"/>
      <c r="P329" s="363"/>
      <c r="Q329" s="363"/>
      <c r="R329" s="363"/>
      <c r="S329" s="363"/>
      <c r="T329" s="363"/>
      <c r="U329" s="363"/>
      <c r="V329" s="363"/>
      <c r="W329" s="363"/>
      <c r="X329" s="363"/>
      <c r="Y329" s="363"/>
      <c r="Z329" s="363"/>
    </row>
    <row r="330" spans="1:26" ht="13.5" customHeight="1" x14ac:dyDescent="0.2">
      <c r="A330" s="386">
        <f t="shared" si="0"/>
        <v>29</v>
      </c>
      <c r="B330" s="387">
        <f t="shared" si="4"/>
        <v>345</v>
      </c>
      <c r="C330" s="398">
        <f t="shared" si="5"/>
        <v>56615</v>
      </c>
      <c r="D330" s="389">
        <f t="shared" si="6"/>
        <v>3.8671714719384909E-9</v>
      </c>
      <c r="E330" s="389">
        <f t="shared" si="1"/>
        <v>2.0141518083012972E-11</v>
      </c>
      <c r="F330" s="389">
        <f>($C$14-E330)*(B330&lt;$C$9*12+$B$22)*(B330&gt;INPUTS!$R$20*12+$B$22-1)</f>
        <v>0</v>
      </c>
      <c r="G330" s="389">
        <f t="shared" si="2"/>
        <v>3.8671714719384909E-9</v>
      </c>
      <c r="H330" s="389">
        <f t="shared" si="3"/>
        <v>1929134.6188848068</v>
      </c>
      <c r="I330" s="363"/>
      <c r="J330" s="363"/>
      <c r="K330" s="363"/>
      <c r="L330" s="363"/>
      <c r="M330" s="363"/>
      <c r="N330" s="363"/>
      <c r="O330" s="363"/>
      <c r="P330" s="363"/>
      <c r="Q330" s="363"/>
      <c r="R330" s="363"/>
      <c r="S330" s="363"/>
      <c r="T330" s="363"/>
      <c r="U330" s="363"/>
      <c r="V330" s="363"/>
      <c r="W330" s="363"/>
      <c r="X330" s="363"/>
      <c r="Y330" s="363"/>
      <c r="Z330" s="363"/>
    </row>
    <row r="331" spans="1:26" ht="13.5" customHeight="1" x14ac:dyDescent="0.2">
      <c r="A331" s="386">
        <f t="shared" si="0"/>
        <v>29</v>
      </c>
      <c r="B331" s="387">
        <f t="shared" si="4"/>
        <v>346</v>
      </c>
      <c r="C331" s="398">
        <f t="shared" si="5"/>
        <v>56646</v>
      </c>
      <c r="D331" s="389">
        <f t="shared" si="6"/>
        <v>3.8671714719384909E-9</v>
      </c>
      <c r="E331" s="389">
        <f t="shared" si="1"/>
        <v>2.0141518083012972E-11</v>
      </c>
      <c r="F331" s="389">
        <f>($C$14-E331)*(B331&lt;$C$9*12+$B$22)*(B331&gt;INPUTS!$R$20*12+$B$22-1)</f>
        <v>0</v>
      </c>
      <c r="G331" s="389">
        <f t="shared" si="2"/>
        <v>3.8671714719384909E-9</v>
      </c>
      <c r="H331" s="389">
        <f t="shared" si="3"/>
        <v>1929134.6188848068</v>
      </c>
      <c r="I331" s="363"/>
      <c r="J331" s="363"/>
      <c r="K331" s="363"/>
      <c r="L331" s="363"/>
      <c r="M331" s="363"/>
      <c r="N331" s="363"/>
      <c r="O331" s="363"/>
      <c r="P331" s="363"/>
      <c r="Q331" s="363"/>
      <c r="R331" s="363"/>
      <c r="S331" s="363"/>
      <c r="T331" s="363"/>
      <c r="U331" s="363"/>
      <c r="V331" s="363"/>
      <c r="W331" s="363"/>
      <c r="X331" s="363"/>
      <c r="Y331" s="363"/>
      <c r="Z331" s="363"/>
    </row>
    <row r="332" spans="1:26" ht="13.5" customHeight="1" x14ac:dyDescent="0.2">
      <c r="A332" s="386">
        <f t="shared" si="0"/>
        <v>29</v>
      </c>
      <c r="B332" s="387">
        <f t="shared" si="4"/>
        <v>347</v>
      </c>
      <c r="C332" s="398">
        <f t="shared" si="5"/>
        <v>56674</v>
      </c>
      <c r="D332" s="389">
        <f t="shared" si="6"/>
        <v>3.8671714719384909E-9</v>
      </c>
      <c r="E332" s="389">
        <f t="shared" si="1"/>
        <v>2.0141518083012972E-11</v>
      </c>
      <c r="F332" s="389">
        <f>($C$14-E332)*(B332&lt;$C$9*12+$B$22)*(B332&gt;INPUTS!$R$20*12+$B$22-1)</f>
        <v>0</v>
      </c>
      <c r="G332" s="389">
        <f t="shared" si="2"/>
        <v>3.8671714719384909E-9</v>
      </c>
      <c r="H332" s="389">
        <f t="shared" si="3"/>
        <v>1929134.6188848068</v>
      </c>
      <c r="I332" s="363"/>
      <c r="J332" s="363"/>
      <c r="K332" s="363"/>
      <c r="L332" s="363"/>
      <c r="M332" s="363"/>
      <c r="N332" s="363"/>
      <c r="O332" s="363"/>
      <c r="P332" s="363"/>
      <c r="Q332" s="363"/>
      <c r="R332" s="363"/>
      <c r="S332" s="363"/>
      <c r="T332" s="363"/>
      <c r="U332" s="363"/>
      <c r="V332" s="363"/>
      <c r="W332" s="363"/>
      <c r="X332" s="363"/>
      <c r="Y332" s="363"/>
      <c r="Z332" s="363"/>
    </row>
    <row r="333" spans="1:26" ht="13.5" customHeight="1" x14ac:dyDescent="0.2">
      <c r="A333" s="386">
        <f t="shared" si="0"/>
        <v>29</v>
      </c>
      <c r="B333" s="387">
        <f t="shared" si="4"/>
        <v>348</v>
      </c>
      <c r="C333" s="398">
        <f t="shared" si="5"/>
        <v>56705</v>
      </c>
      <c r="D333" s="389">
        <f t="shared" si="6"/>
        <v>3.8671714719384909E-9</v>
      </c>
      <c r="E333" s="389">
        <f t="shared" si="1"/>
        <v>2.0141518083012972E-11</v>
      </c>
      <c r="F333" s="389">
        <f>($C$14-E333)*(B333&lt;$C$9*12+$B$22)*(B333&gt;INPUTS!$R$20*12+$B$22-1)</f>
        <v>0</v>
      </c>
      <c r="G333" s="389">
        <f t="shared" si="2"/>
        <v>3.8671714719384909E-9</v>
      </c>
      <c r="H333" s="389">
        <f t="shared" si="3"/>
        <v>1929134.6188848068</v>
      </c>
      <c r="I333" s="363"/>
      <c r="J333" s="363"/>
      <c r="K333" s="363"/>
      <c r="L333" s="363"/>
      <c r="M333" s="363"/>
      <c r="N333" s="363"/>
      <c r="O333" s="363"/>
      <c r="P333" s="363"/>
      <c r="Q333" s="363"/>
      <c r="R333" s="363"/>
      <c r="S333" s="363"/>
      <c r="T333" s="363"/>
      <c r="U333" s="363"/>
      <c r="V333" s="363"/>
      <c r="W333" s="363"/>
      <c r="X333" s="363"/>
      <c r="Y333" s="363"/>
      <c r="Z333" s="363"/>
    </row>
    <row r="334" spans="1:26" ht="13.5" customHeight="1" x14ac:dyDescent="0.2">
      <c r="A334" s="386">
        <f t="shared" si="0"/>
        <v>30</v>
      </c>
      <c r="B334" s="387">
        <f t="shared" si="4"/>
        <v>349</v>
      </c>
      <c r="C334" s="398">
        <f t="shared" si="5"/>
        <v>56735</v>
      </c>
      <c r="D334" s="389">
        <f t="shared" si="6"/>
        <v>3.8671714719384909E-9</v>
      </c>
      <c r="E334" s="389">
        <f t="shared" si="1"/>
        <v>2.0141518083012972E-11</v>
      </c>
      <c r="F334" s="389">
        <f>($C$14-E334)*(B334&lt;$C$9*12+$B$22)*(B334&gt;INPUTS!$R$20*12+$B$22-1)</f>
        <v>0</v>
      </c>
      <c r="G334" s="389">
        <f t="shared" si="2"/>
        <v>3.8671714719384909E-9</v>
      </c>
      <c r="H334" s="389">
        <f t="shared" si="3"/>
        <v>1929134.6188848068</v>
      </c>
      <c r="I334" s="363"/>
      <c r="J334" s="363"/>
      <c r="K334" s="363"/>
      <c r="L334" s="363"/>
      <c r="M334" s="363"/>
      <c r="N334" s="363"/>
      <c r="O334" s="363"/>
      <c r="P334" s="363"/>
      <c r="Q334" s="363"/>
      <c r="R334" s="363"/>
      <c r="S334" s="363"/>
      <c r="T334" s="363"/>
      <c r="U334" s="363"/>
      <c r="V334" s="363"/>
      <c r="W334" s="363"/>
      <c r="X334" s="363"/>
      <c r="Y334" s="363"/>
      <c r="Z334" s="363"/>
    </row>
    <row r="335" spans="1:26" ht="13.5" customHeight="1" x14ac:dyDescent="0.2">
      <c r="A335" s="386">
        <f t="shared" si="0"/>
        <v>30</v>
      </c>
      <c r="B335" s="387">
        <f t="shared" si="4"/>
        <v>350</v>
      </c>
      <c r="C335" s="398">
        <f t="shared" si="5"/>
        <v>56766</v>
      </c>
      <c r="D335" s="389">
        <f t="shared" si="6"/>
        <v>3.8671714719384909E-9</v>
      </c>
      <c r="E335" s="389">
        <f t="shared" si="1"/>
        <v>2.0141518083012972E-11</v>
      </c>
      <c r="F335" s="389">
        <f>($C$14-E335)*(B335&lt;$C$9*12+$B$22)*(B335&gt;INPUTS!$R$20*12+$B$22-1)</f>
        <v>0</v>
      </c>
      <c r="G335" s="389">
        <f t="shared" si="2"/>
        <v>3.8671714719384909E-9</v>
      </c>
      <c r="H335" s="389">
        <f t="shared" si="3"/>
        <v>1929134.6188848068</v>
      </c>
      <c r="I335" s="363"/>
      <c r="J335" s="363"/>
      <c r="K335" s="363"/>
      <c r="L335" s="363"/>
      <c r="M335" s="363"/>
      <c r="N335" s="363"/>
      <c r="O335" s="363"/>
      <c r="P335" s="363"/>
      <c r="Q335" s="363"/>
      <c r="R335" s="363"/>
      <c r="S335" s="363"/>
      <c r="T335" s="363"/>
      <c r="U335" s="363"/>
      <c r="V335" s="363"/>
      <c r="W335" s="363"/>
      <c r="X335" s="363"/>
      <c r="Y335" s="363"/>
      <c r="Z335" s="363"/>
    </row>
    <row r="336" spans="1:26" ht="13.5" customHeight="1" x14ac:dyDescent="0.2">
      <c r="A336" s="386">
        <f t="shared" si="0"/>
        <v>30</v>
      </c>
      <c r="B336" s="387">
        <f t="shared" si="4"/>
        <v>351</v>
      </c>
      <c r="C336" s="398">
        <f t="shared" si="5"/>
        <v>56796</v>
      </c>
      <c r="D336" s="389">
        <f t="shared" si="6"/>
        <v>3.8671714719384909E-9</v>
      </c>
      <c r="E336" s="389">
        <f t="shared" si="1"/>
        <v>2.0141518083012972E-11</v>
      </c>
      <c r="F336" s="389">
        <f>($C$14-E336)*(B336&lt;$C$9*12+$B$22)*(B336&gt;INPUTS!$R$20*12+$B$22-1)</f>
        <v>0</v>
      </c>
      <c r="G336" s="389">
        <f t="shared" si="2"/>
        <v>3.8671714719384909E-9</v>
      </c>
      <c r="H336" s="389">
        <f t="shared" si="3"/>
        <v>1929134.6188848068</v>
      </c>
      <c r="I336" s="363"/>
      <c r="J336" s="363"/>
      <c r="K336" s="363"/>
      <c r="L336" s="363"/>
      <c r="M336" s="363"/>
      <c r="N336" s="363"/>
      <c r="O336" s="363"/>
      <c r="P336" s="363"/>
      <c r="Q336" s="363"/>
      <c r="R336" s="363"/>
      <c r="S336" s="363"/>
      <c r="T336" s="363"/>
      <c r="U336" s="363"/>
      <c r="V336" s="363"/>
      <c r="W336" s="363"/>
      <c r="X336" s="363"/>
      <c r="Y336" s="363"/>
      <c r="Z336" s="363"/>
    </row>
    <row r="337" spans="1:26" ht="13.5" customHeight="1" x14ac:dyDescent="0.2">
      <c r="A337" s="386">
        <f t="shared" si="0"/>
        <v>30</v>
      </c>
      <c r="B337" s="387">
        <f t="shared" si="4"/>
        <v>352</v>
      </c>
      <c r="C337" s="398">
        <f t="shared" si="5"/>
        <v>56827</v>
      </c>
      <c r="D337" s="389">
        <f t="shared" si="6"/>
        <v>3.8671714719384909E-9</v>
      </c>
      <c r="E337" s="389">
        <f t="shared" si="1"/>
        <v>2.0141518083012972E-11</v>
      </c>
      <c r="F337" s="389">
        <f>($C$14-E337)*(B337&lt;$C$9*12+$B$22)*(B337&gt;INPUTS!$R$20*12+$B$22-1)</f>
        <v>0</v>
      </c>
      <c r="G337" s="389">
        <f t="shared" si="2"/>
        <v>3.8671714719384909E-9</v>
      </c>
      <c r="H337" s="389">
        <f t="shared" si="3"/>
        <v>1929134.6188848068</v>
      </c>
      <c r="I337" s="363"/>
      <c r="J337" s="363"/>
      <c r="K337" s="363"/>
      <c r="L337" s="363"/>
      <c r="M337" s="363"/>
      <c r="N337" s="363"/>
      <c r="O337" s="363"/>
      <c r="P337" s="363"/>
      <c r="Q337" s="363"/>
      <c r="R337" s="363"/>
      <c r="S337" s="363"/>
      <c r="T337" s="363"/>
      <c r="U337" s="363"/>
      <c r="V337" s="363"/>
      <c r="W337" s="363"/>
      <c r="X337" s="363"/>
      <c r="Y337" s="363"/>
      <c r="Z337" s="363"/>
    </row>
    <row r="338" spans="1:26" ht="13.5" customHeight="1" x14ac:dyDescent="0.2">
      <c r="A338" s="386">
        <f t="shared" si="0"/>
        <v>30</v>
      </c>
      <c r="B338" s="387">
        <f t="shared" si="4"/>
        <v>353</v>
      </c>
      <c r="C338" s="398">
        <f t="shared" si="5"/>
        <v>56858</v>
      </c>
      <c r="D338" s="389">
        <f t="shared" si="6"/>
        <v>3.8671714719384909E-9</v>
      </c>
      <c r="E338" s="389">
        <f t="shared" si="1"/>
        <v>2.0141518083012972E-11</v>
      </c>
      <c r="F338" s="389">
        <f>($C$14-E338)*(B338&lt;$C$9*12+$B$22)*(B338&gt;INPUTS!$R$20*12+$B$22-1)</f>
        <v>0</v>
      </c>
      <c r="G338" s="389">
        <f t="shared" si="2"/>
        <v>3.8671714719384909E-9</v>
      </c>
      <c r="H338" s="389">
        <f t="shared" si="3"/>
        <v>1929134.6188848068</v>
      </c>
      <c r="I338" s="363"/>
      <c r="J338" s="363"/>
      <c r="K338" s="363"/>
      <c r="L338" s="363"/>
      <c r="M338" s="363"/>
      <c r="N338" s="363"/>
      <c r="O338" s="363"/>
      <c r="P338" s="363"/>
      <c r="Q338" s="363"/>
      <c r="R338" s="363"/>
      <c r="S338" s="363"/>
      <c r="T338" s="363"/>
      <c r="U338" s="363"/>
      <c r="V338" s="363"/>
      <c r="W338" s="363"/>
      <c r="X338" s="363"/>
      <c r="Y338" s="363"/>
      <c r="Z338" s="363"/>
    </row>
    <row r="339" spans="1:26" ht="13.5" customHeight="1" x14ac:dyDescent="0.2">
      <c r="A339" s="386">
        <f t="shared" si="0"/>
        <v>30</v>
      </c>
      <c r="B339" s="387">
        <f t="shared" si="4"/>
        <v>354</v>
      </c>
      <c r="C339" s="398">
        <f t="shared" si="5"/>
        <v>56888</v>
      </c>
      <c r="D339" s="389">
        <f t="shared" si="6"/>
        <v>3.8671714719384909E-9</v>
      </c>
      <c r="E339" s="389">
        <f t="shared" si="1"/>
        <v>2.0141518083012972E-11</v>
      </c>
      <c r="F339" s="389">
        <f>($C$14-E339)*(B339&lt;$C$9*12+$B$22)*(B339&gt;INPUTS!$R$20*12+$B$22-1)</f>
        <v>0</v>
      </c>
      <c r="G339" s="389">
        <f t="shared" si="2"/>
        <v>3.8671714719384909E-9</v>
      </c>
      <c r="H339" s="389">
        <f t="shared" si="3"/>
        <v>1929134.6188848068</v>
      </c>
      <c r="I339" s="363"/>
      <c r="J339" s="363"/>
      <c r="K339" s="363"/>
      <c r="L339" s="363"/>
      <c r="M339" s="363"/>
      <c r="N339" s="363"/>
      <c r="O339" s="363"/>
      <c r="P339" s="363"/>
      <c r="Q339" s="363"/>
      <c r="R339" s="363"/>
      <c r="S339" s="363"/>
      <c r="T339" s="363"/>
      <c r="U339" s="363"/>
      <c r="V339" s="363"/>
      <c r="W339" s="363"/>
      <c r="X339" s="363"/>
      <c r="Y339" s="363"/>
      <c r="Z339" s="363"/>
    </row>
    <row r="340" spans="1:26" ht="13.5" customHeight="1" x14ac:dyDescent="0.2">
      <c r="A340" s="386">
        <f t="shared" si="0"/>
        <v>30</v>
      </c>
      <c r="B340" s="387">
        <f t="shared" si="4"/>
        <v>355</v>
      </c>
      <c r="C340" s="398">
        <f t="shared" si="5"/>
        <v>56919</v>
      </c>
      <c r="D340" s="389">
        <f t="shared" si="6"/>
        <v>3.8671714719384909E-9</v>
      </c>
      <c r="E340" s="389">
        <f t="shared" si="1"/>
        <v>2.0141518083012972E-11</v>
      </c>
      <c r="F340" s="389">
        <f>($C$14-E340)*(B340&lt;$C$9*12+$B$22)*(B340&gt;INPUTS!$R$20*12+$B$22-1)</f>
        <v>0</v>
      </c>
      <c r="G340" s="389">
        <f t="shared" si="2"/>
        <v>3.8671714719384909E-9</v>
      </c>
      <c r="H340" s="389">
        <f t="shared" si="3"/>
        <v>1929134.6188848068</v>
      </c>
      <c r="I340" s="363"/>
      <c r="J340" s="363"/>
      <c r="K340" s="363"/>
      <c r="L340" s="363"/>
      <c r="M340" s="363"/>
      <c r="N340" s="363"/>
      <c r="O340" s="363"/>
      <c r="P340" s="363"/>
      <c r="Q340" s="363"/>
      <c r="R340" s="363"/>
      <c r="S340" s="363"/>
      <c r="T340" s="363"/>
      <c r="U340" s="363"/>
      <c r="V340" s="363"/>
      <c r="W340" s="363"/>
      <c r="X340" s="363"/>
      <c r="Y340" s="363"/>
      <c r="Z340" s="363"/>
    </row>
    <row r="341" spans="1:26" ht="13.5" customHeight="1" x14ac:dyDescent="0.2">
      <c r="A341" s="386">
        <f t="shared" si="0"/>
        <v>30</v>
      </c>
      <c r="B341" s="387">
        <f t="shared" si="4"/>
        <v>356</v>
      </c>
      <c r="C341" s="398">
        <f t="shared" si="5"/>
        <v>56949</v>
      </c>
      <c r="D341" s="389">
        <f t="shared" si="6"/>
        <v>3.8671714719384909E-9</v>
      </c>
      <c r="E341" s="389">
        <f t="shared" si="1"/>
        <v>2.0141518083012972E-11</v>
      </c>
      <c r="F341" s="389">
        <f>($C$14-E341)*(B341&lt;$C$9*12+$B$22)*(B341&gt;INPUTS!$R$20*12+$B$22-1)</f>
        <v>0</v>
      </c>
      <c r="G341" s="389">
        <f t="shared" si="2"/>
        <v>3.8671714719384909E-9</v>
      </c>
      <c r="H341" s="389">
        <f t="shared" si="3"/>
        <v>1929134.6188848068</v>
      </c>
      <c r="I341" s="363"/>
      <c r="J341" s="363"/>
      <c r="K341" s="363"/>
      <c r="L341" s="363"/>
      <c r="M341" s="363"/>
      <c r="N341" s="363"/>
      <c r="O341" s="363"/>
      <c r="P341" s="363"/>
      <c r="Q341" s="363"/>
      <c r="R341" s="363"/>
      <c r="S341" s="363"/>
      <c r="T341" s="363"/>
      <c r="U341" s="363"/>
      <c r="V341" s="363"/>
      <c r="W341" s="363"/>
      <c r="X341" s="363"/>
      <c r="Y341" s="363"/>
      <c r="Z341" s="363"/>
    </row>
    <row r="342" spans="1:26" ht="13.5" customHeight="1" x14ac:dyDescent="0.2">
      <c r="A342" s="386">
        <f t="shared" si="0"/>
        <v>30</v>
      </c>
      <c r="B342" s="387">
        <f t="shared" si="4"/>
        <v>357</v>
      </c>
      <c r="C342" s="398">
        <f t="shared" si="5"/>
        <v>56980</v>
      </c>
      <c r="D342" s="389">
        <f t="shared" si="6"/>
        <v>3.8671714719384909E-9</v>
      </c>
      <c r="E342" s="389">
        <f t="shared" si="1"/>
        <v>2.0141518083012972E-11</v>
      </c>
      <c r="F342" s="389">
        <f>($C$14-E342)*(B342&lt;$C$9*12+$B$22)*(B342&gt;INPUTS!$R$20*12+$B$22-1)</f>
        <v>0</v>
      </c>
      <c r="G342" s="389">
        <f t="shared" si="2"/>
        <v>3.8671714719384909E-9</v>
      </c>
      <c r="H342" s="389">
        <f t="shared" si="3"/>
        <v>1929134.6188848068</v>
      </c>
      <c r="I342" s="363"/>
      <c r="J342" s="363"/>
      <c r="K342" s="363"/>
      <c r="L342" s="363"/>
      <c r="M342" s="363"/>
      <c r="N342" s="363"/>
      <c r="O342" s="363"/>
      <c r="P342" s="363"/>
      <c r="Q342" s="363"/>
      <c r="R342" s="363"/>
      <c r="S342" s="363"/>
      <c r="T342" s="363"/>
      <c r="U342" s="363"/>
      <c r="V342" s="363"/>
      <c r="W342" s="363"/>
      <c r="X342" s="363"/>
      <c r="Y342" s="363"/>
      <c r="Z342" s="363"/>
    </row>
    <row r="343" spans="1:26" ht="13.5" customHeight="1" x14ac:dyDescent="0.2">
      <c r="A343" s="386">
        <f t="shared" si="0"/>
        <v>30</v>
      </c>
      <c r="B343" s="387">
        <f t="shared" si="4"/>
        <v>358</v>
      </c>
      <c r="C343" s="398">
        <f t="shared" si="5"/>
        <v>57011</v>
      </c>
      <c r="D343" s="389">
        <f t="shared" si="6"/>
        <v>3.8671714719384909E-9</v>
      </c>
      <c r="E343" s="389">
        <f t="shared" si="1"/>
        <v>2.0141518083012972E-11</v>
      </c>
      <c r="F343" s="389">
        <f>($C$14-E343)*(B343&lt;$C$9*12+$B$22)*(B343&gt;INPUTS!$R$20*12+$B$22-1)</f>
        <v>0</v>
      </c>
      <c r="G343" s="389">
        <f t="shared" si="2"/>
        <v>3.8671714719384909E-9</v>
      </c>
      <c r="H343" s="389">
        <f t="shared" si="3"/>
        <v>1929134.6188848068</v>
      </c>
      <c r="I343" s="363"/>
      <c r="J343" s="363"/>
      <c r="K343" s="363"/>
      <c r="L343" s="363"/>
      <c r="M343" s="363"/>
      <c r="N343" s="363"/>
      <c r="O343" s="363"/>
      <c r="P343" s="363"/>
      <c r="Q343" s="363"/>
      <c r="R343" s="363"/>
      <c r="S343" s="363"/>
      <c r="T343" s="363"/>
      <c r="U343" s="363"/>
      <c r="V343" s="363"/>
      <c r="W343" s="363"/>
      <c r="X343" s="363"/>
      <c r="Y343" s="363"/>
      <c r="Z343" s="363"/>
    </row>
    <row r="344" spans="1:26" ht="13.5" customHeight="1" x14ac:dyDescent="0.2">
      <c r="A344" s="386">
        <f t="shared" si="0"/>
        <v>30</v>
      </c>
      <c r="B344" s="387">
        <f t="shared" si="4"/>
        <v>359</v>
      </c>
      <c r="C344" s="398">
        <f t="shared" si="5"/>
        <v>57040</v>
      </c>
      <c r="D344" s="389">
        <f t="shared" si="6"/>
        <v>3.8671714719384909E-9</v>
      </c>
      <c r="E344" s="389">
        <f t="shared" si="1"/>
        <v>2.0141518083012972E-11</v>
      </c>
      <c r="F344" s="389">
        <f>($C$14-E344)*(B344&lt;$C$9*12+$B$22)*(B344&gt;INPUTS!$R$20*12+$B$22-1)</f>
        <v>0</v>
      </c>
      <c r="G344" s="389">
        <f t="shared" si="2"/>
        <v>3.8671714719384909E-9</v>
      </c>
      <c r="H344" s="389">
        <f t="shared" si="3"/>
        <v>1929134.6188848068</v>
      </c>
      <c r="I344" s="363"/>
      <c r="J344" s="363"/>
      <c r="K344" s="363"/>
      <c r="L344" s="363"/>
      <c r="M344" s="363"/>
      <c r="N344" s="363"/>
      <c r="O344" s="363"/>
      <c r="P344" s="363"/>
      <c r="Q344" s="363"/>
      <c r="R344" s="363"/>
      <c r="S344" s="363"/>
      <c r="T344" s="363"/>
      <c r="U344" s="363"/>
      <c r="V344" s="363"/>
      <c r="W344" s="363"/>
      <c r="X344" s="363"/>
      <c r="Y344" s="363"/>
      <c r="Z344" s="363"/>
    </row>
    <row r="345" spans="1:26" ht="13.5" customHeight="1" x14ac:dyDescent="0.2">
      <c r="A345" s="386">
        <f t="shared" si="0"/>
        <v>30</v>
      </c>
      <c r="B345" s="387">
        <f t="shared" si="4"/>
        <v>360</v>
      </c>
      <c r="C345" s="398">
        <f t="shared" si="5"/>
        <v>57071</v>
      </c>
      <c r="D345" s="389">
        <f t="shared" si="6"/>
        <v>3.8671714719384909E-9</v>
      </c>
      <c r="E345" s="389">
        <f t="shared" si="1"/>
        <v>2.0141518083012972E-11</v>
      </c>
      <c r="F345" s="389">
        <f>($C$14-E345)*(B345&lt;$C$9*12+$B$22)*(B345&gt;INPUTS!$R$20*12+$B$22-1)</f>
        <v>0</v>
      </c>
      <c r="G345" s="389">
        <f t="shared" si="2"/>
        <v>3.8671714719384909E-9</v>
      </c>
      <c r="H345" s="389">
        <f t="shared" si="3"/>
        <v>1929134.6188848068</v>
      </c>
      <c r="I345" s="363"/>
      <c r="J345" s="363"/>
      <c r="K345" s="363"/>
      <c r="L345" s="363"/>
      <c r="M345" s="363"/>
      <c r="N345" s="363"/>
      <c r="O345" s="363"/>
      <c r="P345" s="363"/>
      <c r="Q345" s="363"/>
      <c r="R345" s="363"/>
      <c r="S345" s="363"/>
      <c r="T345" s="363"/>
      <c r="U345" s="363"/>
      <c r="V345" s="363"/>
      <c r="W345" s="363"/>
      <c r="X345" s="363"/>
      <c r="Y345" s="363"/>
      <c r="Z345" s="363"/>
    </row>
    <row r="346" spans="1:26" ht="13.5" customHeight="1" x14ac:dyDescent="0.2">
      <c r="A346" s="386">
        <f t="shared" si="0"/>
        <v>31</v>
      </c>
      <c r="B346" s="387">
        <f t="shared" si="4"/>
        <v>361</v>
      </c>
      <c r="C346" s="398">
        <f t="shared" si="5"/>
        <v>57101</v>
      </c>
      <c r="D346" s="389">
        <f t="shared" si="6"/>
        <v>3.8671714719384909E-9</v>
      </c>
      <c r="E346" s="389">
        <f t="shared" si="1"/>
        <v>2.0141518083012972E-11</v>
      </c>
      <c r="F346" s="389">
        <f>($C$14-E346)*(B346&lt;$C$9*12+$B$22)*(B346&gt;INPUTS!$R$20*12+$B$22-1)</f>
        <v>0</v>
      </c>
      <c r="G346" s="389">
        <f t="shared" si="2"/>
        <v>3.8671714719384909E-9</v>
      </c>
      <c r="H346" s="389">
        <f t="shared" si="3"/>
        <v>1929134.6188848068</v>
      </c>
      <c r="I346" s="363"/>
      <c r="J346" s="363"/>
      <c r="K346" s="363"/>
      <c r="L346" s="363"/>
      <c r="M346" s="363"/>
      <c r="N346" s="363"/>
      <c r="O346" s="363"/>
      <c r="P346" s="363"/>
      <c r="Q346" s="363"/>
      <c r="R346" s="363"/>
      <c r="S346" s="363"/>
      <c r="T346" s="363"/>
      <c r="U346" s="363"/>
      <c r="V346" s="363"/>
      <c r="W346" s="363"/>
      <c r="X346" s="363"/>
      <c r="Y346" s="363"/>
      <c r="Z346" s="363"/>
    </row>
    <row r="347" spans="1:26" ht="13.5" customHeight="1" x14ac:dyDescent="0.2">
      <c r="A347" s="386">
        <f t="shared" si="0"/>
        <v>31</v>
      </c>
      <c r="B347" s="387">
        <f t="shared" si="4"/>
        <v>362</v>
      </c>
      <c r="C347" s="398">
        <f t="shared" si="5"/>
        <v>57132</v>
      </c>
      <c r="D347" s="389">
        <f t="shared" si="6"/>
        <v>3.8671714719384909E-9</v>
      </c>
      <c r="E347" s="389">
        <f t="shared" si="1"/>
        <v>2.0141518083012972E-11</v>
      </c>
      <c r="F347" s="389">
        <f>($C$14-E347)*(B347&lt;$C$9*12+$B$22)*(B347&gt;INPUTS!$R$20*12+$B$22-1)</f>
        <v>0</v>
      </c>
      <c r="G347" s="389">
        <f t="shared" si="2"/>
        <v>3.8671714719384909E-9</v>
      </c>
      <c r="H347" s="389">
        <f t="shared" si="3"/>
        <v>1929134.6188848068</v>
      </c>
      <c r="I347" s="363"/>
      <c r="J347" s="363"/>
      <c r="K347" s="363"/>
      <c r="L347" s="363"/>
      <c r="M347" s="363"/>
      <c r="N347" s="363"/>
      <c r="O347" s="363"/>
      <c r="P347" s="363"/>
      <c r="Q347" s="363"/>
      <c r="R347" s="363"/>
      <c r="S347" s="363"/>
      <c r="T347" s="363"/>
      <c r="U347" s="363"/>
      <c r="V347" s="363"/>
      <c r="W347" s="363"/>
      <c r="X347" s="363"/>
      <c r="Y347" s="363"/>
      <c r="Z347" s="363"/>
    </row>
    <row r="348" spans="1:26" ht="13.5" customHeight="1" x14ac:dyDescent="0.2">
      <c r="A348" s="386">
        <f t="shared" si="0"/>
        <v>31</v>
      </c>
      <c r="B348" s="387">
        <f t="shared" si="4"/>
        <v>363</v>
      </c>
      <c r="C348" s="398">
        <f t="shared" si="5"/>
        <v>57162</v>
      </c>
      <c r="D348" s="389">
        <f t="shared" si="6"/>
        <v>3.8671714719384909E-9</v>
      </c>
      <c r="E348" s="389">
        <f t="shared" si="1"/>
        <v>2.0141518083012972E-11</v>
      </c>
      <c r="F348" s="389">
        <f>($C$14-E348)*(B348&lt;$C$9*12+$B$22)*(B348&gt;INPUTS!$R$20*12+$B$22-1)</f>
        <v>0</v>
      </c>
      <c r="G348" s="389">
        <f t="shared" si="2"/>
        <v>3.8671714719384909E-9</v>
      </c>
      <c r="H348" s="389">
        <f t="shared" si="3"/>
        <v>1929134.6188848068</v>
      </c>
      <c r="I348" s="363"/>
      <c r="J348" s="363"/>
      <c r="K348" s="363"/>
      <c r="L348" s="363"/>
      <c r="M348" s="363"/>
      <c r="N348" s="363"/>
      <c r="O348" s="363"/>
      <c r="P348" s="363"/>
      <c r="Q348" s="363"/>
      <c r="R348" s="363"/>
      <c r="S348" s="363"/>
      <c r="T348" s="363"/>
      <c r="U348" s="363"/>
      <c r="V348" s="363"/>
      <c r="W348" s="363"/>
      <c r="X348" s="363"/>
      <c r="Y348" s="363"/>
      <c r="Z348" s="363"/>
    </row>
    <row r="349" spans="1:26" ht="13.5" customHeight="1" x14ac:dyDescent="0.2">
      <c r="A349" s="386">
        <f t="shared" si="0"/>
        <v>31</v>
      </c>
      <c r="B349" s="387">
        <f t="shared" si="4"/>
        <v>364</v>
      </c>
      <c r="C349" s="398">
        <f t="shared" si="5"/>
        <v>57193</v>
      </c>
      <c r="D349" s="389">
        <f t="shared" si="6"/>
        <v>3.8671714719384909E-9</v>
      </c>
      <c r="E349" s="389">
        <f t="shared" si="1"/>
        <v>2.0141518083012972E-11</v>
      </c>
      <c r="F349" s="389">
        <f>($C$14-E349)*(B349&lt;$C$9*12+$B$22)*(B349&gt;INPUTS!$R$20*12+$B$22-1)</f>
        <v>0</v>
      </c>
      <c r="G349" s="389">
        <f t="shared" si="2"/>
        <v>3.8671714719384909E-9</v>
      </c>
      <c r="H349" s="389">
        <f t="shared" si="3"/>
        <v>1929134.6188848068</v>
      </c>
      <c r="I349" s="363"/>
      <c r="J349" s="363"/>
      <c r="K349" s="363"/>
      <c r="L349" s="363"/>
      <c r="M349" s="363"/>
      <c r="N349" s="363"/>
      <c r="O349" s="363"/>
      <c r="P349" s="363"/>
      <c r="Q349" s="363"/>
      <c r="R349" s="363"/>
      <c r="S349" s="363"/>
      <c r="T349" s="363"/>
      <c r="U349" s="363"/>
      <c r="V349" s="363"/>
      <c r="W349" s="363"/>
      <c r="X349" s="363"/>
      <c r="Y349" s="363"/>
      <c r="Z349" s="363"/>
    </row>
    <row r="350" spans="1:26" ht="13.5" customHeight="1" x14ac:dyDescent="0.2">
      <c r="A350" s="386">
        <f t="shared" si="0"/>
        <v>31</v>
      </c>
      <c r="B350" s="387">
        <f t="shared" si="4"/>
        <v>365</v>
      </c>
      <c r="C350" s="398">
        <f t="shared" si="5"/>
        <v>57224</v>
      </c>
      <c r="D350" s="389">
        <f t="shared" si="6"/>
        <v>3.8671714719384909E-9</v>
      </c>
      <c r="E350" s="389">
        <f t="shared" si="1"/>
        <v>2.0141518083012972E-11</v>
      </c>
      <c r="F350" s="389">
        <f>($C$14-E350)*(B350&lt;$C$9*12+$B$22)*(B350&gt;INPUTS!$R$20*12+$B$22-1)</f>
        <v>0</v>
      </c>
      <c r="G350" s="389">
        <f t="shared" si="2"/>
        <v>3.8671714719384909E-9</v>
      </c>
      <c r="H350" s="389">
        <f t="shared" si="3"/>
        <v>1929134.6188848068</v>
      </c>
      <c r="I350" s="363"/>
      <c r="J350" s="363"/>
      <c r="K350" s="363"/>
      <c r="L350" s="363"/>
      <c r="M350" s="363"/>
      <c r="N350" s="363"/>
      <c r="O350" s="363"/>
      <c r="P350" s="363"/>
      <c r="Q350" s="363"/>
      <c r="R350" s="363"/>
      <c r="S350" s="363"/>
      <c r="T350" s="363"/>
      <c r="U350" s="363"/>
      <c r="V350" s="363"/>
      <c r="W350" s="363"/>
      <c r="X350" s="363"/>
      <c r="Y350" s="363"/>
      <c r="Z350" s="363"/>
    </row>
    <row r="351" spans="1:26" ht="13.5" customHeight="1" x14ac:dyDescent="0.2">
      <c r="A351" s="386">
        <f t="shared" si="0"/>
        <v>31</v>
      </c>
      <c r="B351" s="387">
        <f t="shared" si="4"/>
        <v>366</v>
      </c>
      <c r="C351" s="398">
        <f t="shared" si="5"/>
        <v>57254</v>
      </c>
      <c r="D351" s="389">
        <f t="shared" si="6"/>
        <v>3.8671714719384909E-9</v>
      </c>
      <c r="E351" s="389">
        <f t="shared" si="1"/>
        <v>2.0141518083012972E-11</v>
      </c>
      <c r="F351" s="389">
        <f>($C$14-E351)*(B351&lt;$C$9*12+$B$22)*(B351&gt;INPUTS!$R$20*12+$B$22-1)</f>
        <v>0</v>
      </c>
      <c r="G351" s="389">
        <f t="shared" si="2"/>
        <v>3.8671714719384909E-9</v>
      </c>
      <c r="H351" s="389">
        <f t="shared" si="3"/>
        <v>1929134.6188848068</v>
      </c>
      <c r="I351" s="363"/>
      <c r="J351" s="363"/>
      <c r="K351" s="363"/>
      <c r="L351" s="363"/>
      <c r="M351" s="363"/>
      <c r="N351" s="363"/>
      <c r="O351" s="363"/>
      <c r="P351" s="363"/>
      <c r="Q351" s="363"/>
      <c r="R351" s="363"/>
      <c r="S351" s="363"/>
      <c r="T351" s="363"/>
      <c r="U351" s="363"/>
      <c r="V351" s="363"/>
      <c r="W351" s="363"/>
      <c r="X351" s="363"/>
      <c r="Y351" s="363"/>
      <c r="Z351" s="363"/>
    </row>
    <row r="352" spans="1:26" ht="13.5" customHeight="1" x14ac:dyDescent="0.2">
      <c r="A352" s="386">
        <f t="shared" si="0"/>
        <v>31</v>
      </c>
      <c r="B352" s="387">
        <f t="shared" si="4"/>
        <v>367</v>
      </c>
      <c r="C352" s="398">
        <f t="shared" si="5"/>
        <v>57285</v>
      </c>
      <c r="D352" s="389">
        <f t="shared" si="6"/>
        <v>3.8671714719384909E-9</v>
      </c>
      <c r="E352" s="389">
        <f t="shared" si="1"/>
        <v>2.0141518083012972E-11</v>
      </c>
      <c r="F352" s="389">
        <f>($C$14-E352)*(B352&lt;$C$9*12+$B$22)*(B352&gt;INPUTS!$R$20*12+$B$22-1)</f>
        <v>0</v>
      </c>
      <c r="G352" s="389">
        <f t="shared" si="2"/>
        <v>3.8671714719384909E-9</v>
      </c>
      <c r="H352" s="389">
        <f t="shared" si="3"/>
        <v>1929134.6188848068</v>
      </c>
      <c r="I352" s="363"/>
      <c r="J352" s="363"/>
      <c r="K352" s="363"/>
      <c r="L352" s="363"/>
      <c r="M352" s="363"/>
      <c r="N352" s="363"/>
      <c r="O352" s="363"/>
      <c r="P352" s="363"/>
      <c r="Q352" s="363"/>
      <c r="R352" s="363"/>
      <c r="S352" s="363"/>
      <c r="T352" s="363"/>
      <c r="U352" s="363"/>
      <c r="V352" s="363"/>
      <c r="W352" s="363"/>
      <c r="X352" s="363"/>
      <c r="Y352" s="363"/>
      <c r="Z352" s="363"/>
    </row>
    <row r="353" spans="1:26" ht="13.5" customHeight="1" x14ac:dyDescent="0.2">
      <c r="A353" s="386">
        <f t="shared" si="0"/>
        <v>31</v>
      </c>
      <c r="B353" s="387">
        <f t="shared" si="4"/>
        <v>368</v>
      </c>
      <c r="C353" s="398">
        <f t="shared" si="5"/>
        <v>57315</v>
      </c>
      <c r="D353" s="389">
        <f t="shared" si="6"/>
        <v>3.8671714719384909E-9</v>
      </c>
      <c r="E353" s="389">
        <f t="shared" si="1"/>
        <v>2.0141518083012972E-11</v>
      </c>
      <c r="F353" s="389">
        <f>($C$14-E353)*(B353&lt;$C$9*12+$B$22)*(B353&gt;INPUTS!$R$20*12+$B$22-1)</f>
        <v>0</v>
      </c>
      <c r="G353" s="389">
        <f t="shared" si="2"/>
        <v>3.8671714719384909E-9</v>
      </c>
      <c r="H353" s="389">
        <f t="shared" si="3"/>
        <v>1929134.6188848068</v>
      </c>
      <c r="I353" s="363"/>
      <c r="J353" s="363"/>
      <c r="K353" s="363"/>
      <c r="L353" s="363"/>
      <c r="M353" s="363"/>
      <c r="N353" s="363"/>
      <c r="O353" s="363"/>
      <c r="P353" s="363"/>
      <c r="Q353" s="363"/>
      <c r="R353" s="363"/>
      <c r="S353" s="363"/>
      <c r="T353" s="363"/>
      <c r="U353" s="363"/>
      <c r="V353" s="363"/>
      <c r="W353" s="363"/>
      <c r="X353" s="363"/>
      <c r="Y353" s="363"/>
      <c r="Z353" s="363"/>
    </row>
    <row r="354" spans="1:26" ht="13.5" customHeight="1" x14ac:dyDescent="0.2">
      <c r="A354" s="386">
        <f t="shared" si="0"/>
        <v>31</v>
      </c>
      <c r="B354" s="387">
        <f t="shared" si="4"/>
        <v>369</v>
      </c>
      <c r="C354" s="398">
        <f t="shared" si="5"/>
        <v>57346</v>
      </c>
      <c r="D354" s="389">
        <f t="shared" si="6"/>
        <v>3.8671714719384909E-9</v>
      </c>
      <c r="E354" s="389">
        <f t="shared" si="1"/>
        <v>2.0141518083012972E-11</v>
      </c>
      <c r="F354" s="389">
        <f>($C$14-E354)*(B354&lt;$C$9*12+$B$22)*(B354&gt;INPUTS!$R$20*12+$B$22-1)</f>
        <v>0</v>
      </c>
      <c r="G354" s="389">
        <f t="shared" si="2"/>
        <v>3.8671714719384909E-9</v>
      </c>
      <c r="H354" s="389">
        <f t="shared" si="3"/>
        <v>1929134.6188848068</v>
      </c>
      <c r="I354" s="363"/>
      <c r="J354" s="363"/>
      <c r="K354" s="363"/>
      <c r="L354" s="363"/>
      <c r="M354" s="363"/>
      <c r="N354" s="363"/>
      <c r="O354" s="363"/>
      <c r="P354" s="363"/>
      <c r="Q354" s="363"/>
      <c r="R354" s="363"/>
      <c r="S354" s="363"/>
      <c r="T354" s="363"/>
      <c r="U354" s="363"/>
      <c r="V354" s="363"/>
      <c r="W354" s="363"/>
      <c r="X354" s="363"/>
      <c r="Y354" s="363"/>
      <c r="Z354" s="363"/>
    </row>
    <row r="355" spans="1:26" ht="13.5" customHeight="1" x14ac:dyDescent="0.2">
      <c r="A355" s="386">
        <f t="shared" si="0"/>
        <v>31</v>
      </c>
      <c r="B355" s="387">
        <f t="shared" si="4"/>
        <v>370</v>
      </c>
      <c r="C355" s="398">
        <f t="shared" si="5"/>
        <v>57377</v>
      </c>
      <c r="D355" s="389">
        <f t="shared" si="6"/>
        <v>3.8671714719384909E-9</v>
      </c>
      <c r="E355" s="389">
        <f t="shared" si="1"/>
        <v>2.0141518083012972E-11</v>
      </c>
      <c r="F355" s="389">
        <f>($C$14-E355)*(B355&lt;$C$9*12+$B$22)*(B355&gt;INPUTS!$R$20*12+$B$22-1)</f>
        <v>0</v>
      </c>
      <c r="G355" s="389">
        <f t="shared" si="2"/>
        <v>3.8671714719384909E-9</v>
      </c>
      <c r="H355" s="389">
        <f t="shared" si="3"/>
        <v>1929134.6188848068</v>
      </c>
      <c r="I355" s="363"/>
      <c r="J355" s="363"/>
      <c r="K355" s="363"/>
      <c r="L355" s="363"/>
      <c r="M355" s="363"/>
      <c r="N355" s="363"/>
      <c r="O355" s="363"/>
      <c r="P355" s="363"/>
      <c r="Q355" s="363"/>
      <c r="R355" s="363"/>
      <c r="S355" s="363"/>
      <c r="T355" s="363"/>
      <c r="U355" s="363"/>
      <c r="V355" s="363"/>
      <c r="W355" s="363"/>
      <c r="X355" s="363"/>
      <c r="Y355" s="363"/>
      <c r="Z355" s="363"/>
    </row>
    <row r="356" spans="1:26" ht="13.5" customHeight="1" x14ac:dyDescent="0.2">
      <c r="A356" s="386">
        <f t="shared" si="0"/>
        <v>31</v>
      </c>
      <c r="B356" s="387">
        <f t="shared" si="4"/>
        <v>371</v>
      </c>
      <c r="C356" s="398">
        <f t="shared" si="5"/>
        <v>57405</v>
      </c>
      <c r="D356" s="389">
        <f t="shared" si="6"/>
        <v>3.8671714719384909E-9</v>
      </c>
      <c r="E356" s="389">
        <f t="shared" si="1"/>
        <v>2.0141518083012972E-11</v>
      </c>
      <c r="F356" s="389">
        <f>($C$14-E356)*(B356&lt;$C$9*12+$B$22)*(B356&gt;INPUTS!$R$20*12+$B$22-1)</f>
        <v>0</v>
      </c>
      <c r="G356" s="389">
        <f t="shared" si="2"/>
        <v>3.8671714719384909E-9</v>
      </c>
      <c r="H356" s="389">
        <f t="shared" si="3"/>
        <v>1929134.6188848068</v>
      </c>
      <c r="I356" s="363"/>
      <c r="J356" s="363"/>
      <c r="K356" s="363"/>
      <c r="L356" s="363"/>
      <c r="M356" s="363"/>
      <c r="N356" s="363"/>
      <c r="O356" s="363"/>
      <c r="P356" s="363"/>
      <c r="Q356" s="363"/>
      <c r="R356" s="363"/>
      <c r="S356" s="363"/>
      <c r="T356" s="363"/>
      <c r="U356" s="363"/>
      <c r="V356" s="363"/>
      <c r="W356" s="363"/>
      <c r="X356" s="363"/>
      <c r="Y356" s="363"/>
      <c r="Z356" s="363"/>
    </row>
    <row r="357" spans="1:26" ht="13.5" customHeight="1" x14ac:dyDescent="0.2">
      <c r="A357" s="386">
        <f t="shared" si="0"/>
        <v>31</v>
      </c>
      <c r="B357" s="387">
        <f t="shared" si="4"/>
        <v>372</v>
      </c>
      <c r="C357" s="398">
        <f t="shared" si="5"/>
        <v>57436</v>
      </c>
      <c r="D357" s="389">
        <f t="shared" si="6"/>
        <v>3.8671714719384909E-9</v>
      </c>
      <c r="E357" s="389">
        <f t="shared" si="1"/>
        <v>2.0141518083012972E-11</v>
      </c>
      <c r="F357" s="389">
        <f>($C$14-E357)*(B357&lt;$C$9*12+$B$22)*(B357&gt;INPUTS!$R$20*12+$B$22-1)</f>
        <v>0</v>
      </c>
      <c r="G357" s="389">
        <f t="shared" si="2"/>
        <v>3.8671714719384909E-9</v>
      </c>
      <c r="H357" s="389">
        <f t="shared" si="3"/>
        <v>1929134.6188848068</v>
      </c>
      <c r="I357" s="363"/>
      <c r="J357" s="363"/>
      <c r="K357" s="363"/>
      <c r="L357" s="363"/>
      <c r="M357" s="363"/>
      <c r="N357" s="363"/>
      <c r="O357" s="363"/>
      <c r="P357" s="363"/>
      <c r="Q357" s="363"/>
      <c r="R357" s="363"/>
      <c r="S357" s="363"/>
      <c r="T357" s="363"/>
      <c r="U357" s="363"/>
      <c r="V357" s="363"/>
      <c r="W357" s="363"/>
      <c r="X357" s="363"/>
      <c r="Y357" s="363"/>
      <c r="Z357" s="363"/>
    </row>
    <row r="358" spans="1:26" ht="13.5" customHeight="1" x14ac:dyDescent="0.2">
      <c r="A358" s="386">
        <f t="shared" si="0"/>
        <v>32</v>
      </c>
      <c r="B358" s="387">
        <f t="shared" si="4"/>
        <v>373</v>
      </c>
      <c r="C358" s="398">
        <f t="shared" si="5"/>
        <v>57466</v>
      </c>
      <c r="D358" s="389">
        <f t="shared" si="6"/>
        <v>3.8671714719384909E-9</v>
      </c>
      <c r="E358" s="389">
        <f t="shared" si="1"/>
        <v>2.0141518083012972E-11</v>
      </c>
      <c r="F358" s="389">
        <f>($C$14-E358)*(B358&lt;$C$9*12+$B$22)*(B358&gt;INPUTS!$R$20*12+$B$22-1)</f>
        <v>0</v>
      </c>
      <c r="G358" s="389">
        <f t="shared" si="2"/>
        <v>3.8671714719384909E-9</v>
      </c>
      <c r="H358" s="389">
        <f t="shared" si="3"/>
        <v>1929134.6188848068</v>
      </c>
      <c r="I358" s="363"/>
      <c r="J358" s="363"/>
      <c r="K358" s="363"/>
      <c r="L358" s="363"/>
      <c r="M358" s="363"/>
      <c r="N358" s="363"/>
      <c r="O358" s="363"/>
      <c r="P358" s="363"/>
      <c r="Q358" s="363"/>
      <c r="R358" s="363"/>
      <c r="S358" s="363"/>
      <c r="T358" s="363"/>
      <c r="U358" s="363"/>
      <c r="V358" s="363"/>
      <c r="W358" s="363"/>
      <c r="X358" s="363"/>
      <c r="Y358" s="363"/>
      <c r="Z358" s="363"/>
    </row>
    <row r="359" spans="1:26" ht="13.5" customHeight="1" x14ac:dyDescent="0.2">
      <c r="A359" s="386">
        <f t="shared" si="0"/>
        <v>32</v>
      </c>
      <c r="B359" s="387">
        <f t="shared" si="4"/>
        <v>374</v>
      </c>
      <c r="C359" s="398">
        <f t="shared" si="5"/>
        <v>57497</v>
      </c>
      <c r="D359" s="389">
        <f t="shared" si="6"/>
        <v>3.8671714719384909E-9</v>
      </c>
      <c r="E359" s="389">
        <f t="shared" si="1"/>
        <v>2.0141518083012972E-11</v>
      </c>
      <c r="F359" s="389">
        <f>($C$14-E359)*(B359&lt;$C$9*12+$B$22)*(B359&gt;INPUTS!$R$20*12+$B$22-1)</f>
        <v>0</v>
      </c>
      <c r="G359" s="389">
        <f t="shared" si="2"/>
        <v>3.8671714719384909E-9</v>
      </c>
      <c r="H359" s="389">
        <f t="shared" si="3"/>
        <v>1929134.6188848068</v>
      </c>
      <c r="I359" s="363"/>
      <c r="J359" s="363"/>
      <c r="K359" s="363"/>
      <c r="L359" s="363"/>
      <c r="M359" s="363"/>
      <c r="N359" s="363"/>
      <c r="O359" s="363"/>
      <c r="P359" s="363"/>
      <c r="Q359" s="363"/>
      <c r="R359" s="363"/>
      <c r="S359" s="363"/>
      <c r="T359" s="363"/>
      <c r="U359" s="363"/>
      <c r="V359" s="363"/>
      <c r="W359" s="363"/>
      <c r="X359" s="363"/>
      <c r="Y359" s="363"/>
      <c r="Z359" s="363"/>
    </row>
    <row r="360" spans="1:26" ht="13.5" customHeight="1" x14ac:dyDescent="0.2">
      <c r="A360" s="386">
        <f t="shared" si="0"/>
        <v>32</v>
      </c>
      <c r="B360" s="387">
        <f t="shared" si="4"/>
        <v>375</v>
      </c>
      <c r="C360" s="398">
        <f t="shared" si="5"/>
        <v>57527</v>
      </c>
      <c r="D360" s="389">
        <f t="shared" si="6"/>
        <v>3.8671714719384909E-9</v>
      </c>
      <c r="E360" s="389">
        <f t="shared" si="1"/>
        <v>2.0141518083012972E-11</v>
      </c>
      <c r="F360" s="389">
        <f>($C$14-E360)*(B360&lt;$C$9*12+$B$22)*(B360&gt;INPUTS!$R$20*12+$B$22-1)</f>
        <v>0</v>
      </c>
      <c r="G360" s="389">
        <f t="shared" si="2"/>
        <v>3.8671714719384909E-9</v>
      </c>
      <c r="H360" s="389">
        <f t="shared" si="3"/>
        <v>1929134.6188848068</v>
      </c>
      <c r="I360" s="363"/>
      <c r="J360" s="363"/>
      <c r="K360" s="363"/>
      <c r="L360" s="363"/>
      <c r="M360" s="363"/>
      <c r="N360" s="363"/>
      <c r="O360" s="363"/>
      <c r="P360" s="363"/>
      <c r="Q360" s="363"/>
      <c r="R360" s="363"/>
      <c r="S360" s="363"/>
      <c r="T360" s="363"/>
      <c r="U360" s="363"/>
      <c r="V360" s="363"/>
      <c r="W360" s="363"/>
      <c r="X360" s="363"/>
      <c r="Y360" s="363"/>
      <c r="Z360" s="363"/>
    </row>
    <row r="361" spans="1:26" ht="13.5" customHeight="1" x14ac:dyDescent="0.2">
      <c r="A361" s="386">
        <f t="shared" si="0"/>
        <v>32</v>
      </c>
      <c r="B361" s="387">
        <f t="shared" si="4"/>
        <v>376</v>
      </c>
      <c r="C361" s="398">
        <f t="shared" si="5"/>
        <v>57558</v>
      </c>
      <c r="D361" s="389">
        <f t="shared" si="6"/>
        <v>3.8671714719384909E-9</v>
      </c>
      <c r="E361" s="389">
        <f t="shared" si="1"/>
        <v>2.0141518083012972E-11</v>
      </c>
      <c r="F361" s="389">
        <f>($C$14-E361)*(B361&lt;$C$9*12+$B$22)*(B361&gt;INPUTS!$R$20*12+$B$22-1)</f>
        <v>0</v>
      </c>
      <c r="G361" s="389">
        <f t="shared" si="2"/>
        <v>3.8671714719384909E-9</v>
      </c>
      <c r="H361" s="389">
        <f t="shared" si="3"/>
        <v>1929134.6188848068</v>
      </c>
      <c r="I361" s="363"/>
      <c r="J361" s="363"/>
      <c r="K361" s="363"/>
      <c r="L361" s="363"/>
      <c r="M361" s="363"/>
      <c r="N361" s="363"/>
      <c r="O361" s="363"/>
      <c r="P361" s="363"/>
      <c r="Q361" s="363"/>
      <c r="R361" s="363"/>
      <c r="S361" s="363"/>
      <c r="T361" s="363"/>
      <c r="U361" s="363"/>
      <c r="V361" s="363"/>
      <c r="W361" s="363"/>
      <c r="X361" s="363"/>
      <c r="Y361" s="363"/>
      <c r="Z361" s="363"/>
    </row>
    <row r="362" spans="1:26" ht="13.5" customHeight="1" x14ac:dyDescent="0.2">
      <c r="A362" s="386">
        <f t="shared" si="0"/>
        <v>32</v>
      </c>
      <c r="B362" s="387">
        <f t="shared" si="4"/>
        <v>377</v>
      </c>
      <c r="C362" s="398">
        <f t="shared" si="5"/>
        <v>57589</v>
      </c>
      <c r="D362" s="389">
        <f t="shared" si="6"/>
        <v>3.8671714719384909E-9</v>
      </c>
      <c r="E362" s="389">
        <f t="shared" si="1"/>
        <v>2.0141518083012972E-11</v>
      </c>
      <c r="F362" s="389">
        <f>($C$14-E362)*(B362&lt;$C$9*12+$B$22)*(B362&gt;INPUTS!$R$20*12+$B$22-1)</f>
        <v>0</v>
      </c>
      <c r="G362" s="389">
        <f t="shared" si="2"/>
        <v>3.8671714719384909E-9</v>
      </c>
      <c r="H362" s="389">
        <f t="shared" si="3"/>
        <v>1929134.6188848068</v>
      </c>
      <c r="I362" s="363"/>
      <c r="J362" s="363"/>
      <c r="K362" s="363"/>
      <c r="L362" s="363"/>
      <c r="M362" s="363"/>
      <c r="N362" s="363"/>
      <c r="O362" s="363"/>
      <c r="P362" s="363"/>
      <c r="Q362" s="363"/>
      <c r="R362" s="363"/>
      <c r="S362" s="363"/>
      <c r="T362" s="363"/>
      <c r="U362" s="363"/>
      <c r="V362" s="363"/>
      <c r="W362" s="363"/>
      <c r="X362" s="363"/>
      <c r="Y362" s="363"/>
      <c r="Z362" s="363"/>
    </row>
    <row r="363" spans="1:26" ht="13.5" customHeight="1" x14ac:dyDescent="0.2">
      <c r="A363" s="386">
        <f t="shared" si="0"/>
        <v>32</v>
      </c>
      <c r="B363" s="387">
        <f t="shared" si="4"/>
        <v>378</v>
      </c>
      <c r="C363" s="398">
        <f t="shared" si="5"/>
        <v>57619</v>
      </c>
      <c r="D363" s="389">
        <f t="shared" si="6"/>
        <v>3.8671714719384909E-9</v>
      </c>
      <c r="E363" s="389">
        <f t="shared" si="1"/>
        <v>2.0141518083012972E-11</v>
      </c>
      <c r="F363" s="389">
        <f>($C$14-E363)*(B363&lt;$C$9*12+$B$22)*(B363&gt;INPUTS!$R$20*12+$B$22-1)</f>
        <v>0</v>
      </c>
      <c r="G363" s="389">
        <f t="shared" si="2"/>
        <v>3.8671714719384909E-9</v>
      </c>
      <c r="H363" s="389">
        <f t="shared" si="3"/>
        <v>1929134.6188848068</v>
      </c>
      <c r="I363" s="363"/>
      <c r="J363" s="363"/>
      <c r="K363" s="363"/>
      <c r="L363" s="363"/>
      <c r="M363" s="363"/>
      <c r="N363" s="363"/>
      <c r="O363" s="363"/>
      <c r="P363" s="363"/>
      <c r="Q363" s="363"/>
      <c r="R363" s="363"/>
      <c r="S363" s="363"/>
      <c r="T363" s="363"/>
      <c r="U363" s="363"/>
      <c r="V363" s="363"/>
      <c r="W363" s="363"/>
      <c r="X363" s="363"/>
      <c r="Y363" s="363"/>
      <c r="Z363" s="363"/>
    </row>
    <row r="364" spans="1:26" ht="13.5" customHeight="1" x14ac:dyDescent="0.2">
      <c r="A364" s="386">
        <f t="shared" si="0"/>
        <v>32</v>
      </c>
      <c r="B364" s="387">
        <f t="shared" si="4"/>
        <v>379</v>
      </c>
      <c r="C364" s="398">
        <f t="shared" si="5"/>
        <v>57650</v>
      </c>
      <c r="D364" s="389">
        <f t="shared" si="6"/>
        <v>3.8671714719384909E-9</v>
      </c>
      <c r="E364" s="389">
        <f t="shared" si="1"/>
        <v>2.0141518083012972E-11</v>
      </c>
      <c r="F364" s="389">
        <f>($C$14-E364)*(B364&lt;$C$9*12+$B$22)*(B364&gt;INPUTS!$R$20*12+$B$22-1)</f>
        <v>0</v>
      </c>
      <c r="G364" s="389">
        <f t="shared" si="2"/>
        <v>3.8671714719384909E-9</v>
      </c>
      <c r="H364" s="389">
        <f t="shared" si="3"/>
        <v>1929134.6188848068</v>
      </c>
      <c r="I364" s="363"/>
      <c r="J364" s="363"/>
      <c r="K364" s="363"/>
      <c r="L364" s="363"/>
      <c r="M364" s="363"/>
      <c r="N364" s="363"/>
      <c r="O364" s="363"/>
      <c r="P364" s="363"/>
      <c r="Q364" s="363"/>
      <c r="R364" s="363"/>
      <c r="S364" s="363"/>
      <c r="T364" s="363"/>
      <c r="U364" s="363"/>
      <c r="V364" s="363"/>
      <c r="W364" s="363"/>
      <c r="X364" s="363"/>
      <c r="Y364" s="363"/>
      <c r="Z364" s="363"/>
    </row>
    <row r="365" spans="1:26" ht="13.5" customHeight="1" x14ac:dyDescent="0.2">
      <c r="A365" s="386">
        <f t="shared" si="0"/>
        <v>32</v>
      </c>
      <c r="B365" s="387">
        <f t="shared" si="4"/>
        <v>380</v>
      </c>
      <c r="C365" s="398">
        <f t="shared" si="5"/>
        <v>57680</v>
      </c>
      <c r="D365" s="389">
        <f t="shared" si="6"/>
        <v>3.8671714719384909E-9</v>
      </c>
      <c r="E365" s="389">
        <f t="shared" si="1"/>
        <v>2.0141518083012972E-11</v>
      </c>
      <c r="F365" s="389">
        <f>($C$14-E365)*(B365&lt;$C$9*12+$B$22)*(B365&gt;INPUTS!$R$20*12+$B$22-1)</f>
        <v>0</v>
      </c>
      <c r="G365" s="389">
        <f t="shared" si="2"/>
        <v>3.8671714719384909E-9</v>
      </c>
      <c r="H365" s="389">
        <f t="shared" si="3"/>
        <v>1929134.6188848068</v>
      </c>
      <c r="I365" s="363"/>
      <c r="J365" s="363"/>
      <c r="K365" s="363"/>
      <c r="L365" s="363"/>
      <c r="M365" s="363"/>
      <c r="N365" s="363"/>
      <c r="O365" s="363"/>
      <c r="P365" s="363"/>
      <c r="Q365" s="363"/>
      <c r="R365" s="363"/>
      <c r="S365" s="363"/>
      <c r="T365" s="363"/>
      <c r="U365" s="363"/>
      <c r="V365" s="363"/>
      <c r="W365" s="363"/>
      <c r="X365" s="363"/>
      <c r="Y365" s="363"/>
      <c r="Z365" s="363"/>
    </row>
    <row r="366" spans="1:26" ht="13.5" customHeight="1" x14ac:dyDescent="0.2">
      <c r="A366" s="386">
        <f t="shared" si="0"/>
        <v>32</v>
      </c>
      <c r="B366" s="387">
        <f t="shared" si="4"/>
        <v>381</v>
      </c>
      <c r="C366" s="398">
        <f t="shared" si="5"/>
        <v>57711</v>
      </c>
      <c r="D366" s="389">
        <f t="shared" si="6"/>
        <v>3.8671714719384909E-9</v>
      </c>
      <c r="E366" s="389">
        <f t="shared" si="1"/>
        <v>2.0141518083012972E-11</v>
      </c>
      <c r="F366" s="389">
        <f>($C$14-E366)*(B366&lt;$C$9*12+$B$22)*(B366&gt;INPUTS!$R$20*12+$B$22-1)</f>
        <v>0</v>
      </c>
      <c r="G366" s="389">
        <f t="shared" si="2"/>
        <v>3.8671714719384909E-9</v>
      </c>
      <c r="H366" s="389">
        <f t="shared" si="3"/>
        <v>1929134.6188848068</v>
      </c>
      <c r="I366" s="363"/>
      <c r="J366" s="363"/>
      <c r="K366" s="363"/>
      <c r="L366" s="363"/>
      <c r="M366" s="363"/>
      <c r="N366" s="363"/>
      <c r="O366" s="363"/>
      <c r="P366" s="363"/>
      <c r="Q366" s="363"/>
      <c r="R366" s="363"/>
      <c r="S366" s="363"/>
      <c r="T366" s="363"/>
      <c r="U366" s="363"/>
      <c r="V366" s="363"/>
      <c r="W366" s="363"/>
      <c r="X366" s="363"/>
      <c r="Y366" s="363"/>
      <c r="Z366" s="363"/>
    </row>
    <row r="367" spans="1:26" ht="13.5" customHeight="1" x14ac:dyDescent="0.2">
      <c r="A367" s="386">
        <f t="shared" si="0"/>
        <v>32</v>
      </c>
      <c r="B367" s="387">
        <f t="shared" si="4"/>
        <v>382</v>
      </c>
      <c r="C367" s="398">
        <f t="shared" si="5"/>
        <v>57742</v>
      </c>
      <c r="D367" s="389">
        <f t="shared" si="6"/>
        <v>3.8671714719384909E-9</v>
      </c>
      <c r="E367" s="389">
        <f t="shared" si="1"/>
        <v>2.0141518083012972E-11</v>
      </c>
      <c r="F367" s="389">
        <f>($C$14-E367)*(B367&lt;$C$9*12+$B$22)*(B367&gt;INPUTS!$R$20*12+$B$22-1)</f>
        <v>0</v>
      </c>
      <c r="G367" s="389">
        <f t="shared" si="2"/>
        <v>3.8671714719384909E-9</v>
      </c>
      <c r="H367" s="389">
        <f t="shared" si="3"/>
        <v>1929134.6188848068</v>
      </c>
      <c r="I367" s="363"/>
      <c r="J367" s="363"/>
      <c r="K367" s="363"/>
      <c r="L367" s="363"/>
      <c r="M367" s="363"/>
      <c r="N367" s="363"/>
      <c r="O367" s="363"/>
      <c r="P367" s="363"/>
      <c r="Q367" s="363"/>
      <c r="R367" s="363"/>
      <c r="S367" s="363"/>
      <c r="T367" s="363"/>
      <c r="U367" s="363"/>
      <c r="V367" s="363"/>
      <c r="W367" s="363"/>
      <c r="X367" s="363"/>
      <c r="Y367" s="363"/>
      <c r="Z367" s="363"/>
    </row>
    <row r="368" spans="1:26" ht="13.5" customHeight="1" x14ac:dyDescent="0.2">
      <c r="A368" s="386">
        <f t="shared" si="0"/>
        <v>32</v>
      </c>
      <c r="B368" s="387">
        <f t="shared" si="4"/>
        <v>383</v>
      </c>
      <c r="C368" s="398">
        <f t="shared" si="5"/>
        <v>57770</v>
      </c>
      <c r="D368" s="389">
        <f t="shared" si="6"/>
        <v>3.8671714719384909E-9</v>
      </c>
      <c r="E368" s="389">
        <f t="shared" si="1"/>
        <v>2.0141518083012972E-11</v>
      </c>
      <c r="F368" s="389">
        <f>($C$14-E368)*(B368&lt;$C$9*12+$B$22)*(B368&gt;INPUTS!$R$20*12+$B$22-1)</f>
        <v>0</v>
      </c>
      <c r="G368" s="389">
        <f t="shared" si="2"/>
        <v>3.8671714719384909E-9</v>
      </c>
      <c r="H368" s="389">
        <f t="shared" si="3"/>
        <v>1929134.6188848068</v>
      </c>
      <c r="I368" s="363"/>
      <c r="J368" s="363"/>
      <c r="K368" s="363"/>
      <c r="L368" s="363"/>
      <c r="M368" s="363"/>
      <c r="N368" s="363"/>
      <c r="O368" s="363"/>
      <c r="P368" s="363"/>
      <c r="Q368" s="363"/>
      <c r="R368" s="363"/>
      <c r="S368" s="363"/>
      <c r="T368" s="363"/>
      <c r="U368" s="363"/>
      <c r="V368" s="363"/>
      <c r="W368" s="363"/>
      <c r="X368" s="363"/>
      <c r="Y368" s="363"/>
      <c r="Z368" s="363"/>
    </row>
    <row r="369" spans="1:26" ht="13.5" customHeight="1" x14ac:dyDescent="0.2">
      <c r="A369" s="386">
        <f t="shared" si="0"/>
        <v>32</v>
      </c>
      <c r="B369" s="387">
        <f t="shared" si="4"/>
        <v>384</v>
      </c>
      <c r="C369" s="398">
        <f t="shared" si="5"/>
        <v>57801</v>
      </c>
      <c r="D369" s="389">
        <f t="shared" si="6"/>
        <v>3.8671714719384909E-9</v>
      </c>
      <c r="E369" s="389">
        <f t="shared" si="1"/>
        <v>2.0141518083012972E-11</v>
      </c>
      <c r="F369" s="389">
        <f>($C$14-E369)*(B369&lt;$C$9*12+$B$22)*(B369&gt;INPUTS!$R$20*12+$B$22-1)</f>
        <v>0</v>
      </c>
      <c r="G369" s="389">
        <f t="shared" si="2"/>
        <v>3.8671714719384909E-9</v>
      </c>
      <c r="H369" s="389">
        <f t="shared" si="3"/>
        <v>1929134.6188848068</v>
      </c>
      <c r="I369" s="363"/>
      <c r="J369" s="363"/>
      <c r="K369" s="363"/>
      <c r="L369" s="363"/>
      <c r="M369" s="363"/>
      <c r="N369" s="363"/>
      <c r="O369" s="363"/>
      <c r="P369" s="363"/>
      <c r="Q369" s="363"/>
      <c r="R369" s="363"/>
      <c r="S369" s="363"/>
      <c r="T369" s="363"/>
      <c r="U369" s="363"/>
      <c r="V369" s="363"/>
      <c r="W369" s="363"/>
      <c r="X369" s="363"/>
      <c r="Y369" s="363"/>
      <c r="Z369" s="363"/>
    </row>
    <row r="370" spans="1:26" ht="13.5" customHeight="1" x14ac:dyDescent="0.2">
      <c r="A370" s="386">
        <f t="shared" si="0"/>
        <v>33</v>
      </c>
      <c r="B370" s="387">
        <f t="shared" si="4"/>
        <v>385</v>
      </c>
      <c r="C370" s="398">
        <f t="shared" si="5"/>
        <v>57831</v>
      </c>
      <c r="D370" s="389">
        <f t="shared" si="6"/>
        <v>3.8671714719384909E-9</v>
      </c>
      <c r="E370" s="389">
        <f t="shared" si="1"/>
        <v>2.0141518083012972E-11</v>
      </c>
      <c r="F370" s="389">
        <f>($C$14-E370)*(B370&lt;$C$9*12+$B$22)*(B370&gt;INPUTS!$R$20*12+$B$22-1)</f>
        <v>0</v>
      </c>
      <c r="G370" s="389">
        <f t="shared" si="2"/>
        <v>3.8671714719384909E-9</v>
      </c>
      <c r="H370" s="389">
        <f t="shared" si="3"/>
        <v>1929134.6188848068</v>
      </c>
      <c r="I370" s="363"/>
      <c r="J370" s="363"/>
      <c r="K370" s="363"/>
      <c r="L370" s="363"/>
      <c r="M370" s="363"/>
      <c r="N370" s="363"/>
      <c r="O370" s="363"/>
      <c r="P370" s="363"/>
      <c r="Q370" s="363"/>
      <c r="R370" s="363"/>
      <c r="S370" s="363"/>
      <c r="T370" s="363"/>
      <c r="U370" s="363"/>
      <c r="V370" s="363"/>
      <c r="W370" s="363"/>
      <c r="X370" s="363"/>
      <c r="Y370" s="363"/>
      <c r="Z370" s="363"/>
    </row>
    <row r="371" spans="1:26" ht="13.5" customHeight="1" x14ac:dyDescent="0.2">
      <c r="A371" s="386">
        <f t="shared" si="0"/>
        <v>33</v>
      </c>
      <c r="B371" s="387">
        <f t="shared" si="4"/>
        <v>386</v>
      </c>
      <c r="C371" s="398">
        <f t="shared" si="5"/>
        <v>57862</v>
      </c>
      <c r="D371" s="389">
        <f t="shared" si="6"/>
        <v>3.8671714719384909E-9</v>
      </c>
      <c r="E371" s="389">
        <f t="shared" si="1"/>
        <v>2.0141518083012972E-11</v>
      </c>
      <c r="F371" s="389">
        <f>($C$14-E371)*(B371&lt;$C$9*12+$B$22)*(B371&gt;INPUTS!$R$20*12+$B$22-1)</f>
        <v>0</v>
      </c>
      <c r="G371" s="389">
        <f t="shared" si="2"/>
        <v>3.8671714719384909E-9</v>
      </c>
      <c r="H371" s="389">
        <f t="shared" si="3"/>
        <v>1929134.6188848068</v>
      </c>
      <c r="I371" s="363"/>
      <c r="J371" s="363"/>
      <c r="K371" s="363"/>
      <c r="L371" s="363"/>
      <c r="M371" s="363"/>
      <c r="N371" s="363"/>
      <c r="O371" s="363"/>
      <c r="P371" s="363"/>
      <c r="Q371" s="363"/>
      <c r="R371" s="363"/>
      <c r="S371" s="363"/>
      <c r="T371" s="363"/>
      <c r="U371" s="363"/>
      <c r="V371" s="363"/>
      <c r="W371" s="363"/>
      <c r="X371" s="363"/>
      <c r="Y371" s="363"/>
      <c r="Z371" s="363"/>
    </row>
    <row r="372" spans="1:26" ht="13.5" customHeight="1" x14ac:dyDescent="0.2">
      <c r="A372" s="386">
        <f t="shared" si="0"/>
        <v>33</v>
      </c>
      <c r="B372" s="387">
        <f t="shared" si="4"/>
        <v>387</v>
      </c>
      <c r="C372" s="398">
        <f t="shared" si="5"/>
        <v>57892</v>
      </c>
      <c r="D372" s="389">
        <f t="shared" si="6"/>
        <v>3.8671714719384909E-9</v>
      </c>
      <c r="E372" s="389">
        <f t="shared" si="1"/>
        <v>2.0141518083012972E-11</v>
      </c>
      <c r="F372" s="389">
        <f>($C$14-E372)*(B372&lt;$C$9*12+$B$22)*(B372&gt;INPUTS!$R$20*12+$B$22-1)</f>
        <v>0</v>
      </c>
      <c r="G372" s="389">
        <f t="shared" si="2"/>
        <v>3.8671714719384909E-9</v>
      </c>
      <c r="H372" s="389">
        <f t="shared" si="3"/>
        <v>1929134.6188848068</v>
      </c>
      <c r="I372" s="363"/>
      <c r="J372" s="363"/>
      <c r="K372" s="363"/>
      <c r="L372" s="363"/>
      <c r="M372" s="363"/>
      <c r="N372" s="363"/>
      <c r="O372" s="363"/>
      <c r="P372" s="363"/>
      <c r="Q372" s="363"/>
      <c r="R372" s="363"/>
      <c r="S372" s="363"/>
      <c r="T372" s="363"/>
      <c r="U372" s="363"/>
      <c r="V372" s="363"/>
      <c r="W372" s="363"/>
      <c r="X372" s="363"/>
      <c r="Y372" s="363"/>
      <c r="Z372" s="363"/>
    </row>
    <row r="373" spans="1:26" ht="13.5" customHeight="1" x14ac:dyDescent="0.2">
      <c r="A373" s="386">
        <f t="shared" si="0"/>
        <v>33</v>
      </c>
      <c r="B373" s="387">
        <f t="shared" si="4"/>
        <v>388</v>
      </c>
      <c r="C373" s="398">
        <f t="shared" si="5"/>
        <v>57923</v>
      </c>
      <c r="D373" s="389">
        <f t="shared" si="6"/>
        <v>3.8671714719384909E-9</v>
      </c>
      <c r="E373" s="389">
        <f t="shared" si="1"/>
        <v>2.0141518083012972E-11</v>
      </c>
      <c r="F373" s="389">
        <f>($C$14-E373)*(B373&lt;$C$9*12+$B$22)*(B373&gt;INPUTS!$R$20*12+$B$22-1)</f>
        <v>0</v>
      </c>
      <c r="G373" s="389">
        <f t="shared" si="2"/>
        <v>3.8671714719384909E-9</v>
      </c>
      <c r="H373" s="389">
        <f t="shared" si="3"/>
        <v>1929134.6188848068</v>
      </c>
      <c r="I373" s="363"/>
      <c r="J373" s="363"/>
      <c r="K373" s="363"/>
      <c r="L373" s="363"/>
      <c r="M373" s="363"/>
      <c r="N373" s="363"/>
      <c r="O373" s="363"/>
      <c r="P373" s="363"/>
      <c r="Q373" s="363"/>
      <c r="R373" s="363"/>
      <c r="S373" s="363"/>
      <c r="T373" s="363"/>
      <c r="U373" s="363"/>
      <c r="V373" s="363"/>
      <c r="W373" s="363"/>
      <c r="X373" s="363"/>
      <c r="Y373" s="363"/>
      <c r="Z373" s="363"/>
    </row>
    <row r="374" spans="1:26" ht="13.5" customHeight="1" x14ac:dyDescent="0.2">
      <c r="A374" s="386">
        <f t="shared" si="0"/>
        <v>33</v>
      </c>
      <c r="B374" s="387">
        <f t="shared" si="4"/>
        <v>389</v>
      </c>
      <c r="C374" s="398">
        <f t="shared" si="5"/>
        <v>57954</v>
      </c>
      <c r="D374" s="389">
        <f t="shared" si="6"/>
        <v>3.8671714719384909E-9</v>
      </c>
      <c r="E374" s="389">
        <f t="shared" si="1"/>
        <v>2.0141518083012972E-11</v>
      </c>
      <c r="F374" s="389">
        <f>($C$14-E374)*(B374&lt;$C$9*12+$B$22)*(B374&gt;INPUTS!$R$20*12+$B$22-1)</f>
        <v>0</v>
      </c>
      <c r="G374" s="389">
        <f t="shared" si="2"/>
        <v>3.8671714719384909E-9</v>
      </c>
      <c r="H374" s="389">
        <f t="shared" si="3"/>
        <v>1929134.6188848068</v>
      </c>
      <c r="I374" s="363"/>
      <c r="J374" s="363"/>
      <c r="K374" s="363"/>
      <c r="L374" s="363"/>
      <c r="M374" s="363"/>
      <c r="N374" s="363"/>
      <c r="O374" s="363"/>
      <c r="P374" s="363"/>
      <c r="Q374" s="363"/>
      <c r="R374" s="363"/>
      <c r="S374" s="363"/>
      <c r="T374" s="363"/>
      <c r="U374" s="363"/>
      <c r="V374" s="363"/>
      <c r="W374" s="363"/>
      <c r="X374" s="363"/>
      <c r="Y374" s="363"/>
      <c r="Z374" s="363"/>
    </row>
    <row r="375" spans="1:26" ht="13.5" customHeight="1" x14ac:dyDescent="0.2">
      <c r="A375" s="386">
        <f t="shared" si="0"/>
        <v>33</v>
      </c>
      <c r="B375" s="387">
        <f t="shared" si="4"/>
        <v>390</v>
      </c>
      <c r="C375" s="398">
        <f t="shared" si="5"/>
        <v>57984</v>
      </c>
      <c r="D375" s="389">
        <f t="shared" si="6"/>
        <v>3.8671714719384909E-9</v>
      </c>
      <c r="E375" s="389">
        <f t="shared" si="1"/>
        <v>2.0141518083012972E-11</v>
      </c>
      <c r="F375" s="389">
        <f>($C$14-E375)*(B375&lt;$C$9*12+$B$22)*(B375&gt;INPUTS!$R$20*12+$B$22-1)</f>
        <v>0</v>
      </c>
      <c r="G375" s="389">
        <f t="shared" si="2"/>
        <v>3.8671714719384909E-9</v>
      </c>
      <c r="H375" s="389">
        <f t="shared" si="3"/>
        <v>1929134.6188848068</v>
      </c>
      <c r="I375" s="363"/>
      <c r="J375" s="363"/>
      <c r="K375" s="363"/>
      <c r="L375" s="363"/>
      <c r="M375" s="363"/>
      <c r="N375" s="363"/>
      <c r="O375" s="363"/>
      <c r="P375" s="363"/>
      <c r="Q375" s="363"/>
      <c r="R375" s="363"/>
      <c r="S375" s="363"/>
      <c r="T375" s="363"/>
      <c r="U375" s="363"/>
      <c r="V375" s="363"/>
      <c r="W375" s="363"/>
      <c r="X375" s="363"/>
      <c r="Y375" s="363"/>
      <c r="Z375" s="363"/>
    </row>
    <row r="376" spans="1:26" ht="13.5" customHeight="1" x14ac:dyDescent="0.2">
      <c r="A376" s="386">
        <f t="shared" si="0"/>
        <v>33</v>
      </c>
      <c r="B376" s="387">
        <f t="shared" si="4"/>
        <v>391</v>
      </c>
      <c r="C376" s="398">
        <f t="shared" si="5"/>
        <v>58015</v>
      </c>
      <c r="D376" s="389">
        <f t="shared" si="6"/>
        <v>3.8671714719384909E-9</v>
      </c>
      <c r="E376" s="389">
        <f t="shared" si="1"/>
        <v>2.0141518083012972E-11</v>
      </c>
      <c r="F376" s="389">
        <f>($C$14-E376)*(B376&lt;$C$9*12+$B$22)*(B376&gt;INPUTS!$R$20*12+$B$22-1)</f>
        <v>0</v>
      </c>
      <c r="G376" s="389">
        <f t="shared" si="2"/>
        <v>3.8671714719384909E-9</v>
      </c>
      <c r="H376" s="389">
        <f t="shared" si="3"/>
        <v>1929134.6188848068</v>
      </c>
      <c r="I376" s="363"/>
      <c r="J376" s="363"/>
      <c r="K376" s="363"/>
      <c r="L376" s="363"/>
      <c r="M376" s="363"/>
      <c r="N376" s="363"/>
      <c r="O376" s="363"/>
      <c r="P376" s="363"/>
      <c r="Q376" s="363"/>
      <c r="R376" s="363"/>
      <c r="S376" s="363"/>
      <c r="T376" s="363"/>
      <c r="U376" s="363"/>
      <c r="V376" s="363"/>
      <c r="W376" s="363"/>
      <c r="X376" s="363"/>
      <c r="Y376" s="363"/>
      <c r="Z376" s="363"/>
    </row>
    <row r="377" spans="1:26" ht="13.5" customHeight="1" x14ac:dyDescent="0.2">
      <c r="A377" s="386">
        <f t="shared" si="0"/>
        <v>33</v>
      </c>
      <c r="B377" s="387">
        <f t="shared" si="4"/>
        <v>392</v>
      </c>
      <c r="C377" s="398">
        <f t="shared" si="5"/>
        <v>58045</v>
      </c>
      <c r="D377" s="389">
        <f t="shared" si="6"/>
        <v>3.8671714719384909E-9</v>
      </c>
      <c r="E377" s="389">
        <f t="shared" si="1"/>
        <v>2.0141518083012972E-11</v>
      </c>
      <c r="F377" s="389">
        <f>($C$14-E377)*(B377&lt;$C$9*12+$B$22)*(B377&gt;INPUTS!$R$20*12+$B$22-1)</f>
        <v>0</v>
      </c>
      <c r="G377" s="389">
        <f t="shared" si="2"/>
        <v>3.8671714719384909E-9</v>
      </c>
      <c r="H377" s="389">
        <f t="shared" si="3"/>
        <v>1929134.6188848068</v>
      </c>
      <c r="I377" s="363"/>
      <c r="J377" s="363"/>
      <c r="K377" s="363"/>
      <c r="L377" s="363"/>
      <c r="M377" s="363"/>
      <c r="N377" s="363"/>
      <c r="O377" s="363"/>
      <c r="P377" s="363"/>
      <c r="Q377" s="363"/>
      <c r="R377" s="363"/>
      <c r="S377" s="363"/>
      <c r="T377" s="363"/>
      <c r="U377" s="363"/>
      <c r="V377" s="363"/>
      <c r="W377" s="363"/>
      <c r="X377" s="363"/>
      <c r="Y377" s="363"/>
      <c r="Z377" s="363"/>
    </row>
    <row r="378" spans="1:26" ht="13.5" customHeight="1" x14ac:dyDescent="0.2">
      <c r="A378" s="386">
        <f t="shared" si="0"/>
        <v>33</v>
      </c>
      <c r="B378" s="387">
        <f t="shared" si="4"/>
        <v>393</v>
      </c>
      <c r="C378" s="398">
        <f t="shared" si="5"/>
        <v>58076</v>
      </c>
      <c r="D378" s="389">
        <f t="shared" si="6"/>
        <v>3.8671714719384909E-9</v>
      </c>
      <c r="E378" s="389">
        <f t="shared" si="1"/>
        <v>2.0141518083012972E-11</v>
      </c>
      <c r="F378" s="389">
        <f>($C$14-E378)*(B378&lt;$C$9*12+$B$22)*(B378&gt;INPUTS!$R$20*12+$B$22-1)</f>
        <v>0</v>
      </c>
      <c r="G378" s="389">
        <f t="shared" si="2"/>
        <v>3.8671714719384909E-9</v>
      </c>
      <c r="H378" s="389">
        <f t="shared" si="3"/>
        <v>1929134.6188848068</v>
      </c>
      <c r="I378" s="363"/>
      <c r="J378" s="363"/>
      <c r="K378" s="363"/>
      <c r="L378" s="363"/>
      <c r="M378" s="363"/>
      <c r="N378" s="363"/>
      <c r="O378" s="363"/>
      <c r="P378" s="363"/>
      <c r="Q378" s="363"/>
      <c r="R378" s="363"/>
      <c r="S378" s="363"/>
      <c r="T378" s="363"/>
      <c r="U378" s="363"/>
      <c r="V378" s="363"/>
      <c r="W378" s="363"/>
      <c r="X378" s="363"/>
      <c r="Y378" s="363"/>
      <c r="Z378" s="363"/>
    </row>
    <row r="379" spans="1:26" ht="13.5" customHeight="1" x14ac:dyDescent="0.2">
      <c r="A379" s="386">
        <f t="shared" si="0"/>
        <v>33</v>
      </c>
      <c r="B379" s="387">
        <f t="shared" si="4"/>
        <v>394</v>
      </c>
      <c r="C379" s="398">
        <f t="shared" si="5"/>
        <v>58107</v>
      </c>
      <c r="D379" s="389">
        <f t="shared" si="6"/>
        <v>3.8671714719384909E-9</v>
      </c>
      <c r="E379" s="389">
        <f t="shared" si="1"/>
        <v>2.0141518083012972E-11</v>
      </c>
      <c r="F379" s="389">
        <f>($C$14-E379)*(B379&lt;$C$9*12+$B$22)*(B379&gt;INPUTS!$R$20*12+$B$22-1)</f>
        <v>0</v>
      </c>
      <c r="G379" s="389">
        <f t="shared" si="2"/>
        <v>3.8671714719384909E-9</v>
      </c>
      <c r="H379" s="389">
        <f t="shared" si="3"/>
        <v>1929134.6188848068</v>
      </c>
      <c r="I379" s="363"/>
      <c r="J379" s="363"/>
      <c r="K379" s="363"/>
      <c r="L379" s="363"/>
      <c r="M379" s="363"/>
      <c r="N379" s="363"/>
      <c r="O379" s="363"/>
      <c r="P379" s="363"/>
      <c r="Q379" s="363"/>
      <c r="R379" s="363"/>
      <c r="S379" s="363"/>
      <c r="T379" s="363"/>
      <c r="U379" s="363"/>
      <c r="V379" s="363"/>
      <c r="W379" s="363"/>
      <c r="X379" s="363"/>
      <c r="Y379" s="363"/>
      <c r="Z379" s="363"/>
    </row>
    <row r="380" spans="1:26" ht="13.5" customHeight="1" x14ac:dyDescent="0.2">
      <c r="A380" s="386">
        <f t="shared" si="0"/>
        <v>33</v>
      </c>
      <c r="B380" s="387">
        <f t="shared" si="4"/>
        <v>395</v>
      </c>
      <c r="C380" s="398">
        <f t="shared" si="5"/>
        <v>58135</v>
      </c>
      <c r="D380" s="389">
        <f t="shared" si="6"/>
        <v>3.8671714719384909E-9</v>
      </c>
      <c r="E380" s="389">
        <f t="shared" si="1"/>
        <v>2.0141518083012972E-11</v>
      </c>
      <c r="F380" s="389">
        <f>($C$14-E380)*(B380&lt;$C$9*12+$B$22)*(B380&gt;INPUTS!$R$20*12+$B$22-1)</f>
        <v>0</v>
      </c>
      <c r="G380" s="389">
        <f t="shared" si="2"/>
        <v>3.8671714719384909E-9</v>
      </c>
      <c r="H380" s="389">
        <f t="shared" si="3"/>
        <v>1929134.6188848068</v>
      </c>
      <c r="I380" s="363"/>
      <c r="J380" s="363"/>
      <c r="K380" s="363"/>
      <c r="L380" s="363"/>
      <c r="M380" s="363"/>
      <c r="N380" s="363"/>
      <c r="O380" s="363"/>
      <c r="P380" s="363"/>
      <c r="Q380" s="363"/>
      <c r="R380" s="363"/>
      <c r="S380" s="363"/>
      <c r="T380" s="363"/>
      <c r="U380" s="363"/>
      <c r="V380" s="363"/>
      <c r="W380" s="363"/>
      <c r="X380" s="363"/>
      <c r="Y380" s="363"/>
      <c r="Z380" s="363"/>
    </row>
    <row r="381" spans="1:26" ht="13.5" customHeight="1" x14ac:dyDescent="0.2">
      <c r="A381" s="386">
        <f t="shared" si="0"/>
        <v>33</v>
      </c>
      <c r="B381" s="387">
        <f t="shared" si="4"/>
        <v>396</v>
      </c>
      <c r="C381" s="398">
        <f t="shared" si="5"/>
        <v>58166</v>
      </c>
      <c r="D381" s="389">
        <f t="shared" si="6"/>
        <v>3.8671714719384909E-9</v>
      </c>
      <c r="E381" s="389">
        <f t="shared" si="1"/>
        <v>2.0141518083012972E-11</v>
      </c>
      <c r="F381" s="389">
        <f>($C$14-E381)*(B381&lt;$C$9*12+$B$22)*(B381&gt;INPUTS!$R$20*12+$B$22-1)</f>
        <v>0</v>
      </c>
      <c r="G381" s="389">
        <f t="shared" si="2"/>
        <v>3.8671714719384909E-9</v>
      </c>
      <c r="H381" s="389">
        <f t="shared" si="3"/>
        <v>1929134.6188848068</v>
      </c>
      <c r="I381" s="363"/>
      <c r="J381" s="363"/>
      <c r="K381" s="363"/>
      <c r="L381" s="363"/>
      <c r="M381" s="363"/>
      <c r="N381" s="363"/>
      <c r="O381" s="363"/>
      <c r="P381" s="363"/>
      <c r="Q381" s="363"/>
      <c r="R381" s="363"/>
      <c r="S381" s="363"/>
      <c r="T381" s="363"/>
      <c r="U381" s="363"/>
      <c r="V381" s="363"/>
      <c r="W381" s="363"/>
      <c r="X381" s="363"/>
      <c r="Y381" s="363"/>
      <c r="Z381" s="363"/>
    </row>
    <row r="382" spans="1:26" ht="13.5" customHeight="1" x14ac:dyDescent="0.2">
      <c r="A382" s="363"/>
      <c r="B382" s="363"/>
      <c r="C382" s="391" t="s">
        <v>6</v>
      </c>
      <c r="D382" s="392"/>
      <c r="E382" s="393">
        <f t="shared" ref="E382:F382" si="7">SUM(E22:E381)</f>
        <v>1929134.6188848068</v>
      </c>
      <c r="F382" s="394">
        <f t="shared" si="7"/>
        <v>1905327.6596086144</v>
      </c>
      <c r="G382" s="363"/>
      <c r="H382" s="363"/>
      <c r="I382" s="363"/>
      <c r="J382" s="363"/>
      <c r="K382" s="363"/>
      <c r="L382" s="363"/>
      <c r="M382" s="363"/>
      <c r="N382" s="363"/>
      <c r="O382" s="363"/>
      <c r="P382" s="363"/>
      <c r="Q382" s="363"/>
      <c r="R382" s="363"/>
      <c r="S382" s="363"/>
      <c r="T382" s="363"/>
      <c r="U382" s="363"/>
      <c r="V382" s="363"/>
      <c r="W382" s="363"/>
      <c r="X382" s="363"/>
      <c r="Y382" s="363"/>
      <c r="Z382" s="363"/>
    </row>
    <row r="383" spans="1:26" ht="13.5" customHeight="1" x14ac:dyDescent="0.2">
      <c r="A383" s="363"/>
      <c r="B383" s="363"/>
      <c r="C383" s="363"/>
      <c r="D383" s="363"/>
      <c r="E383" s="363"/>
      <c r="F383" s="363"/>
      <c r="G383" s="363"/>
      <c r="H383" s="363"/>
      <c r="I383" s="363"/>
      <c r="J383" s="363"/>
      <c r="K383" s="363"/>
      <c r="L383" s="363"/>
      <c r="M383" s="363"/>
      <c r="N383" s="363"/>
      <c r="O383" s="363"/>
      <c r="P383" s="363"/>
      <c r="Q383" s="363"/>
      <c r="R383" s="363"/>
      <c r="S383" s="363"/>
      <c r="T383" s="363"/>
      <c r="U383" s="363"/>
      <c r="V383" s="363"/>
      <c r="W383" s="363"/>
      <c r="X383" s="363"/>
      <c r="Y383" s="363"/>
      <c r="Z383" s="363"/>
    </row>
    <row r="384" spans="1:26" ht="13.5" customHeight="1" x14ac:dyDescent="0.2">
      <c r="A384" s="363"/>
      <c r="B384" s="363"/>
      <c r="C384" s="363"/>
      <c r="D384" s="363"/>
      <c r="E384" s="363"/>
      <c r="F384" s="363"/>
      <c r="G384" s="363"/>
      <c r="H384" s="363"/>
      <c r="I384" s="363"/>
      <c r="J384" s="363"/>
      <c r="K384" s="363"/>
      <c r="L384" s="363"/>
      <c r="M384" s="363"/>
      <c r="N384" s="363"/>
      <c r="O384" s="363"/>
      <c r="P384" s="363"/>
      <c r="Q384" s="363"/>
      <c r="R384" s="363"/>
      <c r="S384" s="363"/>
      <c r="T384" s="363"/>
      <c r="U384" s="363"/>
      <c r="V384" s="363"/>
      <c r="W384" s="363"/>
      <c r="X384" s="363"/>
      <c r="Y384" s="363"/>
      <c r="Z384" s="363"/>
    </row>
    <row r="385" spans="1:26" ht="13.5" customHeight="1" x14ac:dyDescent="0.2">
      <c r="A385" s="363"/>
      <c r="B385" s="363"/>
      <c r="C385" s="363"/>
      <c r="D385" s="363"/>
      <c r="E385" s="363"/>
      <c r="F385" s="363"/>
      <c r="G385" s="363"/>
      <c r="H385" s="363"/>
      <c r="I385" s="363"/>
      <c r="J385" s="363"/>
      <c r="K385" s="363"/>
      <c r="L385" s="363"/>
      <c r="M385" s="363"/>
      <c r="N385" s="363"/>
      <c r="O385" s="363"/>
      <c r="P385" s="363"/>
      <c r="Q385" s="363"/>
      <c r="R385" s="363"/>
      <c r="S385" s="363"/>
      <c r="T385" s="363"/>
      <c r="U385" s="363"/>
      <c r="V385" s="363"/>
      <c r="W385" s="363"/>
      <c r="X385" s="363"/>
      <c r="Y385" s="363"/>
      <c r="Z385" s="363"/>
    </row>
    <row r="386" spans="1:26" ht="13.5" customHeight="1" x14ac:dyDescent="0.2">
      <c r="A386" s="363"/>
      <c r="B386" s="363"/>
      <c r="C386" s="363"/>
      <c r="D386" s="363"/>
      <c r="E386" s="363"/>
      <c r="F386" s="363"/>
      <c r="G386" s="363"/>
      <c r="H386" s="363"/>
      <c r="I386" s="363"/>
      <c r="J386" s="363"/>
      <c r="K386" s="363"/>
      <c r="L386" s="363"/>
      <c r="M386" s="363"/>
      <c r="N386" s="363"/>
      <c r="O386" s="363"/>
      <c r="P386" s="363"/>
      <c r="Q386" s="363"/>
      <c r="R386" s="363"/>
      <c r="S386" s="363"/>
      <c r="T386" s="363"/>
      <c r="U386" s="363"/>
      <c r="V386" s="363"/>
      <c r="W386" s="363"/>
      <c r="X386" s="363"/>
      <c r="Y386" s="363"/>
      <c r="Z386" s="363"/>
    </row>
    <row r="387" spans="1:26" ht="13.5" customHeight="1" x14ac:dyDescent="0.2">
      <c r="A387" s="363"/>
      <c r="B387" s="363"/>
      <c r="C387" s="363"/>
      <c r="D387" s="363"/>
      <c r="E387" s="363"/>
      <c r="F387" s="363"/>
      <c r="G387" s="363"/>
      <c r="H387" s="363"/>
      <c r="I387" s="363"/>
      <c r="J387" s="363"/>
      <c r="K387" s="363"/>
      <c r="L387" s="363"/>
      <c r="M387" s="363"/>
      <c r="N387" s="363"/>
      <c r="O387" s="363"/>
      <c r="P387" s="363"/>
      <c r="Q387" s="363"/>
      <c r="R387" s="363"/>
      <c r="S387" s="363"/>
      <c r="T387" s="363"/>
      <c r="U387" s="363"/>
      <c r="V387" s="363"/>
      <c r="W387" s="363"/>
      <c r="X387" s="363"/>
      <c r="Y387" s="363"/>
      <c r="Z387" s="363"/>
    </row>
    <row r="388" spans="1:26" ht="13.5" customHeight="1" x14ac:dyDescent="0.2">
      <c r="A388" s="363"/>
      <c r="B388" s="363"/>
      <c r="C388" s="363"/>
      <c r="D388" s="363"/>
      <c r="E388" s="363"/>
      <c r="F388" s="363"/>
      <c r="G388" s="363"/>
      <c r="H388" s="363"/>
      <c r="I388" s="363"/>
      <c r="J388" s="363"/>
      <c r="K388" s="363"/>
      <c r="L388" s="363"/>
      <c r="M388" s="363"/>
      <c r="N388" s="363"/>
      <c r="O388" s="363"/>
      <c r="P388" s="363"/>
      <c r="Q388" s="363"/>
      <c r="R388" s="363"/>
      <c r="S388" s="363"/>
      <c r="T388" s="363"/>
      <c r="U388" s="363"/>
      <c r="V388" s="363"/>
      <c r="W388" s="363"/>
      <c r="X388" s="363"/>
      <c r="Y388" s="363"/>
      <c r="Z388" s="363"/>
    </row>
    <row r="389" spans="1:26" ht="13.5" customHeight="1" x14ac:dyDescent="0.2">
      <c r="A389" s="363"/>
      <c r="B389" s="363"/>
      <c r="C389" s="363"/>
      <c r="D389" s="363"/>
      <c r="E389" s="363"/>
      <c r="F389" s="363"/>
      <c r="G389" s="363"/>
      <c r="H389" s="363"/>
      <c r="I389" s="363"/>
      <c r="J389" s="363"/>
      <c r="K389" s="363"/>
      <c r="L389" s="363"/>
      <c r="M389" s="363"/>
      <c r="N389" s="363"/>
      <c r="O389" s="363"/>
      <c r="P389" s="363"/>
      <c r="Q389" s="363"/>
      <c r="R389" s="363"/>
      <c r="S389" s="363"/>
      <c r="T389" s="363"/>
      <c r="U389" s="363"/>
      <c r="V389" s="363"/>
      <c r="W389" s="363"/>
      <c r="X389" s="363"/>
      <c r="Y389" s="363"/>
      <c r="Z389" s="363"/>
    </row>
    <row r="390" spans="1:26" ht="13.5" customHeight="1" x14ac:dyDescent="0.2">
      <c r="A390" s="363"/>
      <c r="B390" s="363"/>
      <c r="C390" s="363"/>
      <c r="D390" s="363"/>
      <c r="E390" s="363"/>
      <c r="F390" s="363"/>
      <c r="G390" s="363"/>
      <c r="H390" s="363"/>
      <c r="I390" s="363"/>
      <c r="J390" s="363"/>
      <c r="K390" s="363"/>
      <c r="L390" s="363"/>
      <c r="M390" s="363"/>
      <c r="N390" s="363"/>
      <c r="O390" s="363"/>
      <c r="P390" s="363"/>
      <c r="Q390" s="363"/>
      <c r="R390" s="363"/>
      <c r="S390" s="363"/>
      <c r="T390" s="363"/>
      <c r="U390" s="363"/>
      <c r="V390" s="363"/>
      <c r="W390" s="363"/>
      <c r="X390" s="363"/>
      <c r="Y390" s="363"/>
      <c r="Z390" s="363"/>
    </row>
    <row r="391" spans="1:26" ht="13.5" customHeight="1" x14ac:dyDescent="0.2">
      <c r="A391" s="363"/>
      <c r="B391" s="363"/>
      <c r="C391" s="363"/>
      <c r="D391" s="363"/>
      <c r="E391" s="363"/>
      <c r="F391" s="363"/>
      <c r="G391" s="363"/>
      <c r="H391" s="363"/>
      <c r="I391" s="363"/>
      <c r="J391" s="363"/>
      <c r="K391" s="363"/>
      <c r="L391" s="363"/>
      <c r="M391" s="363"/>
      <c r="N391" s="363"/>
      <c r="O391" s="363"/>
      <c r="P391" s="363"/>
      <c r="Q391" s="363"/>
      <c r="R391" s="363"/>
      <c r="S391" s="363"/>
      <c r="T391" s="363"/>
      <c r="U391" s="363"/>
      <c r="V391" s="363"/>
      <c r="W391" s="363"/>
      <c r="X391" s="363"/>
      <c r="Y391" s="363"/>
      <c r="Z391" s="363"/>
    </row>
    <row r="392" spans="1:26" ht="13.5" customHeight="1" x14ac:dyDescent="0.2">
      <c r="A392" s="363"/>
      <c r="B392" s="363"/>
      <c r="C392" s="363"/>
      <c r="D392" s="363"/>
      <c r="E392" s="363"/>
      <c r="F392" s="363"/>
      <c r="G392" s="363"/>
      <c r="H392" s="363"/>
      <c r="I392" s="363"/>
      <c r="J392" s="363"/>
      <c r="K392" s="363"/>
      <c r="L392" s="363"/>
      <c r="M392" s="363"/>
      <c r="N392" s="363"/>
      <c r="O392" s="363"/>
      <c r="P392" s="363"/>
      <c r="Q392" s="363"/>
      <c r="R392" s="363"/>
      <c r="S392" s="363"/>
      <c r="T392" s="363"/>
      <c r="U392" s="363"/>
      <c r="V392" s="363"/>
      <c r="W392" s="363"/>
      <c r="X392" s="363"/>
      <c r="Y392" s="363"/>
      <c r="Z392" s="363"/>
    </row>
    <row r="393" spans="1:26" ht="13.5" customHeight="1" x14ac:dyDescent="0.2">
      <c r="A393" s="363"/>
      <c r="B393" s="363"/>
      <c r="C393" s="363"/>
      <c r="D393" s="363"/>
      <c r="E393" s="363"/>
      <c r="F393" s="363"/>
      <c r="G393" s="363"/>
      <c r="H393" s="363"/>
      <c r="I393" s="363"/>
      <c r="J393" s="363"/>
      <c r="K393" s="363"/>
      <c r="L393" s="363"/>
      <c r="M393" s="363"/>
      <c r="N393" s="363"/>
      <c r="O393" s="363"/>
      <c r="P393" s="363"/>
      <c r="Q393" s="363"/>
      <c r="R393" s="363"/>
      <c r="S393" s="363"/>
      <c r="T393" s="363"/>
      <c r="U393" s="363"/>
      <c r="V393" s="363"/>
      <c r="W393" s="363"/>
      <c r="X393" s="363"/>
      <c r="Y393" s="363"/>
      <c r="Z393" s="363"/>
    </row>
    <row r="394" spans="1:26" ht="13.5" customHeight="1" x14ac:dyDescent="0.2">
      <c r="A394" s="363"/>
      <c r="B394" s="363"/>
      <c r="C394" s="363"/>
      <c r="D394" s="363"/>
      <c r="E394" s="363"/>
      <c r="F394" s="363"/>
      <c r="G394" s="363"/>
      <c r="H394" s="363"/>
      <c r="I394" s="363"/>
      <c r="J394" s="363"/>
      <c r="K394" s="363"/>
      <c r="L394" s="363"/>
      <c r="M394" s="363"/>
      <c r="N394" s="363"/>
      <c r="O394" s="363"/>
      <c r="P394" s="363"/>
      <c r="Q394" s="363"/>
      <c r="R394" s="363"/>
      <c r="S394" s="363"/>
      <c r="T394" s="363"/>
      <c r="U394" s="363"/>
      <c r="V394" s="363"/>
      <c r="W394" s="363"/>
      <c r="X394" s="363"/>
      <c r="Y394" s="363"/>
      <c r="Z394" s="363"/>
    </row>
    <row r="395" spans="1:26" ht="13.5" customHeight="1" x14ac:dyDescent="0.2">
      <c r="A395" s="363"/>
      <c r="B395" s="363"/>
      <c r="C395" s="363"/>
      <c r="D395" s="363"/>
      <c r="E395" s="363"/>
      <c r="F395" s="363"/>
      <c r="G395" s="363"/>
      <c r="H395" s="363"/>
      <c r="I395" s="363"/>
      <c r="J395" s="363"/>
      <c r="K395" s="363"/>
      <c r="L395" s="363"/>
      <c r="M395" s="363"/>
      <c r="N395" s="363"/>
      <c r="O395" s="363"/>
      <c r="P395" s="363"/>
      <c r="Q395" s="363"/>
      <c r="R395" s="363"/>
      <c r="S395" s="363"/>
      <c r="T395" s="363"/>
      <c r="U395" s="363"/>
      <c r="V395" s="363"/>
      <c r="W395" s="363"/>
      <c r="X395" s="363"/>
      <c r="Y395" s="363"/>
      <c r="Z395" s="363"/>
    </row>
    <row r="396" spans="1:26" ht="13.5" customHeight="1" x14ac:dyDescent="0.2">
      <c r="A396" s="363"/>
      <c r="B396" s="363"/>
      <c r="C396" s="363"/>
      <c r="D396" s="363"/>
      <c r="E396" s="363"/>
      <c r="F396" s="363"/>
      <c r="G396" s="363"/>
      <c r="H396" s="363"/>
      <c r="I396" s="363"/>
      <c r="J396" s="363"/>
      <c r="K396" s="363"/>
      <c r="L396" s="363"/>
      <c r="M396" s="363"/>
      <c r="N396" s="363"/>
      <c r="O396" s="363"/>
      <c r="P396" s="363"/>
      <c r="Q396" s="363"/>
      <c r="R396" s="363"/>
      <c r="S396" s="363"/>
      <c r="T396" s="363"/>
      <c r="U396" s="363"/>
      <c r="V396" s="363"/>
      <c r="W396" s="363"/>
      <c r="X396" s="363"/>
      <c r="Y396" s="363"/>
      <c r="Z396" s="363"/>
    </row>
    <row r="397" spans="1:26" ht="13.5" customHeight="1" x14ac:dyDescent="0.2">
      <c r="A397" s="363"/>
      <c r="B397" s="363"/>
      <c r="C397" s="363"/>
      <c r="D397" s="363"/>
      <c r="E397" s="363"/>
      <c r="F397" s="363"/>
      <c r="G397" s="363"/>
      <c r="H397" s="363"/>
      <c r="I397" s="363"/>
      <c r="J397" s="363"/>
      <c r="K397" s="363"/>
      <c r="L397" s="363"/>
      <c r="M397" s="363"/>
      <c r="N397" s="363"/>
      <c r="O397" s="363"/>
      <c r="P397" s="363"/>
      <c r="Q397" s="363"/>
      <c r="R397" s="363"/>
      <c r="S397" s="363"/>
      <c r="T397" s="363"/>
      <c r="U397" s="363"/>
      <c r="V397" s="363"/>
      <c r="W397" s="363"/>
      <c r="X397" s="363"/>
      <c r="Y397" s="363"/>
      <c r="Z397" s="363"/>
    </row>
    <row r="398" spans="1:26" ht="13.5" customHeight="1" x14ac:dyDescent="0.2">
      <c r="A398" s="363"/>
      <c r="B398" s="363"/>
      <c r="C398" s="363"/>
      <c r="D398" s="363"/>
      <c r="E398" s="363"/>
      <c r="F398" s="363"/>
      <c r="G398" s="363"/>
      <c r="H398" s="363"/>
      <c r="I398" s="363"/>
      <c r="J398" s="363"/>
      <c r="K398" s="363"/>
      <c r="L398" s="363"/>
      <c r="M398" s="363"/>
      <c r="N398" s="363"/>
      <c r="O398" s="363"/>
      <c r="P398" s="363"/>
      <c r="Q398" s="363"/>
      <c r="R398" s="363"/>
      <c r="S398" s="363"/>
      <c r="T398" s="363"/>
      <c r="U398" s="363"/>
      <c r="V398" s="363"/>
      <c r="W398" s="363"/>
      <c r="X398" s="363"/>
      <c r="Y398" s="363"/>
      <c r="Z398" s="363"/>
    </row>
    <row r="399" spans="1:26" ht="13.5" customHeight="1" x14ac:dyDescent="0.2">
      <c r="A399" s="363"/>
      <c r="B399" s="363"/>
      <c r="C399" s="363"/>
      <c r="D399" s="363"/>
      <c r="E399" s="363"/>
      <c r="F399" s="363"/>
      <c r="G399" s="363"/>
      <c r="H399" s="363"/>
      <c r="I399" s="363"/>
      <c r="J399" s="363"/>
      <c r="K399" s="363"/>
      <c r="L399" s="363"/>
      <c r="M399" s="363"/>
      <c r="N399" s="363"/>
      <c r="O399" s="363"/>
      <c r="P399" s="363"/>
      <c r="Q399" s="363"/>
      <c r="R399" s="363"/>
      <c r="S399" s="363"/>
      <c r="T399" s="363"/>
      <c r="U399" s="363"/>
      <c r="V399" s="363"/>
      <c r="W399" s="363"/>
      <c r="X399" s="363"/>
      <c r="Y399" s="363"/>
      <c r="Z399" s="363"/>
    </row>
    <row r="400" spans="1:26" ht="13.5" customHeight="1" x14ac:dyDescent="0.2">
      <c r="A400" s="363"/>
      <c r="B400" s="363"/>
      <c r="C400" s="363"/>
      <c r="D400" s="363"/>
      <c r="E400" s="363"/>
      <c r="F400" s="363"/>
      <c r="G400" s="363"/>
      <c r="H400" s="363"/>
      <c r="I400" s="363"/>
      <c r="J400" s="363"/>
      <c r="K400" s="363"/>
      <c r="L400" s="363"/>
      <c r="M400" s="363"/>
      <c r="N400" s="363"/>
      <c r="O400" s="363"/>
      <c r="P400" s="363"/>
      <c r="Q400" s="363"/>
      <c r="R400" s="363"/>
      <c r="S400" s="363"/>
      <c r="T400" s="363"/>
      <c r="U400" s="363"/>
      <c r="V400" s="363"/>
      <c r="W400" s="363"/>
      <c r="X400" s="363"/>
      <c r="Y400" s="363"/>
      <c r="Z400" s="363"/>
    </row>
    <row r="401" spans="1:26" ht="13.5" customHeight="1" x14ac:dyDescent="0.2">
      <c r="A401" s="363"/>
      <c r="B401" s="363"/>
      <c r="C401" s="363"/>
      <c r="D401" s="363"/>
      <c r="E401" s="363"/>
      <c r="F401" s="363"/>
      <c r="G401" s="363"/>
      <c r="H401" s="363"/>
      <c r="I401" s="363"/>
      <c r="J401" s="363"/>
      <c r="K401" s="363"/>
      <c r="L401" s="363"/>
      <c r="M401" s="363"/>
      <c r="N401" s="363"/>
      <c r="O401" s="363"/>
      <c r="P401" s="363"/>
      <c r="Q401" s="363"/>
      <c r="R401" s="363"/>
      <c r="S401" s="363"/>
      <c r="T401" s="363"/>
      <c r="U401" s="363"/>
      <c r="V401" s="363"/>
      <c r="W401" s="363"/>
      <c r="X401" s="363"/>
      <c r="Y401" s="363"/>
      <c r="Z401" s="363"/>
    </row>
    <row r="402" spans="1:26" ht="13.5" customHeight="1" x14ac:dyDescent="0.2">
      <c r="A402" s="363"/>
      <c r="B402" s="363"/>
      <c r="C402" s="363"/>
      <c r="D402" s="363"/>
      <c r="E402" s="363"/>
      <c r="F402" s="363"/>
      <c r="G402" s="363"/>
      <c r="H402" s="363"/>
      <c r="I402" s="363"/>
      <c r="J402" s="363"/>
      <c r="K402" s="363"/>
      <c r="L402" s="363"/>
      <c r="M402" s="363"/>
      <c r="N402" s="363"/>
      <c r="O402" s="363"/>
      <c r="P402" s="363"/>
      <c r="Q402" s="363"/>
      <c r="R402" s="363"/>
      <c r="S402" s="363"/>
      <c r="T402" s="363"/>
      <c r="U402" s="363"/>
      <c r="V402" s="363"/>
      <c r="W402" s="363"/>
      <c r="X402" s="363"/>
      <c r="Y402" s="363"/>
      <c r="Z402" s="363"/>
    </row>
    <row r="403" spans="1:26" ht="13.5" customHeight="1" x14ac:dyDescent="0.2">
      <c r="A403" s="363"/>
      <c r="B403" s="363"/>
      <c r="C403" s="363"/>
      <c r="D403" s="363"/>
      <c r="E403" s="363"/>
      <c r="F403" s="363"/>
      <c r="G403" s="363"/>
      <c r="H403" s="363"/>
      <c r="I403" s="363"/>
      <c r="J403" s="363"/>
      <c r="K403" s="363"/>
      <c r="L403" s="363"/>
      <c r="M403" s="363"/>
      <c r="N403" s="363"/>
      <c r="O403" s="363"/>
      <c r="P403" s="363"/>
      <c r="Q403" s="363"/>
      <c r="R403" s="363"/>
      <c r="S403" s="363"/>
      <c r="T403" s="363"/>
      <c r="U403" s="363"/>
      <c r="V403" s="363"/>
      <c r="W403" s="363"/>
      <c r="X403" s="363"/>
      <c r="Y403" s="363"/>
      <c r="Z403" s="363"/>
    </row>
    <row r="404" spans="1:26" ht="13.5" customHeight="1" x14ac:dyDescent="0.2">
      <c r="A404" s="363"/>
      <c r="B404" s="363"/>
      <c r="C404" s="363"/>
      <c r="D404" s="363"/>
      <c r="E404" s="363"/>
      <c r="F404" s="363"/>
      <c r="G404" s="363"/>
      <c r="H404" s="363"/>
      <c r="I404" s="363"/>
      <c r="J404" s="363"/>
      <c r="K404" s="363"/>
      <c r="L404" s="363"/>
      <c r="M404" s="363"/>
      <c r="N404" s="363"/>
      <c r="O404" s="363"/>
      <c r="P404" s="363"/>
      <c r="Q404" s="363"/>
      <c r="R404" s="363"/>
      <c r="S404" s="363"/>
      <c r="T404" s="363"/>
      <c r="U404" s="363"/>
      <c r="V404" s="363"/>
      <c r="W404" s="363"/>
      <c r="X404" s="363"/>
      <c r="Y404" s="363"/>
      <c r="Z404" s="363"/>
    </row>
    <row r="405" spans="1:26" ht="13.5" customHeight="1" x14ac:dyDescent="0.2">
      <c r="A405" s="363"/>
      <c r="B405" s="363"/>
      <c r="C405" s="363"/>
      <c r="D405" s="363"/>
      <c r="E405" s="363"/>
      <c r="F405" s="363"/>
      <c r="G405" s="363"/>
      <c r="H405" s="363"/>
      <c r="I405" s="363"/>
      <c r="J405" s="363"/>
      <c r="K405" s="363"/>
      <c r="L405" s="363"/>
      <c r="M405" s="363"/>
      <c r="N405" s="363"/>
      <c r="O405" s="363"/>
      <c r="P405" s="363"/>
      <c r="Q405" s="363"/>
      <c r="R405" s="363"/>
      <c r="S405" s="363"/>
      <c r="T405" s="363"/>
      <c r="U405" s="363"/>
      <c r="V405" s="363"/>
      <c r="W405" s="363"/>
      <c r="X405" s="363"/>
      <c r="Y405" s="363"/>
      <c r="Z405" s="363"/>
    </row>
    <row r="406" spans="1:26" ht="13.5" customHeight="1" x14ac:dyDescent="0.2">
      <c r="A406" s="363"/>
      <c r="B406" s="363"/>
      <c r="C406" s="363"/>
      <c r="D406" s="363"/>
      <c r="E406" s="363"/>
      <c r="F406" s="363"/>
      <c r="G406" s="363"/>
      <c r="H406" s="363"/>
      <c r="I406" s="363"/>
      <c r="J406" s="363"/>
      <c r="K406" s="363"/>
      <c r="L406" s="363"/>
      <c r="M406" s="363"/>
      <c r="N406" s="363"/>
      <c r="O406" s="363"/>
      <c r="P406" s="363"/>
      <c r="Q406" s="363"/>
      <c r="R406" s="363"/>
      <c r="S406" s="363"/>
      <c r="T406" s="363"/>
      <c r="U406" s="363"/>
      <c r="V406" s="363"/>
      <c r="W406" s="363"/>
      <c r="X406" s="363"/>
      <c r="Y406" s="363"/>
      <c r="Z406" s="363"/>
    </row>
    <row r="407" spans="1:26" ht="13.5" customHeight="1" x14ac:dyDescent="0.2">
      <c r="A407" s="363"/>
      <c r="B407" s="363"/>
      <c r="C407" s="363"/>
      <c r="D407" s="363"/>
      <c r="E407" s="363"/>
      <c r="F407" s="363"/>
      <c r="G407" s="363"/>
      <c r="H407" s="363"/>
      <c r="I407" s="363"/>
      <c r="J407" s="363"/>
      <c r="K407" s="363"/>
      <c r="L407" s="363"/>
      <c r="M407" s="363"/>
      <c r="N407" s="363"/>
      <c r="O407" s="363"/>
      <c r="P407" s="363"/>
      <c r="Q407" s="363"/>
      <c r="R407" s="363"/>
      <c r="S407" s="363"/>
      <c r="T407" s="363"/>
      <c r="U407" s="363"/>
      <c r="V407" s="363"/>
      <c r="W407" s="363"/>
      <c r="X407" s="363"/>
      <c r="Y407" s="363"/>
      <c r="Z407" s="363"/>
    </row>
    <row r="408" spans="1:26" ht="13.5" customHeight="1" x14ac:dyDescent="0.2">
      <c r="A408" s="363"/>
      <c r="B408" s="363"/>
      <c r="C408" s="363"/>
      <c r="D408" s="363"/>
      <c r="E408" s="363"/>
      <c r="F408" s="363"/>
      <c r="G408" s="363"/>
      <c r="H408" s="363"/>
      <c r="I408" s="363"/>
      <c r="J408" s="363"/>
      <c r="K408" s="363"/>
      <c r="L408" s="363"/>
      <c r="M408" s="363"/>
      <c r="N408" s="363"/>
      <c r="O408" s="363"/>
      <c r="P408" s="363"/>
      <c r="Q408" s="363"/>
      <c r="R408" s="363"/>
      <c r="S408" s="363"/>
      <c r="T408" s="363"/>
      <c r="U408" s="363"/>
      <c r="V408" s="363"/>
      <c r="W408" s="363"/>
      <c r="X408" s="363"/>
      <c r="Y408" s="363"/>
      <c r="Z408" s="363"/>
    </row>
    <row r="409" spans="1:26" ht="13.5" customHeight="1" x14ac:dyDescent="0.2">
      <c r="A409" s="363"/>
      <c r="B409" s="363"/>
      <c r="C409" s="363"/>
      <c r="D409" s="363"/>
      <c r="E409" s="363"/>
      <c r="F409" s="363"/>
      <c r="G409" s="363"/>
      <c r="H409" s="363"/>
      <c r="I409" s="363"/>
      <c r="J409" s="363"/>
      <c r="K409" s="363"/>
      <c r="L409" s="363"/>
      <c r="M409" s="363"/>
      <c r="N409" s="363"/>
      <c r="O409" s="363"/>
      <c r="P409" s="363"/>
      <c r="Q409" s="363"/>
      <c r="R409" s="363"/>
      <c r="S409" s="363"/>
      <c r="T409" s="363"/>
      <c r="U409" s="363"/>
      <c r="V409" s="363"/>
      <c r="W409" s="363"/>
      <c r="X409" s="363"/>
      <c r="Y409" s="363"/>
      <c r="Z409" s="363"/>
    </row>
    <row r="410" spans="1:26" ht="13.5" customHeight="1" x14ac:dyDescent="0.2">
      <c r="A410" s="363"/>
      <c r="B410" s="363"/>
      <c r="C410" s="363"/>
      <c r="D410" s="363"/>
      <c r="E410" s="363"/>
      <c r="F410" s="363"/>
      <c r="G410" s="363"/>
      <c r="H410" s="363"/>
      <c r="I410" s="363"/>
      <c r="J410" s="363"/>
      <c r="K410" s="363"/>
      <c r="L410" s="363"/>
      <c r="M410" s="363"/>
      <c r="N410" s="363"/>
      <c r="O410" s="363"/>
      <c r="P410" s="363"/>
      <c r="Q410" s="363"/>
      <c r="R410" s="363"/>
      <c r="S410" s="363"/>
      <c r="T410" s="363"/>
      <c r="U410" s="363"/>
      <c r="V410" s="363"/>
      <c r="W410" s="363"/>
      <c r="X410" s="363"/>
      <c r="Y410" s="363"/>
      <c r="Z410" s="363"/>
    </row>
    <row r="411" spans="1:26" ht="13.5" customHeight="1" x14ac:dyDescent="0.2">
      <c r="A411" s="363"/>
      <c r="B411" s="363"/>
      <c r="C411" s="363"/>
      <c r="D411" s="363"/>
      <c r="E411" s="363"/>
      <c r="F411" s="363"/>
      <c r="G411" s="363"/>
      <c r="H411" s="363"/>
      <c r="I411" s="363"/>
      <c r="J411" s="363"/>
      <c r="K411" s="363"/>
      <c r="L411" s="363"/>
      <c r="M411" s="363"/>
      <c r="N411" s="363"/>
      <c r="O411" s="363"/>
      <c r="P411" s="363"/>
      <c r="Q411" s="363"/>
      <c r="R411" s="363"/>
      <c r="S411" s="363"/>
      <c r="T411" s="363"/>
      <c r="U411" s="363"/>
      <c r="V411" s="363"/>
      <c r="W411" s="363"/>
      <c r="X411" s="363"/>
      <c r="Y411" s="363"/>
      <c r="Z411" s="363"/>
    </row>
    <row r="412" spans="1:26" ht="13.5" customHeight="1" x14ac:dyDescent="0.2">
      <c r="A412" s="363"/>
      <c r="B412" s="363"/>
      <c r="C412" s="363"/>
      <c r="D412" s="363"/>
      <c r="E412" s="363"/>
      <c r="F412" s="363"/>
      <c r="G412" s="363"/>
      <c r="H412" s="363"/>
      <c r="I412" s="363"/>
      <c r="J412" s="363"/>
      <c r="K412" s="363"/>
      <c r="L412" s="363"/>
      <c r="M412" s="363"/>
      <c r="N412" s="363"/>
      <c r="O412" s="363"/>
      <c r="P412" s="363"/>
      <c r="Q412" s="363"/>
      <c r="R412" s="363"/>
      <c r="S412" s="363"/>
      <c r="T412" s="363"/>
      <c r="U412" s="363"/>
      <c r="V412" s="363"/>
      <c r="W412" s="363"/>
      <c r="X412" s="363"/>
      <c r="Y412" s="363"/>
      <c r="Z412" s="363"/>
    </row>
    <row r="413" spans="1:26" ht="13.5" customHeight="1" x14ac:dyDescent="0.2">
      <c r="A413" s="363"/>
      <c r="B413" s="363"/>
      <c r="C413" s="363"/>
      <c r="D413" s="363"/>
      <c r="E413" s="363"/>
      <c r="F413" s="363"/>
      <c r="G413" s="363"/>
      <c r="H413" s="363"/>
      <c r="I413" s="363"/>
      <c r="J413" s="363"/>
      <c r="K413" s="363"/>
      <c r="L413" s="363"/>
      <c r="M413" s="363"/>
      <c r="N413" s="363"/>
      <c r="O413" s="363"/>
      <c r="P413" s="363"/>
      <c r="Q413" s="363"/>
      <c r="R413" s="363"/>
      <c r="S413" s="363"/>
      <c r="T413" s="363"/>
      <c r="U413" s="363"/>
      <c r="V413" s="363"/>
      <c r="W413" s="363"/>
      <c r="X413" s="363"/>
      <c r="Y413" s="363"/>
      <c r="Z413" s="363"/>
    </row>
    <row r="414" spans="1:26" ht="13.5" customHeight="1" x14ac:dyDescent="0.2">
      <c r="A414" s="363"/>
      <c r="B414" s="363"/>
      <c r="C414" s="363"/>
      <c r="D414" s="363"/>
      <c r="E414" s="363"/>
      <c r="F414" s="363"/>
      <c r="G414" s="363"/>
      <c r="H414" s="363"/>
      <c r="I414" s="363"/>
      <c r="J414" s="363"/>
      <c r="K414" s="363"/>
      <c r="L414" s="363"/>
      <c r="M414" s="363"/>
      <c r="N414" s="363"/>
      <c r="O414" s="363"/>
      <c r="P414" s="363"/>
      <c r="Q414" s="363"/>
      <c r="R414" s="363"/>
      <c r="S414" s="363"/>
      <c r="T414" s="363"/>
      <c r="U414" s="363"/>
      <c r="V414" s="363"/>
      <c r="W414" s="363"/>
      <c r="X414" s="363"/>
      <c r="Y414" s="363"/>
      <c r="Z414" s="363"/>
    </row>
    <row r="415" spans="1:26" ht="13.5" customHeight="1" x14ac:dyDescent="0.2">
      <c r="A415" s="363"/>
      <c r="B415" s="363"/>
      <c r="C415" s="363"/>
      <c r="D415" s="363"/>
      <c r="E415" s="363"/>
      <c r="F415" s="363"/>
      <c r="G415" s="363"/>
      <c r="H415" s="363"/>
      <c r="I415" s="363"/>
      <c r="J415" s="363"/>
      <c r="K415" s="363"/>
      <c r="L415" s="363"/>
      <c r="M415" s="363"/>
      <c r="N415" s="363"/>
      <c r="O415" s="363"/>
      <c r="P415" s="363"/>
      <c r="Q415" s="363"/>
      <c r="R415" s="363"/>
      <c r="S415" s="363"/>
      <c r="T415" s="363"/>
      <c r="U415" s="363"/>
      <c r="V415" s="363"/>
      <c r="W415" s="363"/>
      <c r="X415" s="363"/>
      <c r="Y415" s="363"/>
      <c r="Z415" s="363"/>
    </row>
    <row r="416" spans="1:26" ht="13.5" customHeight="1" x14ac:dyDescent="0.2">
      <c r="A416" s="363"/>
      <c r="B416" s="363"/>
      <c r="C416" s="363"/>
      <c r="D416" s="363"/>
      <c r="E416" s="363"/>
      <c r="F416" s="363"/>
      <c r="G416" s="363"/>
      <c r="H416" s="363"/>
      <c r="I416" s="363"/>
      <c r="J416" s="363"/>
      <c r="K416" s="363"/>
      <c r="L416" s="363"/>
      <c r="M416" s="363"/>
      <c r="N416" s="363"/>
      <c r="O416" s="363"/>
      <c r="P416" s="363"/>
      <c r="Q416" s="363"/>
      <c r="R416" s="363"/>
      <c r="S416" s="363"/>
      <c r="T416" s="363"/>
      <c r="U416" s="363"/>
      <c r="V416" s="363"/>
      <c r="W416" s="363"/>
      <c r="X416" s="363"/>
      <c r="Y416" s="363"/>
      <c r="Z416" s="363"/>
    </row>
    <row r="417" spans="1:26" ht="13.5" customHeight="1" x14ac:dyDescent="0.2">
      <c r="A417" s="363"/>
      <c r="B417" s="363"/>
      <c r="C417" s="363"/>
      <c r="D417" s="363"/>
      <c r="E417" s="363"/>
      <c r="F417" s="363"/>
      <c r="G417" s="363"/>
      <c r="H417" s="363"/>
      <c r="I417" s="363"/>
      <c r="J417" s="363"/>
      <c r="K417" s="363"/>
      <c r="L417" s="363"/>
      <c r="M417" s="363"/>
      <c r="N417" s="363"/>
      <c r="O417" s="363"/>
      <c r="P417" s="363"/>
      <c r="Q417" s="363"/>
      <c r="R417" s="363"/>
      <c r="S417" s="363"/>
      <c r="T417" s="363"/>
      <c r="U417" s="363"/>
      <c r="V417" s="363"/>
      <c r="W417" s="363"/>
      <c r="X417" s="363"/>
      <c r="Y417" s="363"/>
      <c r="Z417" s="363"/>
    </row>
    <row r="418" spans="1:26" ht="13.5" customHeight="1" x14ac:dyDescent="0.2">
      <c r="A418" s="363"/>
      <c r="B418" s="363"/>
      <c r="C418" s="363"/>
      <c r="D418" s="363"/>
      <c r="E418" s="363"/>
      <c r="F418" s="363"/>
      <c r="G418" s="363"/>
      <c r="H418" s="363"/>
      <c r="I418" s="363"/>
      <c r="J418" s="363"/>
      <c r="K418" s="363"/>
      <c r="L418" s="363"/>
      <c r="M418" s="363"/>
      <c r="N418" s="363"/>
      <c r="O418" s="363"/>
      <c r="P418" s="363"/>
      <c r="Q418" s="363"/>
      <c r="R418" s="363"/>
      <c r="S418" s="363"/>
      <c r="T418" s="363"/>
      <c r="U418" s="363"/>
      <c r="V418" s="363"/>
      <c r="W418" s="363"/>
      <c r="X418" s="363"/>
      <c r="Y418" s="363"/>
      <c r="Z418" s="363"/>
    </row>
    <row r="419" spans="1:26" ht="13.5" customHeight="1" x14ac:dyDescent="0.2">
      <c r="A419" s="363"/>
      <c r="B419" s="363"/>
      <c r="C419" s="363"/>
      <c r="D419" s="363"/>
      <c r="E419" s="363"/>
      <c r="F419" s="363"/>
      <c r="G419" s="363"/>
      <c r="H419" s="363"/>
      <c r="I419" s="363"/>
      <c r="J419" s="363"/>
      <c r="K419" s="363"/>
      <c r="L419" s="363"/>
      <c r="M419" s="363"/>
      <c r="N419" s="363"/>
      <c r="O419" s="363"/>
      <c r="P419" s="363"/>
      <c r="Q419" s="363"/>
      <c r="R419" s="363"/>
      <c r="S419" s="363"/>
      <c r="T419" s="363"/>
      <c r="U419" s="363"/>
      <c r="V419" s="363"/>
      <c r="W419" s="363"/>
      <c r="X419" s="363"/>
      <c r="Y419" s="363"/>
      <c r="Z419" s="363"/>
    </row>
    <row r="420" spans="1:26" ht="13.5" customHeight="1" x14ac:dyDescent="0.2">
      <c r="A420" s="363"/>
      <c r="B420" s="363"/>
      <c r="C420" s="363"/>
      <c r="D420" s="363"/>
      <c r="E420" s="363"/>
      <c r="F420" s="363"/>
      <c r="G420" s="363"/>
      <c r="H420" s="363"/>
      <c r="I420" s="363"/>
      <c r="J420" s="363"/>
      <c r="K420" s="363"/>
      <c r="L420" s="363"/>
      <c r="M420" s="363"/>
      <c r="N420" s="363"/>
      <c r="O420" s="363"/>
      <c r="P420" s="363"/>
      <c r="Q420" s="363"/>
      <c r="R420" s="363"/>
      <c r="S420" s="363"/>
      <c r="T420" s="363"/>
      <c r="U420" s="363"/>
      <c r="V420" s="363"/>
      <c r="W420" s="363"/>
      <c r="X420" s="363"/>
      <c r="Y420" s="363"/>
      <c r="Z420" s="363"/>
    </row>
    <row r="421" spans="1:26" ht="13.5" customHeight="1" x14ac:dyDescent="0.2">
      <c r="A421" s="363"/>
      <c r="B421" s="363"/>
      <c r="C421" s="363"/>
      <c r="D421" s="363"/>
      <c r="E421" s="363"/>
      <c r="F421" s="363"/>
      <c r="G421" s="363"/>
      <c r="H421" s="363"/>
      <c r="I421" s="363"/>
      <c r="J421" s="363"/>
      <c r="K421" s="363"/>
      <c r="L421" s="363"/>
      <c r="M421" s="363"/>
      <c r="N421" s="363"/>
      <c r="O421" s="363"/>
      <c r="P421" s="363"/>
      <c r="Q421" s="363"/>
      <c r="R421" s="363"/>
      <c r="S421" s="363"/>
      <c r="T421" s="363"/>
      <c r="U421" s="363"/>
      <c r="V421" s="363"/>
      <c r="W421" s="363"/>
      <c r="X421" s="363"/>
      <c r="Y421" s="363"/>
      <c r="Z421" s="363"/>
    </row>
    <row r="422" spans="1:26" ht="13.5" customHeight="1" x14ac:dyDescent="0.2">
      <c r="A422" s="363"/>
      <c r="B422" s="363"/>
      <c r="C422" s="363"/>
      <c r="D422" s="363"/>
      <c r="E422" s="363"/>
      <c r="F422" s="363"/>
      <c r="G422" s="363"/>
      <c r="H422" s="363"/>
      <c r="I422" s="363"/>
      <c r="J422" s="363"/>
      <c r="K422" s="363"/>
      <c r="L422" s="363"/>
      <c r="M422" s="363"/>
      <c r="N422" s="363"/>
      <c r="O422" s="363"/>
      <c r="P422" s="363"/>
      <c r="Q422" s="363"/>
      <c r="R422" s="363"/>
      <c r="S422" s="363"/>
      <c r="T422" s="363"/>
      <c r="U422" s="363"/>
      <c r="V422" s="363"/>
      <c r="W422" s="363"/>
      <c r="X422" s="363"/>
      <c r="Y422" s="363"/>
      <c r="Z422" s="363"/>
    </row>
    <row r="423" spans="1:26" ht="13.5" customHeight="1" x14ac:dyDescent="0.2">
      <c r="A423" s="363"/>
      <c r="B423" s="363"/>
      <c r="C423" s="363"/>
      <c r="D423" s="363"/>
      <c r="E423" s="363"/>
      <c r="F423" s="363"/>
      <c r="G423" s="363"/>
      <c r="H423" s="363"/>
      <c r="I423" s="363"/>
      <c r="J423" s="363"/>
      <c r="K423" s="363"/>
      <c r="L423" s="363"/>
      <c r="M423" s="363"/>
      <c r="N423" s="363"/>
      <c r="O423" s="363"/>
      <c r="P423" s="363"/>
      <c r="Q423" s="363"/>
      <c r="R423" s="363"/>
      <c r="S423" s="363"/>
      <c r="T423" s="363"/>
      <c r="U423" s="363"/>
      <c r="V423" s="363"/>
      <c r="W423" s="363"/>
      <c r="X423" s="363"/>
      <c r="Y423" s="363"/>
      <c r="Z423" s="363"/>
    </row>
    <row r="424" spans="1:26" ht="13.5" customHeight="1" x14ac:dyDescent="0.2">
      <c r="A424" s="363"/>
      <c r="B424" s="363"/>
      <c r="C424" s="363"/>
      <c r="D424" s="363"/>
      <c r="E424" s="363"/>
      <c r="F424" s="363"/>
      <c r="G424" s="363"/>
      <c r="H424" s="363"/>
      <c r="I424" s="363"/>
      <c r="J424" s="363"/>
      <c r="K424" s="363"/>
      <c r="L424" s="363"/>
      <c r="M424" s="363"/>
      <c r="N424" s="363"/>
      <c r="O424" s="363"/>
      <c r="P424" s="363"/>
      <c r="Q424" s="363"/>
      <c r="R424" s="363"/>
      <c r="S424" s="363"/>
      <c r="T424" s="363"/>
      <c r="U424" s="363"/>
      <c r="V424" s="363"/>
      <c r="W424" s="363"/>
      <c r="X424" s="363"/>
      <c r="Y424" s="363"/>
      <c r="Z424" s="363"/>
    </row>
    <row r="425" spans="1:26" ht="13.5" customHeight="1" x14ac:dyDescent="0.2">
      <c r="A425" s="363"/>
      <c r="B425" s="363"/>
      <c r="C425" s="363"/>
      <c r="D425" s="363"/>
      <c r="E425" s="363"/>
      <c r="F425" s="363"/>
      <c r="G425" s="363"/>
      <c r="H425" s="363"/>
      <c r="I425" s="363"/>
      <c r="J425" s="363"/>
      <c r="K425" s="363"/>
      <c r="L425" s="363"/>
      <c r="M425" s="363"/>
      <c r="N425" s="363"/>
      <c r="O425" s="363"/>
      <c r="P425" s="363"/>
      <c r="Q425" s="363"/>
      <c r="R425" s="363"/>
      <c r="S425" s="363"/>
      <c r="T425" s="363"/>
      <c r="U425" s="363"/>
      <c r="V425" s="363"/>
      <c r="W425" s="363"/>
      <c r="X425" s="363"/>
      <c r="Y425" s="363"/>
      <c r="Z425" s="363"/>
    </row>
    <row r="426" spans="1:26" ht="13.5" customHeight="1" x14ac:dyDescent="0.2">
      <c r="A426" s="363"/>
      <c r="B426" s="363"/>
      <c r="C426" s="363"/>
      <c r="D426" s="363"/>
      <c r="E426" s="363"/>
      <c r="F426" s="363"/>
      <c r="G426" s="363"/>
      <c r="H426" s="363"/>
      <c r="I426" s="363"/>
      <c r="J426" s="363"/>
      <c r="K426" s="363"/>
      <c r="L426" s="363"/>
      <c r="M426" s="363"/>
      <c r="N426" s="363"/>
      <c r="O426" s="363"/>
      <c r="P426" s="363"/>
      <c r="Q426" s="363"/>
      <c r="R426" s="363"/>
      <c r="S426" s="363"/>
      <c r="T426" s="363"/>
      <c r="U426" s="363"/>
      <c r="V426" s="363"/>
      <c r="W426" s="363"/>
      <c r="X426" s="363"/>
      <c r="Y426" s="363"/>
      <c r="Z426" s="363"/>
    </row>
    <row r="427" spans="1:26" ht="13.5" customHeight="1" x14ac:dyDescent="0.2">
      <c r="A427" s="363"/>
      <c r="B427" s="363"/>
      <c r="C427" s="363"/>
      <c r="D427" s="363"/>
      <c r="E427" s="363"/>
      <c r="F427" s="363"/>
      <c r="G427" s="363"/>
      <c r="H427" s="363"/>
      <c r="I427" s="363"/>
      <c r="J427" s="363"/>
      <c r="K427" s="363"/>
      <c r="L427" s="363"/>
      <c r="M427" s="363"/>
      <c r="N427" s="363"/>
      <c r="O427" s="363"/>
      <c r="P427" s="363"/>
      <c r="Q427" s="363"/>
      <c r="R427" s="363"/>
      <c r="S427" s="363"/>
      <c r="T427" s="363"/>
      <c r="U427" s="363"/>
      <c r="V427" s="363"/>
      <c r="W427" s="363"/>
      <c r="X427" s="363"/>
      <c r="Y427" s="363"/>
      <c r="Z427" s="363"/>
    </row>
    <row r="428" spans="1:26" ht="13.5" customHeight="1" x14ac:dyDescent="0.2">
      <c r="A428" s="363"/>
      <c r="B428" s="363"/>
      <c r="C428" s="363"/>
      <c r="D428" s="363"/>
      <c r="E428" s="363"/>
      <c r="F428" s="363"/>
      <c r="G428" s="363"/>
      <c r="H428" s="363"/>
      <c r="I428" s="363"/>
      <c r="J428" s="363"/>
      <c r="K428" s="363"/>
      <c r="L428" s="363"/>
      <c r="M428" s="363"/>
      <c r="N428" s="363"/>
      <c r="O428" s="363"/>
      <c r="P428" s="363"/>
      <c r="Q428" s="363"/>
      <c r="R428" s="363"/>
      <c r="S428" s="363"/>
      <c r="T428" s="363"/>
      <c r="U428" s="363"/>
      <c r="V428" s="363"/>
      <c r="W428" s="363"/>
      <c r="X428" s="363"/>
      <c r="Y428" s="363"/>
      <c r="Z428" s="363"/>
    </row>
    <row r="429" spans="1:26" ht="13.5" customHeight="1" x14ac:dyDescent="0.2">
      <c r="A429" s="363"/>
      <c r="B429" s="363"/>
      <c r="C429" s="363"/>
      <c r="D429" s="363"/>
      <c r="E429" s="363"/>
      <c r="F429" s="363"/>
      <c r="G429" s="363"/>
      <c r="H429" s="363"/>
      <c r="I429" s="363"/>
      <c r="J429" s="363"/>
      <c r="K429" s="363"/>
      <c r="L429" s="363"/>
      <c r="M429" s="363"/>
      <c r="N429" s="363"/>
      <c r="O429" s="363"/>
      <c r="P429" s="363"/>
      <c r="Q429" s="363"/>
      <c r="R429" s="363"/>
      <c r="S429" s="363"/>
      <c r="T429" s="363"/>
      <c r="U429" s="363"/>
      <c r="V429" s="363"/>
      <c r="W429" s="363"/>
      <c r="X429" s="363"/>
      <c r="Y429" s="363"/>
      <c r="Z429" s="363"/>
    </row>
    <row r="430" spans="1:26" ht="13.5" customHeight="1" x14ac:dyDescent="0.2">
      <c r="A430" s="363"/>
      <c r="B430" s="363"/>
      <c r="C430" s="363"/>
      <c r="D430" s="363"/>
      <c r="E430" s="363"/>
      <c r="F430" s="363"/>
      <c r="G430" s="363"/>
      <c r="H430" s="363"/>
      <c r="I430" s="363"/>
      <c r="J430" s="363"/>
      <c r="K430" s="363"/>
      <c r="L430" s="363"/>
      <c r="M430" s="363"/>
      <c r="N430" s="363"/>
      <c r="O430" s="363"/>
      <c r="P430" s="363"/>
      <c r="Q430" s="363"/>
      <c r="R430" s="363"/>
      <c r="S430" s="363"/>
      <c r="T430" s="363"/>
      <c r="U430" s="363"/>
      <c r="V430" s="363"/>
      <c r="W430" s="363"/>
      <c r="X430" s="363"/>
      <c r="Y430" s="363"/>
      <c r="Z430" s="363"/>
    </row>
    <row r="431" spans="1:26" ht="13.5" customHeight="1" x14ac:dyDescent="0.2">
      <c r="A431" s="363"/>
      <c r="B431" s="363"/>
      <c r="C431" s="363"/>
      <c r="D431" s="363"/>
      <c r="E431" s="363"/>
      <c r="F431" s="363"/>
      <c r="G431" s="363"/>
      <c r="H431" s="363"/>
      <c r="I431" s="363"/>
      <c r="J431" s="363"/>
      <c r="K431" s="363"/>
      <c r="L431" s="363"/>
      <c r="M431" s="363"/>
      <c r="N431" s="363"/>
      <c r="O431" s="363"/>
      <c r="P431" s="363"/>
      <c r="Q431" s="363"/>
      <c r="R431" s="363"/>
      <c r="S431" s="363"/>
      <c r="T431" s="363"/>
      <c r="U431" s="363"/>
      <c r="V431" s="363"/>
      <c r="W431" s="363"/>
      <c r="X431" s="363"/>
      <c r="Y431" s="363"/>
      <c r="Z431" s="363"/>
    </row>
    <row r="432" spans="1:26" ht="13.5" customHeight="1" x14ac:dyDescent="0.2">
      <c r="A432" s="363"/>
      <c r="B432" s="363"/>
      <c r="C432" s="363"/>
      <c r="D432" s="363"/>
      <c r="E432" s="363"/>
      <c r="F432" s="363"/>
      <c r="G432" s="363"/>
      <c r="H432" s="363"/>
      <c r="I432" s="363"/>
      <c r="J432" s="363"/>
      <c r="K432" s="363"/>
      <c r="L432" s="363"/>
      <c r="M432" s="363"/>
      <c r="N432" s="363"/>
      <c r="O432" s="363"/>
      <c r="P432" s="363"/>
      <c r="Q432" s="363"/>
      <c r="R432" s="363"/>
      <c r="S432" s="363"/>
      <c r="T432" s="363"/>
      <c r="U432" s="363"/>
      <c r="V432" s="363"/>
      <c r="W432" s="363"/>
      <c r="X432" s="363"/>
      <c r="Y432" s="363"/>
      <c r="Z432" s="363"/>
    </row>
    <row r="433" spans="1:26" ht="13.5" customHeight="1" x14ac:dyDescent="0.2">
      <c r="A433" s="363"/>
      <c r="B433" s="363"/>
      <c r="C433" s="363"/>
      <c r="D433" s="363"/>
      <c r="E433" s="363"/>
      <c r="F433" s="363"/>
      <c r="G433" s="363"/>
      <c r="H433" s="363"/>
      <c r="I433" s="363"/>
      <c r="J433" s="363"/>
      <c r="K433" s="363"/>
      <c r="L433" s="363"/>
      <c r="M433" s="363"/>
      <c r="N433" s="363"/>
      <c r="O433" s="363"/>
      <c r="P433" s="363"/>
      <c r="Q433" s="363"/>
      <c r="R433" s="363"/>
      <c r="S433" s="363"/>
      <c r="T433" s="363"/>
      <c r="U433" s="363"/>
      <c r="V433" s="363"/>
      <c r="W433" s="363"/>
      <c r="X433" s="363"/>
      <c r="Y433" s="363"/>
      <c r="Z433" s="363"/>
    </row>
    <row r="434" spans="1:26" ht="13.5" customHeight="1" x14ac:dyDescent="0.2">
      <c r="A434" s="363"/>
      <c r="B434" s="363"/>
      <c r="C434" s="363"/>
      <c r="D434" s="363"/>
      <c r="E434" s="363"/>
      <c r="F434" s="363"/>
      <c r="G434" s="363"/>
      <c r="H434" s="363"/>
      <c r="I434" s="363"/>
      <c r="J434" s="363"/>
      <c r="K434" s="363"/>
      <c r="L434" s="363"/>
      <c r="M434" s="363"/>
      <c r="N434" s="363"/>
      <c r="O434" s="363"/>
      <c r="P434" s="363"/>
      <c r="Q434" s="363"/>
      <c r="R434" s="363"/>
      <c r="S434" s="363"/>
      <c r="T434" s="363"/>
      <c r="U434" s="363"/>
      <c r="V434" s="363"/>
      <c r="W434" s="363"/>
      <c r="X434" s="363"/>
      <c r="Y434" s="363"/>
      <c r="Z434" s="363"/>
    </row>
    <row r="435" spans="1:26" ht="13.5" customHeight="1" x14ac:dyDescent="0.2">
      <c r="A435" s="363"/>
      <c r="B435" s="363"/>
      <c r="C435" s="363"/>
      <c r="D435" s="363"/>
      <c r="E435" s="363"/>
      <c r="F435" s="363"/>
      <c r="G435" s="363"/>
      <c r="H435" s="363"/>
      <c r="I435" s="363"/>
      <c r="J435" s="363"/>
      <c r="K435" s="363"/>
      <c r="L435" s="363"/>
      <c r="M435" s="363"/>
      <c r="N435" s="363"/>
      <c r="O435" s="363"/>
      <c r="P435" s="363"/>
      <c r="Q435" s="363"/>
      <c r="R435" s="363"/>
      <c r="S435" s="363"/>
      <c r="T435" s="363"/>
      <c r="U435" s="363"/>
      <c r="V435" s="363"/>
      <c r="W435" s="363"/>
      <c r="X435" s="363"/>
      <c r="Y435" s="363"/>
      <c r="Z435" s="363"/>
    </row>
    <row r="436" spans="1:26" ht="13.5" customHeight="1" x14ac:dyDescent="0.2">
      <c r="A436" s="363"/>
      <c r="B436" s="363"/>
      <c r="C436" s="363"/>
      <c r="D436" s="363"/>
      <c r="E436" s="363"/>
      <c r="F436" s="363"/>
      <c r="G436" s="363"/>
      <c r="H436" s="363"/>
      <c r="I436" s="363"/>
      <c r="J436" s="363"/>
      <c r="K436" s="363"/>
      <c r="L436" s="363"/>
      <c r="M436" s="363"/>
      <c r="N436" s="363"/>
      <c r="O436" s="363"/>
      <c r="P436" s="363"/>
      <c r="Q436" s="363"/>
      <c r="R436" s="363"/>
      <c r="S436" s="363"/>
      <c r="T436" s="363"/>
      <c r="U436" s="363"/>
      <c r="V436" s="363"/>
      <c r="W436" s="363"/>
      <c r="X436" s="363"/>
      <c r="Y436" s="363"/>
      <c r="Z436" s="363"/>
    </row>
    <row r="437" spans="1:26" ht="13.5" customHeight="1" x14ac:dyDescent="0.2">
      <c r="A437" s="363"/>
      <c r="B437" s="363"/>
      <c r="C437" s="363"/>
      <c r="D437" s="363"/>
      <c r="E437" s="363"/>
      <c r="F437" s="363"/>
      <c r="G437" s="363"/>
      <c r="H437" s="363"/>
      <c r="I437" s="363"/>
      <c r="J437" s="363"/>
      <c r="K437" s="363"/>
      <c r="L437" s="363"/>
      <c r="M437" s="363"/>
      <c r="N437" s="363"/>
      <c r="O437" s="363"/>
      <c r="P437" s="363"/>
      <c r="Q437" s="363"/>
      <c r="R437" s="363"/>
      <c r="S437" s="363"/>
      <c r="T437" s="363"/>
      <c r="U437" s="363"/>
      <c r="V437" s="363"/>
      <c r="W437" s="363"/>
      <c r="X437" s="363"/>
      <c r="Y437" s="363"/>
      <c r="Z437" s="363"/>
    </row>
    <row r="438" spans="1:26" ht="13.5" customHeight="1" x14ac:dyDescent="0.2">
      <c r="A438" s="363"/>
      <c r="B438" s="363"/>
      <c r="C438" s="363"/>
      <c r="D438" s="363"/>
      <c r="E438" s="363"/>
      <c r="F438" s="363"/>
      <c r="G438" s="363"/>
      <c r="H438" s="363"/>
      <c r="I438" s="363"/>
      <c r="J438" s="363"/>
      <c r="K438" s="363"/>
      <c r="L438" s="363"/>
      <c r="M438" s="363"/>
      <c r="N438" s="363"/>
      <c r="O438" s="363"/>
      <c r="P438" s="363"/>
      <c r="Q438" s="363"/>
      <c r="R438" s="363"/>
      <c r="S438" s="363"/>
      <c r="T438" s="363"/>
      <c r="U438" s="363"/>
      <c r="V438" s="363"/>
      <c r="W438" s="363"/>
      <c r="X438" s="363"/>
      <c r="Y438" s="363"/>
      <c r="Z438" s="363"/>
    </row>
    <row r="439" spans="1:26" ht="13.5" customHeight="1" x14ac:dyDescent="0.2">
      <c r="A439" s="363"/>
      <c r="B439" s="363"/>
      <c r="C439" s="363"/>
      <c r="D439" s="363"/>
      <c r="E439" s="363"/>
      <c r="F439" s="363"/>
      <c r="G439" s="363"/>
      <c r="H439" s="363"/>
      <c r="I439" s="363"/>
      <c r="J439" s="363"/>
      <c r="K439" s="363"/>
      <c r="L439" s="363"/>
      <c r="M439" s="363"/>
      <c r="N439" s="363"/>
      <c r="O439" s="363"/>
      <c r="P439" s="363"/>
      <c r="Q439" s="363"/>
      <c r="R439" s="363"/>
      <c r="S439" s="363"/>
      <c r="T439" s="363"/>
      <c r="U439" s="363"/>
      <c r="V439" s="363"/>
      <c r="W439" s="363"/>
      <c r="X439" s="363"/>
      <c r="Y439" s="363"/>
      <c r="Z439" s="363"/>
    </row>
    <row r="440" spans="1:26" ht="13.5" customHeight="1" x14ac:dyDescent="0.2">
      <c r="A440" s="363"/>
      <c r="B440" s="363"/>
      <c r="C440" s="363"/>
      <c r="D440" s="363"/>
      <c r="E440" s="363"/>
      <c r="F440" s="363"/>
      <c r="G440" s="363"/>
      <c r="H440" s="363"/>
      <c r="I440" s="363"/>
      <c r="J440" s="363"/>
      <c r="K440" s="363"/>
      <c r="L440" s="363"/>
      <c r="M440" s="363"/>
      <c r="N440" s="363"/>
      <c r="O440" s="363"/>
      <c r="P440" s="363"/>
      <c r="Q440" s="363"/>
      <c r="R440" s="363"/>
      <c r="S440" s="363"/>
      <c r="T440" s="363"/>
      <c r="U440" s="363"/>
      <c r="V440" s="363"/>
      <c r="W440" s="363"/>
      <c r="X440" s="363"/>
      <c r="Y440" s="363"/>
      <c r="Z440" s="363"/>
    </row>
    <row r="441" spans="1:26" ht="13.5" customHeight="1" x14ac:dyDescent="0.2">
      <c r="A441" s="363"/>
      <c r="B441" s="363"/>
      <c r="C441" s="363"/>
      <c r="D441" s="363"/>
      <c r="E441" s="363"/>
      <c r="F441" s="363"/>
      <c r="G441" s="363"/>
      <c r="H441" s="363"/>
      <c r="I441" s="363"/>
      <c r="J441" s="363"/>
      <c r="K441" s="363"/>
      <c r="L441" s="363"/>
      <c r="M441" s="363"/>
      <c r="N441" s="363"/>
      <c r="O441" s="363"/>
      <c r="P441" s="363"/>
      <c r="Q441" s="363"/>
      <c r="R441" s="363"/>
      <c r="S441" s="363"/>
      <c r="T441" s="363"/>
      <c r="U441" s="363"/>
      <c r="V441" s="363"/>
      <c r="W441" s="363"/>
      <c r="X441" s="363"/>
      <c r="Y441" s="363"/>
      <c r="Z441" s="363"/>
    </row>
    <row r="442" spans="1:26" ht="13.5" customHeight="1" x14ac:dyDescent="0.2">
      <c r="A442" s="363"/>
      <c r="B442" s="363"/>
      <c r="C442" s="363"/>
      <c r="D442" s="363"/>
      <c r="E442" s="363"/>
      <c r="F442" s="363"/>
      <c r="G442" s="363"/>
      <c r="H442" s="363"/>
      <c r="I442" s="363"/>
      <c r="J442" s="363"/>
      <c r="K442" s="363"/>
      <c r="L442" s="363"/>
      <c r="M442" s="363"/>
      <c r="N442" s="363"/>
      <c r="O442" s="363"/>
      <c r="P442" s="363"/>
      <c r="Q442" s="363"/>
      <c r="R442" s="363"/>
      <c r="S442" s="363"/>
      <c r="T442" s="363"/>
      <c r="U442" s="363"/>
      <c r="V442" s="363"/>
      <c r="W442" s="363"/>
      <c r="X442" s="363"/>
      <c r="Y442" s="363"/>
      <c r="Z442" s="363"/>
    </row>
    <row r="443" spans="1:26" ht="13.5" customHeight="1" x14ac:dyDescent="0.2">
      <c r="A443" s="363"/>
      <c r="B443" s="363"/>
      <c r="C443" s="363"/>
      <c r="D443" s="363"/>
      <c r="E443" s="363"/>
      <c r="F443" s="363"/>
      <c r="G443" s="363"/>
      <c r="H443" s="363"/>
      <c r="I443" s="363"/>
      <c r="J443" s="363"/>
      <c r="K443" s="363"/>
      <c r="L443" s="363"/>
      <c r="M443" s="363"/>
      <c r="N443" s="363"/>
      <c r="O443" s="363"/>
      <c r="P443" s="363"/>
      <c r="Q443" s="363"/>
      <c r="R443" s="363"/>
      <c r="S443" s="363"/>
      <c r="T443" s="363"/>
      <c r="U443" s="363"/>
      <c r="V443" s="363"/>
      <c r="W443" s="363"/>
      <c r="X443" s="363"/>
      <c r="Y443" s="363"/>
      <c r="Z443" s="363"/>
    </row>
    <row r="444" spans="1:26" ht="13.5" customHeight="1" x14ac:dyDescent="0.2">
      <c r="A444" s="363"/>
      <c r="B444" s="363"/>
      <c r="C444" s="363"/>
      <c r="D444" s="363"/>
      <c r="E444" s="363"/>
      <c r="F444" s="363"/>
      <c r="G444" s="363"/>
      <c r="H444" s="363"/>
      <c r="I444" s="363"/>
      <c r="J444" s="363"/>
      <c r="K444" s="363"/>
      <c r="L444" s="363"/>
      <c r="M444" s="363"/>
      <c r="N444" s="363"/>
      <c r="O444" s="363"/>
      <c r="P444" s="363"/>
      <c r="Q444" s="363"/>
      <c r="R444" s="363"/>
      <c r="S444" s="363"/>
      <c r="T444" s="363"/>
      <c r="U444" s="363"/>
      <c r="V444" s="363"/>
      <c r="W444" s="363"/>
      <c r="X444" s="363"/>
      <c r="Y444" s="363"/>
      <c r="Z444" s="363"/>
    </row>
    <row r="445" spans="1:26" ht="13.5" customHeight="1" x14ac:dyDescent="0.2">
      <c r="A445" s="363"/>
      <c r="B445" s="363"/>
      <c r="C445" s="363"/>
      <c r="D445" s="363"/>
      <c r="E445" s="363"/>
      <c r="F445" s="363"/>
      <c r="G445" s="363"/>
      <c r="H445" s="363"/>
      <c r="I445" s="363"/>
      <c r="J445" s="363"/>
      <c r="K445" s="363"/>
      <c r="L445" s="363"/>
      <c r="M445" s="363"/>
      <c r="N445" s="363"/>
      <c r="O445" s="363"/>
      <c r="P445" s="363"/>
      <c r="Q445" s="363"/>
      <c r="R445" s="363"/>
      <c r="S445" s="363"/>
      <c r="T445" s="363"/>
      <c r="U445" s="363"/>
      <c r="V445" s="363"/>
      <c r="W445" s="363"/>
      <c r="X445" s="363"/>
      <c r="Y445" s="363"/>
      <c r="Z445" s="363"/>
    </row>
    <row r="446" spans="1:26" ht="13.5" customHeight="1" x14ac:dyDescent="0.2">
      <c r="A446" s="363"/>
      <c r="B446" s="363"/>
      <c r="C446" s="363"/>
      <c r="D446" s="363"/>
      <c r="E446" s="363"/>
      <c r="F446" s="363"/>
      <c r="G446" s="363"/>
      <c r="H446" s="363"/>
      <c r="I446" s="363"/>
      <c r="J446" s="363"/>
      <c r="K446" s="363"/>
      <c r="L446" s="363"/>
      <c r="M446" s="363"/>
      <c r="N446" s="363"/>
      <c r="O446" s="363"/>
      <c r="P446" s="363"/>
      <c r="Q446" s="363"/>
      <c r="R446" s="363"/>
      <c r="S446" s="363"/>
      <c r="T446" s="363"/>
      <c r="U446" s="363"/>
      <c r="V446" s="363"/>
      <c r="W446" s="363"/>
      <c r="X446" s="363"/>
      <c r="Y446" s="363"/>
      <c r="Z446" s="363"/>
    </row>
    <row r="447" spans="1:26" ht="13.5" customHeight="1" x14ac:dyDescent="0.2">
      <c r="A447" s="363"/>
      <c r="B447" s="363"/>
      <c r="C447" s="363"/>
      <c r="D447" s="363"/>
      <c r="E447" s="363"/>
      <c r="F447" s="363"/>
      <c r="G447" s="363"/>
      <c r="H447" s="363"/>
      <c r="I447" s="363"/>
      <c r="J447" s="363"/>
      <c r="K447" s="363"/>
      <c r="L447" s="363"/>
      <c r="M447" s="363"/>
      <c r="N447" s="363"/>
      <c r="O447" s="363"/>
      <c r="P447" s="363"/>
      <c r="Q447" s="363"/>
      <c r="R447" s="363"/>
      <c r="S447" s="363"/>
      <c r="T447" s="363"/>
      <c r="U447" s="363"/>
      <c r="V447" s="363"/>
      <c r="W447" s="363"/>
      <c r="X447" s="363"/>
      <c r="Y447" s="363"/>
      <c r="Z447" s="363"/>
    </row>
    <row r="448" spans="1:26" ht="13.5" customHeight="1" x14ac:dyDescent="0.2">
      <c r="A448" s="363"/>
      <c r="B448" s="363"/>
      <c r="C448" s="363"/>
      <c r="D448" s="363"/>
      <c r="E448" s="363"/>
      <c r="F448" s="363"/>
      <c r="G448" s="363"/>
      <c r="H448" s="363"/>
      <c r="I448" s="363"/>
      <c r="J448" s="363"/>
      <c r="K448" s="363"/>
      <c r="L448" s="363"/>
      <c r="M448" s="363"/>
      <c r="N448" s="363"/>
      <c r="O448" s="363"/>
      <c r="P448" s="363"/>
      <c r="Q448" s="363"/>
      <c r="R448" s="363"/>
      <c r="S448" s="363"/>
      <c r="T448" s="363"/>
      <c r="U448" s="363"/>
      <c r="V448" s="363"/>
      <c r="W448" s="363"/>
      <c r="X448" s="363"/>
      <c r="Y448" s="363"/>
      <c r="Z448" s="363"/>
    </row>
    <row r="449" spans="1:26" ht="13.5" customHeight="1" x14ac:dyDescent="0.2">
      <c r="A449" s="363"/>
      <c r="B449" s="363"/>
      <c r="C449" s="363"/>
      <c r="D449" s="363"/>
      <c r="E449" s="363"/>
      <c r="F449" s="363"/>
      <c r="G449" s="363"/>
      <c r="H449" s="363"/>
      <c r="I449" s="363"/>
      <c r="J449" s="363"/>
      <c r="K449" s="363"/>
      <c r="L449" s="363"/>
      <c r="M449" s="363"/>
      <c r="N449" s="363"/>
      <c r="O449" s="363"/>
      <c r="P449" s="363"/>
      <c r="Q449" s="363"/>
      <c r="R449" s="363"/>
      <c r="S449" s="363"/>
      <c r="T449" s="363"/>
      <c r="U449" s="363"/>
      <c r="V449" s="363"/>
      <c r="W449" s="363"/>
      <c r="X449" s="363"/>
      <c r="Y449" s="363"/>
      <c r="Z449" s="363"/>
    </row>
    <row r="450" spans="1:26" ht="13.5" customHeight="1" x14ac:dyDescent="0.2">
      <c r="A450" s="363"/>
      <c r="B450" s="363"/>
      <c r="C450" s="363"/>
      <c r="D450" s="363"/>
      <c r="E450" s="363"/>
      <c r="F450" s="363"/>
      <c r="G450" s="363"/>
      <c r="H450" s="363"/>
      <c r="I450" s="363"/>
      <c r="J450" s="363"/>
      <c r="K450" s="363"/>
      <c r="L450" s="363"/>
      <c r="M450" s="363"/>
      <c r="N450" s="363"/>
      <c r="O450" s="363"/>
      <c r="P450" s="363"/>
      <c r="Q450" s="363"/>
      <c r="R450" s="363"/>
      <c r="S450" s="363"/>
      <c r="T450" s="363"/>
      <c r="U450" s="363"/>
      <c r="V450" s="363"/>
      <c r="W450" s="363"/>
      <c r="X450" s="363"/>
      <c r="Y450" s="363"/>
      <c r="Z450" s="363"/>
    </row>
    <row r="451" spans="1:26" ht="13.5" customHeight="1" x14ac:dyDescent="0.2">
      <c r="A451" s="363"/>
      <c r="B451" s="363"/>
      <c r="C451" s="363"/>
      <c r="D451" s="363"/>
      <c r="E451" s="363"/>
      <c r="F451" s="363"/>
      <c r="G451" s="363"/>
      <c r="H451" s="363"/>
      <c r="I451" s="363"/>
      <c r="J451" s="363"/>
      <c r="K451" s="363"/>
      <c r="L451" s="363"/>
      <c r="M451" s="363"/>
      <c r="N451" s="363"/>
      <c r="O451" s="363"/>
      <c r="P451" s="363"/>
      <c r="Q451" s="363"/>
      <c r="R451" s="363"/>
      <c r="S451" s="363"/>
      <c r="T451" s="363"/>
      <c r="U451" s="363"/>
      <c r="V451" s="363"/>
      <c r="W451" s="363"/>
      <c r="X451" s="363"/>
      <c r="Y451" s="363"/>
      <c r="Z451" s="363"/>
    </row>
    <row r="452" spans="1:26" ht="13.5" customHeight="1" x14ac:dyDescent="0.2">
      <c r="A452" s="363"/>
      <c r="B452" s="363"/>
      <c r="C452" s="363"/>
      <c r="D452" s="363"/>
      <c r="E452" s="363"/>
      <c r="F452" s="363"/>
      <c r="G452" s="363"/>
      <c r="H452" s="363"/>
      <c r="I452" s="363"/>
      <c r="J452" s="363"/>
      <c r="K452" s="363"/>
      <c r="L452" s="363"/>
      <c r="M452" s="363"/>
      <c r="N452" s="363"/>
      <c r="O452" s="363"/>
      <c r="P452" s="363"/>
      <c r="Q452" s="363"/>
      <c r="R452" s="363"/>
      <c r="S452" s="363"/>
      <c r="T452" s="363"/>
      <c r="U452" s="363"/>
      <c r="V452" s="363"/>
      <c r="W452" s="363"/>
      <c r="X452" s="363"/>
      <c r="Y452" s="363"/>
      <c r="Z452" s="363"/>
    </row>
    <row r="453" spans="1:26" ht="13.5" customHeight="1" x14ac:dyDescent="0.2">
      <c r="A453" s="363"/>
      <c r="B453" s="363"/>
      <c r="C453" s="363"/>
      <c r="D453" s="363"/>
      <c r="E453" s="363"/>
      <c r="F453" s="363"/>
      <c r="G453" s="363"/>
      <c r="H453" s="363"/>
      <c r="I453" s="363"/>
      <c r="J453" s="363"/>
      <c r="K453" s="363"/>
      <c r="L453" s="363"/>
      <c r="M453" s="363"/>
      <c r="N453" s="363"/>
      <c r="O453" s="363"/>
      <c r="P453" s="363"/>
      <c r="Q453" s="363"/>
      <c r="R453" s="363"/>
      <c r="S453" s="363"/>
      <c r="T453" s="363"/>
      <c r="U453" s="363"/>
      <c r="V453" s="363"/>
      <c r="W453" s="363"/>
      <c r="X453" s="363"/>
      <c r="Y453" s="363"/>
      <c r="Z453" s="363"/>
    </row>
    <row r="454" spans="1:26" ht="13.5" customHeight="1" x14ac:dyDescent="0.2">
      <c r="A454" s="363"/>
      <c r="B454" s="363"/>
      <c r="C454" s="363"/>
      <c r="D454" s="363"/>
      <c r="E454" s="363"/>
      <c r="F454" s="363"/>
      <c r="G454" s="363"/>
      <c r="H454" s="363"/>
      <c r="I454" s="363"/>
      <c r="J454" s="363"/>
      <c r="K454" s="363"/>
      <c r="L454" s="363"/>
      <c r="M454" s="363"/>
      <c r="N454" s="363"/>
      <c r="O454" s="363"/>
      <c r="P454" s="363"/>
      <c r="Q454" s="363"/>
      <c r="R454" s="363"/>
      <c r="S454" s="363"/>
      <c r="T454" s="363"/>
      <c r="U454" s="363"/>
      <c r="V454" s="363"/>
      <c r="W454" s="363"/>
      <c r="X454" s="363"/>
      <c r="Y454" s="363"/>
      <c r="Z454" s="363"/>
    </row>
    <row r="455" spans="1:26" ht="13.5" customHeight="1" x14ac:dyDescent="0.2">
      <c r="A455" s="363"/>
      <c r="B455" s="363"/>
      <c r="C455" s="363"/>
      <c r="D455" s="363"/>
      <c r="E455" s="363"/>
      <c r="F455" s="363"/>
      <c r="G455" s="363"/>
      <c r="H455" s="363"/>
      <c r="I455" s="363"/>
      <c r="J455" s="363"/>
      <c r="K455" s="363"/>
      <c r="L455" s="363"/>
      <c r="M455" s="363"/>
      <c r="N455" s="363"/>
      <c r="O455" s="363"/>
      <c r="P455" s="363"/>
      <c r="Q455" s="363"/>
      <c r="R455" s="363"/>
      <c r="S455" s="363"/>
      <c r="T455" s="363"/>
      <c r="U455" s="363"/>
      <c r="V455" s="363"/>
      <c r="W455" s="363"/>
      <c r="X455" s="363"/>
      <c r="Y455" s="363"/>
      <c r="Z455" s="363"/>
    </row>
    <row r="456" spans="1:26" ht="13.5" customHeight="1" x14ac:dyDescent="0.2">
      <c r="A456" s="363"/>
      <c r="B456" s="363"/>
      <c r="C456" s="363"/>
      <c r="D456" s="363"/>
      <c r="E456" s="363"/>
      <c r="F456" s="363"/>
      <c r="G456" s="363"/>
      <c r="H456" s="363"/>
      <c r="I456" s="363"/>
      <c r="J456" s="363"/>
      <c r="K456" s="363"/>
      <c r="L456" s="363"/>
      <c r="M456" s="363"/>
      <c r="N456" s="363"/>
      <c r="O456" s="363"/>
      <c r="P456" s="363"/>
      <c r="Q456" s="363"/>
      <c r="R456" s="363"/>
      <c r="S456" s="363"/>
      <c r="T456" s="363"/>
      <c r="U456" s="363"/>
      <c r="V456" s="363"/>
      <c r="W456" s="363"/>
      <c r="X456" s="363"/>
      <c r="Y456" s="363"/>
      <c r="Z456" s="363"/>
    </row>
    <row r="457" spans="1:26" ht="13.5" customHeight="1" x14ac:dyDescent="0.2">
      <c r="A457" s="363"/>
      <c r="B457" s="363"/>
      <c r="C457" s="363"/>
      <c r="D457" s="363"/>
      <c r="E457" s="363"/>
      <c r="F457" s="363"/>
      <c r="G457" s="363"/>
      <c r="H457" s="363"/>
      <c r="I457" s="363"/>
      <c r="J457" s="363"/>
      <c r="K457" s="363"/>
      <c r="L457" s="363"/>
      <c r="M457" s="363"/>
      <c r="N457" s="363"/>
      <c r="O457" s="363"/>
      <c r="P457" s="363"/>
      <c r="Q457" s="363"/>
      <c r="R457" s="363"/>
      <c r="S457" s="363"/>
      <c r="T457" s="363"/>
      <c r="U457" s="363"/>
      <c r="V457" s="363"/>
      <c r="W457" s="363"/>
      <c r="X457" s="363"/>
      <c r="Y457" s="363"/>
      <c r="Z457" s="363"/>
    </row>
    <row r="458" spans="1:26" ht="13.5" customHeight="1" x14ac:dyDescent="0.2">
      <c r="A458" s="363"/>
      <c r="B458" s="363"/>
      <c r="C458" s="363"/>
      <c r="D458" s="363"/>
      <c r="E458" s="363"/>
      <c r="F458" s="363"/>
      <c r="G458" s="363"/>
      <c r="H458" s="363"/>
      <c r="I458" s="363"/>
      <c r="J458" s="363"/>
      <c r="K458" s="363"/>
      <c r="L458" s="363"/>
      <c r="M458" s="363"/>
      <c r="N458" s="363"/>
      <c r="O458" s="363"/>
      <c r="P458" s="363"/>
      <c r="Q458" s="363"/>
      <c r="R458" s="363"/>
      <c r="S458" s="363"/>
      <c r="T458" s="363"/>
      <c r="U458" s="363"/>
      <c r="V458" s="363"/>
      <c r="W458" s="363"/>
      <c r="X458" s="363"/>
      <c r="Y458" s="363"/>
      <c r="Z458" s="363"/>
    </row>
    <row r="459" spans="1:26" ht="13.5" customHeight="1" x14ac:dyDescent="0.2">
      <c r="A459" s="363"/>
      <c r="B459" s="363"/>
      <c r="C459" s="363"/>
      <c r="D459" s="363"/>
      <c r="E459" s="363"/>
      <c r="F459" s="363"/>
      <c r="G459" s="363"/>
      <c r="H459" s="363"/>
      <c r="I459" s="363"/>
      <c r="J459" s="363"/>
      <c r="K459" s="363"/>
      <c r="L459" s="363"/>
      <c r="M459" s="363"/>
      <c r="N459" s="363"/>
      <c r="O459" s="363"/>
      <c r="P459" s="363"/>
      <c r="Q459" s="363"/>
      <c r="R459" s="363"/>
      <c r="S459" s="363"/>
      <c r="T459" s="363"/>
      <c r="U459" s="363"/>
      <c r="V459" s="363"/>
      <c r="W459" s="363"/>
      <c r="X459" s="363"/>
      <c r="Y459" s="363"/>
      <c r="Z459" s="363"/>
    </row>
    <row r="460" spans="1:26" ht="13.5" customHeight="1" x14ac:dyDescent="0.2">
      <c r="A460" s="363"/>
      <c r="B460" s="363"/>
      <c r="C460" s="363"/>
      <c r="D460" s="363"/>
      <c r="E460" s="363"/>
      <c r="F460" s="363"/>
      <c r="G460" s="363"/>
      <c r="H460" s="363"/>
      <c r="I460" s="363"/>
      <c r="J460" s="363"/>
      <c r="K460" s="363"/>
      <c r="L460" s="363"/>
      <c r="M460" s="363"/>
      <c r="N460" s="363"/>
      <c r="O460" s="363"/>
      <c r="P460" s="363"/>
      <c r="Q460" s="363"/>
      <c r="R460" s="363"/>
      <c r="S460" s="363"/>
      <c r="T460" s="363"/>
      <c r="U460" s="363"/>
      <c r="V460" s="363"/>
      <c r="W460" s="363"/>
      <c r="X460" s="363"/>
      <c r="Y460" s="363"/>
      <c r="Z460" s="363"/>
    </row>
    <row r="461" spans="1:26" ht="13.5" customHeight="1" x14ac:dyDescent="0.2">
      <c r="A461" s="363"/>
      <c r="B461" s="363"/>
      <c r="C461" s="363"/>
      <c r="D461" s="363"/>
      <c r="E461" s="363"/>
      <c r="F461" s="363"/>
      <c r="G461" s="363"/>
      <c r="H461" s="363"/>
      <c r="I461" s="363"/>
      <c r="J461" s="363"/>
      <c r="K461" s="363"/>
      <c r="L461" s="363"/>
      <c r="M461" s="363"/>
      <c r="N461" s="363"/>
      <c r="O461" s="363"/>
      <c r="P461" s="363"/>
      <c r="Q461" s="363"/>
      <c r="R461" s="363"/>
      <c r="S461" s="363"/>
      <c r="T461" s="363"/>
      <c r="U461" s="363"/>
      <c r="V461" s="363"/>
      <c r="W461" s="363"/>
      <c r="X461" s="363"/>
      <c r="Y461" s="363"/>
      <c r="Z461" s="363"/>
    </row>
    <row r="462" spans="1:26" ht="13.5" customHeight="1" x14ac:dyDescent="0.2">
      <c r="A462" s="363"/>
      <c r="B462" s="363"/>
      <c r="C462" s="363"/>
      <c r="D462" s="363"/>
      <c r="E462" s="363"/>
      <c r="F462" s="363"/>
      <c r="G462" s="363"/>
      <c r="H462" s="363"/>
      <c r="I462" s="363"/>
      <c r="J462" s="363"/>
      <c r="K462" s="363"/>
      <c r="L462" s="363"/>
      <c r="M462" s="363"/>
      <c r="N462" s="363"/>
      <c r="O462" s="363"/>
      <c r="P462" s="363"/>
      <c r="Q462" s="363"/>
      <c r="R462" s="363"/>
      <c r="S462" s="363"/>
      <c r="T462" s="363"/>
      <c r="U462" s="363"/>
      <c r="V462" s="363"/>
      <c r="W462" s="363"/>
      <c r="X462" s="363"/>
      <c r="Y462" s="363"/>
      <c r="Z462" s="363"/>
    </row>
    <row r="463" spans="1:26" ht="13.5" customHeight="1" x14ac:dyDescent="0.2">
      <c r="A463" s="363"/>
      <c r="B463" s="363"/>
      <c r="C463" s="363"/>
      <c r="D463" s="363"/>
      <c r="E463" s="363"/>
      <c r="F463" s="363"/>
      <c r="G463" s="363"/>
      <c r="H463" s="363"/>
      <c r="I463" s="363"/>
      <c r="J463" s="363"/>
      <c r="K463" s="363"/>
      <c r="L463" s="363"/>
      <c r="M463" s="363"/>
      <c r="N463" s="363"/>
      <c r="O463" s="363"/>
      <c r="P463" s="363"/>
      <c r="Q463" s="363"/>
      <c r="R463" s="363"/>
      <c r="S463" s="363"/>
      <c r="T463" s="363"/>
      <c r="U463" s="363"/>
      <c r="V463" s="363"/>
      <c r="W463" s="363"/>
      <c r="X463" s="363"/>
      <c r="Y463" s="363"/>
      <c r="Z463" s="363"/>
    </row>
    <row r="464" spans="1:26" ht="13.5" customHeight="1" x14ac:dyDescent="0.2">
      <c r="A464" s="363"/>
      <c r="B464" s="363"/>
      <c r="C464" s="363"/>
      <c r="D464" s="363"/>
      <c r="E464" s="363"/>
      <c r="F464" s="363"/>
      <c r="G464" s="363"/>
      <c r="H464" s="363"/>
      <c r="I464" s="363"/>
      <c r="J464" s="363"/>
      <c r="K464" s="363"/>
      <c r="L464" s="363"/>
      <c r="M464" s="363"/>
      <c r="N464" s="363"/>
      <c r="O464" s="363"/>
      <c r="P464" s="363"/>
      <c r="Q464" s="363"/>
      <c r="R464" s="363"/>
      <c r="S464" s="363"/>
      <c r="T464" s="363"/>
      <c r="U464" s="363"/>
      <c r="V464" s="363"/>
      <c r="W464" s="363"/>
      <c r="X464" s="363"/>
      <c r="Y464" s="363"/>
      <c r="Z464" s="363"/>
    </row>
    <row r="465" spans="1:26" ht="13.5" customHeight="1" x14ac:dyDescent="0.2">
      <c r="A465" s="363"/>
      <c r="B465" s="363"/>
      <c r="C465" s="363"/>
      <c r="D465" s="363"/>
      <c r="E465" s="363"/>
      <c r="F465" s="363"/>
      <c r="G465" s="363"/>
      <c r="H465" s="363"/>
      <c r="I465" s="363"/>
      <c r="J465" s="363"/>
      <c r="K465" s="363"/>
      <c r="L465" s="363"/>
      <c r="M465" s="363"/>
      <c r="N465" s="363"/>
      <c r="O465" s="363"/>
      <c r="P465" s="363"/>
      <c r="Q465" s="363"/>
      <c r="R465" s="363"/>
      <c r="S465" s="363"/>
      <c r="T465" s="363"/>
      <c r="U465" s="363"/>
      <c r="V465" s="363"/>
      <c r="W465" s="363"/>
      <c r="X465" s="363"/>
      <c r="Y465" s="363"/>
      <c r="Z465" s="363"/>
    </row>
    <row r="466" spans="1:26" ht="13.5" customHeight="1" x14ac:dyDescent="0.2">
      <c r="A466" s="363"/>
      <c r="B466" s="363"/>
      <c r="C466" s="363"/>
      <c r="D466" s="363"/>
      <c r="E466" s="363"/>
      <c r="F466" s="363"/>
      <c r="G466" s="363"/>
      <c r="H466" s="363"/>
      <c r="I466" s="363"/>
      <c r="J466" s="363"/>
      <c r="K466" s="363"/>
      <c r="L466" s="363"/>
      <c r="M466" s="363"/>
      <c r="N466" s="363"/>
      <c r="O466" s="363"/>
      <c r="P466" s="363"/>
      <c r="Q466" s="363"/>
      <c r="R466" s="363"/>
      <c r="S466" s="363"/>
      <c r="T466" s="363"/>
      <c r="U466" s="363"/>
      <c r="V466" s="363"/>
      <c r="W466" s="363"/>
      <c r="X466" s="363"/>
      <c r="Y466" s="363"/>
      <c r="Z466" s="363"/>
    </row>
    <row r="467" spans="1:26" ht="13.5" customHeight="1" x14ac:dyDescent="0.2">
      <c r="A467" s="363"/>
      <c r="B467" s="363"/>
      <c r="C467" s="363"/>
      <c r="D467" s="363"/>
      <c r="E467" s="363"/>
      <c r="F467" s="363"/>
      <c r="G467" s="363"/>
      <c r="H467" s="363"/>
      <c r="I467" s="363"/>
      <c r="J467" s="363"/>
      <c r="K467" s="363"/>
      <c r="L467" s="363"/>
      <c r="M467" s="363"/>
      <c r="N467" s="363"/>
      <c r="O467" s="363"/>
      <c r="P467" s="363"/>
      <c r="Q467" s="363"/>
      <c r="R467" s="363"/>
      <c r="S467" s="363"/>
      <c r="T467" s="363"/>
      <c r="U467" s="363"/>
      <c r="V467" s="363"/>
      <c r="W467" s="363"/>
      <c r="X467" s="363"/>
      <c r="Y467" s="363"/>
      <c r="Z467" s="363"/>
    </row>
    <row r="468" spans="1:26" ht="13.5" customHeight="1" x14ac:dyDescent="0.2">
      <c r="A468" s="363"/>
      <c r="B468" s="363"/>
      <c r="C468" s="363"/>
      <c r="D468" s="363"/>
      <c r="E468" s="363"/>
      <c r="F468" s="363"/>
      <c r="G468" s="363"/>
      <c r="H468" s="363"/>
      <c r="I468" s="363"/>
      <c r="J468" s="363"/>
      <c r="K468" s="363"/>
      <c r="L468" s="363"/>
      <c r="M468" s="363"/>
      <c r="N468" s="363"/>
      <c r="O468" s="363"/>
      <c r="P468" s="363"/>
      <c r="Q468" s="363"/>
      <c r="R468" s="363"/>
      <c r="S468" s="363"/>
      <c r="T468" s="363"/>
      <c r="U468" s="363"/>
      <c r="V468" s="363"/>
      <c r="W468" s="363"/>
      <c r="X468" s="363"/>
      <c r="Y468" s="363"/>
      <c r="Z468" s="363"/>
    </row>
    <row r="469" spans="1:26" ht="13.5" customHeight="1" x14ac:dyDescent="0.2">
      <c r="A469" s="363"/>
      <c r="B469" s="363"/>
      <c r="C469" s="363"/>
      <c r="D469" s="363"/>
      <c r="E469" s="363"/>
      <c r="F469" s="363"/>
      <c r="G469" s="363"/>
      <c r="H469" s="363"/>
      <c r="I469" s="363"/>
      <c r="J469" s="363"/>
      <c r="K469" s="363"/>
      <c r="L469" s="363"/>
      <c r="M469" s="363"/>
      <c r="N469" s="363"/>
      <c r="O469" s="363"/>
      <c r="P469" s="363"/>
      <c r="Q469" s="363"/>
      <c r="R469" s="363"/>
      <c r="S469" s="363"/>
      <c r="T469" s="363"/>
      <c r="U469" s="363"/>
      <c r="V469" s="363"/>
      <c r="W469" s="363"/>
      <c r="X469" s="363"/>
      <c r="Y469" s="363"/>
      <c r="Z469" s="363"/>
    </row>
    <row r="470" spans="1:26" ht="13.5" customHeight="1" x14ac:dyDescent="0.2">
      <c r="A470" s="363"/>
      <c r="B470" s="363"/>
      <c r="C470" s="363"/>
      <c r="D470" s="363"/>
      <c r="E470" s="363"/>
      <c r="F470" s="363"/>
      <c r="G470" s="363"/>
      <c r="H470" s="363"/>
      <c r="I470" s="363"/>
      <c r="J470" s="363"/>
      <c r="K470" s="363"/>
      <c r="L470" s="363"/>
      <c r="M470" s="363"/>
      <c r="N470" s="363"/>
      <c r="O470" s="363"/>
      <c r="P470" s="363"/>
      <c r="Q470" s="363"/>
      <c r="R470" s="363"/>
      <c r="S470" s="363"/>
      <c r="T470" s="363"/>
      <c r="U470" s="363"/>
      <c r="V470" s="363"/>
      <c r="W470" s="363"/>
      <c r="X470" s="363"/>
      <c r="Y470" s="363"/>
      <c r="Z470" s="363"/>
    </row>
    <row r="471" spans="1:26" ht="13.5" customHeight="1" x14ac:dyDescent="0.2">
      <c r="A471" s="363"/>
      <c r="B471" s="363"/>
      <c r="C471" s="363"/>
      <c r="D471" s="363"/>
      <c r="E471" s="363"/>
      <c r="F471" s="363"/>
      <c r="G471" s="363"/>
      <c r="H471" s="363"/>
      <c r="I471" s="363"/>
      <c r="J471" s="363"/>
      <c r="K471" s="363"/>
      <c r="L471" s="363"/>
      <c r="M471" s="363"/>
      <c r="N471" s="363"/>
      <c r="O471" s="363"/>
      <c r="P471" s="363"/>
      <c r="Q471" s="363"/>
      <c r="R471" s="363"/>
      <c r="S471" s="363"/>
      <c r="T471" s="363"/>
      <c r="U471" s="363"/>
      <c r="V471" s="363"/>
      <c r="W471" s="363"/>
      <c r="X471" s="363"/>
      <c r="Y471" s="363"/>
      <c r="Z471" s="363"/>
    </row>
    <row r="472" spans="1:26" ht="13.5" customHeight="1" x14ac:dyDescent="0.2">
      <c r="A472" s="363"/>
      <c r="B472" s="363"/>
      <c r="C472" s="363"/>
      <c r="D472" s="363"/>
      <c r="E472" s="363"/>
      <c r="F472" s="363"/>
      <c r="G472" s="363"/>
      <c r="H472" s="363"/>
      <c r="I472" s="363"/>
      <c r="J472" s="363"/>
      <c r="K472" s="363"/>
      <c r="L472" s="363"/>
      <c r="M472" s="363"/>
      <c r="N472" s="363"/>
      <c r="O472" s="363"/>
      <c r="P472" s="363"/>
      <c r="Q472" s="363"/>
      <c r="R472" s="363"/>
      <c r="S472" s="363"/>
      <c r="T472" s="363"/>
      <c r="U472" s="363"/>
      <c r="V472" s="363"/>
      <c r="W472" s="363"/>
      <c r="X472" s="363"/>
      <c r="Y472" s="363"/>
      <c r="Z472" s="363"/>
    </row>
    <row r="473" spans="1:26" ht="13.5" customHeight="1" x14ac:dyDescent="0.2">
      <c r="A473" s="363"/>
      <c r="B473" s="363"/>
      <c r="C473" s="363"/>
      <c r="D473" s="363"/>
      <c r="E473" s="363"/>
      <c r="F473" s="363"/>
      <c r="G473" s="363"/>
      <c r="H473" s="363"/>
      <c r="I473" s="363"/>
      <c r="J473" s="363"/>
      <c r="K473" s="363"/>
      <c r="L473" s="363"/>
      <c r="M473" s="363"/>
      <c r="N473" s="363"/>
      <c r="O473" s="363"/>
      <c r="P473" s="363"/>
      <c r="Q473" s="363"/>
      <c r="R473" s="363"/>
      <c r="S473" s="363"/>
      <c r="T473" s="363"/>
      <c r="U473" s="363"/>
      <c r="V473" s="363"/>
      <c r="W473" s="363"/>
      <c r="X473" s="363"/>
      <c r="Y473" s="363"/>
      <c r="Z473" s="363"/>
    </row>
    <row r="474" spans="1:26" ht="13.5" customHeight="1" x14ac:dyDescent="0.2">
      <c r="A474" s="363"/>
      <c r="B474" s="363"/>
      <c r="C474" s="363"/>
      <c r="D474" s="363"/>
      <c r="E474" s="363"/>
      <c r="F474" s="363"/>
      <c r="G474" s="363"/>
      <c r="H474" s="363"/>
      <c r="I474" s="363"/>
      <c r="J474" s="363"/>
      <c r="K474" s="363"/>
      <c r="L474" s="363"/>
      <c r="M474" s="363"/>
      <c r="N474" s="363"/>
      <c r="O474" s="363"/>
      <c r="P474" s="363"/>
      <c r="Q474" s="363"/>
      <c r="R474" s="363"/>
      <c r="S474" s="363"/>
      <c r="T474" s="363"/>
      <c r="U474" s="363"/>
      <c r="V474" s="363"/>
      <c r="W474" s="363"/>
      <c r="X474" s="363"/>
      <c r="Y474" s="363"/>
      <c r="Z474" s="363"/>
    </row>
    <row r="475" spans="1:26" ht="13.5" customHeight="1" x14ac:dyDescent="0.2">
      <c r="A475" s="363"/>
      <c r="B475" s="363"/>
      <c r="C475" s="363"/>
      <c r="D475" s="363"/>
      <c r="E475" s="363"/>
      <c r="F475" s="363"/>
      <c r="G475" s="363"/>
      <c r="H475" s="363"/>
      <c r="I475" s="363"/>
      <c r="J475" s="363"/>
      <c r="K475" s="363"/>
      <c r="L475" s="363"/>
      <c r="M475" s="363"/>
      <c r="N475" s="363"/>
      <c r="O475" s="363"/>
      <c r="P475" s="363"/>
      <c r="Q475" s="363"/>
      <c r="R475" s="363"/>
      <c r="S475" s="363"/>
      <c r="T475" s="363"/>
      <c r="U475" s="363"/>
      <c r="V475" s="363"/>
      <c r="W475" s="363"/>
      <c r="X475" s="363"/>
      <c r="Y475" s="363"/>
      <c r="Z475" s="363"/>
    </row>
    <row r="476" spans="1:26" ht="13.5" customHeight="1" x14ac:dyDescent="0.2">
      <c r="A476" s="363"/>
      <c r="B476" s="363"/>
      <c r="C476" s="363"/>
      <c r="D476" s="363"/>
      <c r="E476" s="363"/>
      <c r="F476" s="363"/>
      <c r="G476" s="363"/>
      <c r="H476" s="363"/>
      <c r="I476" s="363"/>
      <c r="J476" s="363"/>
      <c r="K476" s="363"/>
      <c r="L476" s="363"/>
      <c r="M476" s="363"/>
      <c r="N476" s="363"/>
      <c r="O476" s="363"/>
      <c r="P476" s="363"/>
      <c r="Q476" s="363"/>
      <c r="R476" s="363"/>
      <c r="S476" s="363"/>
      <c r="T476" s="363"/>
      <c r="U476" s="363"/>
      <c r="V476" s="363"/>
      <c r="W476" s="363"/>
      <c r="X476" s="363"/>
      <c r="Y476" s="363"/>
      <c r="Z476" s="363"/>
    </row>
    <row r="477" spans="1:26" ht="13.5" customHeight="1" x14ac:dyDescent="0.2">
      <c r="A477" s="363"/>
      <c r="B477" s="363"/>
      <c r="C477" s="363"/>
      <c r="D477" s="363"/>
      <c r="E477" s="363"/>
      <c r="F477" s="363"/>
      <c r="G477" s="363"/>
      <c r="H477" s="363"/>
      <c r="I477" s="363"/>
      <c r="J477" s="363"/>
      <c r="K477" s="363"/>
      <c r="L477" s="363"/>
      <c r="M477" s="363"/>
      <c r="N477" s="363"/>
      <c r="O477" s="363"/>
      <c r="P477" s="363"/>
      <c r="Q477" s="363"/>
      <c r="R477" s="363"/>
      <c r="S477" s="363"/>
      <c r="T477" s="363"/>
      <c r="U477" s="363"/>
      <c r="V477" s="363"/>
      <c r="W477" s="363"/>
      <c r="X477" s="363"/>
      <c r="Y477" s="363"/>
      <c r="Z477" s="363"/>
    </row>
    <row r="478" spans="1:26" ht="13.5" customHeight="1" x14ac:dyDescent="0.2">
      <c r="A478" s="363"/>
      <c r="B478" s="363"/>
      <c r="C478" s="363"/>
      <c r="D478" s="363"/>
      <c r="E478" s="363"/>
      <c r="F478" s="363"/>
      <c r="G478" s="363"/>
      <c r="H478" s="363"/>
      <c r="I478" s="363"/>
      <c r="J478" s="363"/>
      <c r="K478" s="363"/>
      <c r="L478" s="363"/>
      <c r="M478" s="363"/>
      <c r="N478" s="363"/>
      <c r="O478" s="363"/>
      <c r="P478" s="363"/>
      <c r="Q478" s="363"/>
      <c r="R478" s="363"/>
      <c r="S478" s="363"/>
      <c r="T478" s="363"/>
      <c r="U478" s="363"/>
      <c r="V478" s="363"/>
      <c r="W478" s="363"/>
      <c r="X478" s="363"/>
      <c r="Y478" s="363"/>
      <c r="Z478" s="363"/>
    </row>
    <row r="479" spans="1:26" ht="13.5" customHeight="1" x14ac:dyDescent="0.2">
      <c r="A479" s="363"/>
      <c r="B479" s="363"/>
      <c r="C479" s="363"/>
      <c r="D479" s="363"/>
      <c r="E479" s="363"/>
      <c r="F479" s="363"/>
      <c r="G479" s="363"/>
      <c r="H479" s="363"/>
      <c r="I479" s="363"/>
      <c r="J479" s="363"/>
      <c r="K479" s="363"/>
      <c r="L479" s="363"/>
      <c r="M479" s="363"/>
      <c r="N479" s="363"/>
      <c r="O479" s="363"/>
      <c r="P479" s="363"/>
      <c r="Q479" s="363"/>
      <c r="R479" s="363"/>
      <c r="S479" s="363"/>
      <c r="T479" s="363"/>
      <c r="U479" s="363"/>
      <c r="V479" s="363"/>
      <c r="W479" s="363"/>
      <c r="X479" s="363"/>
      <c r="Y479" s="363"/>
      <c r="Z479" s="363"/>
    </row>
    <row r="480" spans="1:26" ht="13.5" customHeight="1" x14ac:dyDescent="0.2">
      <c r="A480" s="363"/>
      <c r="B480" s="363"/>
      <c r="C480" s="363"/>
      <c r="D480" s="363"/>
      <c r="E480" s="363"/>
      <c r="F480" s="363"/>
      <c r="G480" s="363"/>
      <c r="H480" s="363"/>
      <c r="I480" s="363"/>
      <c r="J480" s="363"/>
      <c r="K480" s="363"/>
      <c r="L480" s="363"/>
      <c r="M480" s="363"/>
      <c r="N480" s="363"/>
      <c r="O480" s="363"/>
      <c r="P480" s="363"/>
      <c r="Q480" s="363"/>
      <c r="R480" s="363"/>
      <c r="S480" s="363"/>
      <c r="T480" s="363"/>
      <c r="U480" s="363"/>
      <c r="V480" s="363"/>
      <c r="W480" s="363"/>
      <c r="X480" s="363"/>
      <c r="Y480" s="363"/>
      <c r="Z480" s="363"/>
    </row>
    <row r="481" spans="1:26" ht="13.5" customHeight="1" x14ac:dyDescent="0.2">
      <c r="A481" s="363"/>
      <c r="B481" s="363"/>
      <c r="C481" s="363"/>
      <c r="D481" s="363"/>
      <c r="E481" s="363"/>
      <c r="F481" s="363"/>
      <c r="G481" s="363"/>
      <c r="H481" s="363"/>
      <c r="I481" s="363"/>
      <c r="J481" s="363"/>
      <c r="K481" s="363"/>
      <c r="L481" s="363"/>
      <c r="M481" s="363"/>
      <c r="N481" s="363"/>
      <c r="O481" s="363"/>
      <c r="P481" s="363"/>
      <c r="Q481" s="363"/>
      <c r="R481" s="363"/>
      <c r="S481" s="363"/>
      <c r="T481" s="363"/>
      <c r="U481" s="363"/>
      <c r="V481" s="363"/>
      <c r="W481" s="363"/>
      <c r="X481" s="363"/>
      <c r="Y481" s="363"/>
      <c r="Z481" s="363"/>
    </row>
    <row r="482" spans="1:26" ht="13.5" customHeight="1" x14ac:dyDescent="0.2">
      <c r="A482" s="363"/>
      <c r="B482" s="363"/>
      <c r="C482" s="363"/>
      <c r="D482" s="363"/>
      <c r="E482" s="363"/>
      <c r="F482" s="363"/>
      <c r="G482" s="363"/>
      <c r="H482" s="363"/>
      <c r="I482" s="363"/>
      <c r="J482" s="363"/>
      <c r="K482" s="363"/>
      <c r="L482" s="363"/>
      <c r="M482" s="363"/>
      <c r="N482" s="363"/>
      <c r="O482" s="363"/>
      <c r="P482" s="363"/>
      <c r="Q482" s="363"/>
      <c r="R482" s="363"/>
      <c r="S482" s="363"/>
      <c r="T482" s="363"/>
      <c r="U482" s="363"/>
      <c r="V482" s="363"/>
      <c r="W482" s="363"/>
      <c r="X482" s="363"/>
      <c r="Y482" s="363"/>
      <c r="Z482" s="363"/>
    </row>
    <row r="483" spans="1:26" ht="13.5" customHeight="1" x14ac:dyDescent="0.2">
      <c r="A483" s="363"/>
      <c r="B483" s="363"/>
      <c r="C483" s="363"/>
      <c r="D483" s="363"/>
      <c r="E483" s="363"/>
      <c r="F483" s="363"/>
      <c r="G483" s="363"/>
      <c r="H483" s="363"/>
      <c r="I483" s="363"/>
      <c r="J483" s="363"/>
      <c r="K483" s="363"/>
      <c r="L483" s="363"/>
      <c r="M483" s="363"/>
      <c r="N483" s="363"/>
      <c r="O483" s="363"/>
      <c r="P483" s="363"/>
      <c r="Q483" s="363"/>
      <c r="R483" s="363"/>
      <c r="S483" s="363"/>
      <c r="T483" s="363"/>
      <c r="U483" s="363"/>
      <c r="V483" s="363"/>
      <c r="W483" s="363"/>
      <c r="X483" s="363"/>
      <c r="Y483" s="363"/>
      <c r="Z483" s="363"/>
    </row>
    <row r="484" spans="1:26" ht="13.5" customHeight="1" x14ac:dyDescent="0.2">
      <c r="A484" s="363"/>
      <c r="B484" s="363"/>
      <c r="C484" s="363"/>
      <c r="D484" s="363"/>
      <c r="E484" s="363"/>
      <c r="F484" s="363"/>
      <c r="G484" s="363"/>
      <c r="H484" s="363"/>
      <c r="I484" s="363"/>
      <c r="J484" s="363"/>
      <c r="K484" s="363"/>
      <c r="L484" s="363"/>
      <c r="M484" s="363"/>
      <c r="N484" s="363"/>
      <c r="O484" s="363"/>
      <c r="P484" s="363"/>
      <c r="Q484" s="363"/>
      <c r="R484" s="363"/>
      <c r="S484" s="363"/>
      <c r="T484" s="363"/>
      <c r="U484" s="363"/>
      <c r="V484" s="363"/>
      <c r="W484" s="363"/>
      <c r="X484" s="363"/>
      <c r="Y484" s="363"/>
      <c r="Z484" s="363"/>
    </row>
    <row r="485" spans="1:26" ht="13.5" customHeight="1" x14ac:dyDescent="0.2">
      <c r="A485" s="363"/>
      <c r="B485" s="363"/>
      <c r="C485" s="363"/>
      <c r="D485" s="363"/>
      <c r="E485" s="363"/>
      <c r="F485" s="363"/>
      <c r="G485" s="363"/>
      <c r="H485" s="363"/>
      <c r="I485" s="363"/>
      <c r="J485" s="363"/>
      <c r="K485" s="363"/>
      <c r="L485" s="363"/>
      <c r="M485" s="363"/>
      <c r="N485" s="363"/>
      <c r="O485" s="363"/>
      <c r="P485" s="363"/>
      <c r="Q485" s="363"/>
      <c r="R485" s="363"/>
      <c r="S485" s="363"/>
      <c r="T485" s="363"/>
      <c r="U485" s="363"/>
      <c r="V485" s="363"/>
      <c r="W485" s="363"/>
      <c r="X485" s="363"/>
      <c r="Y485" s="363"/>
      <c r="Z485" s="363"/>
    </row>
    <row r="486" spans="1:26" ht="13.5" customHeight="1" x14ac:dyDescent="0.2">
      <c r="A486" s="363"/>
      <c r="B486" s="363"/>
      <c r="C486" s="363"/>
      <c r="D486" s="363"/>
      <c r="E486" s="363"/>
      <c r="F486" s="363"/>
      <c r="G486" s="363"/>
      <c r="H486" s="363"/>
      <c r="I486" s="363"/>
      <c r="J486" s="363"/>
      <c r="K486" s="363"/>
      <c r="L486" s="363"/>
      <c r="M486" s="363"/>
      <c r="N486" s="363"/>
      <c r="O486" s="363"/>
      <c r="P486" s="363"/>
      <c r="Q486" s="363"/>
      <c r="R486" s="363"/>
      <c r="S486" s="363"/>
      <c r="T486" s="363"/>
      <c r="U486" s="363"/>
      <c r="V486" s="363"/>
      <c r="W486" s="363"/>
      <c r="X486" s="363"/>
      <c r="Y486" s="363"/>
      <c r="Z486" s="363"/>
    </row>
    <row r="487" spans="1:26" ht="13.5" customHeight="1" x14ac:dyDescent="0.2">
      <c r="A487" s="363"/>
      <c r="B487" s="363"/>
      <c r="C487" s="363"/>
      <c r="D487" s="363"/>
      <c r="E487" s="363"/>
      <c r="F487" s="363"/>
      <c r="G487" s="363"/>
      <c r="H487" s="363"/>
      <c r="I487" s="363"/>
      <c r="J487" s="363"/>
      <c r="K487" s="363"/>
      <c r="L487" s="363"/>
      <c r="M487" s="363"/>
      <c r="N487" s="363"/>
      <c r="O487" s="363"/>
      <c r="P487" s="363"/>
      <c r="Q487" s="363"/>
      <c r="R487" s="363"/>
      <c r="S487" s="363"/>
      <c r="T487" s="363"/>
      <c r="U487" s="363"/>
      <c r="V487" s="363"/>
      <c r="W487" s="363"/>
      <c r="X487" s="363"/>
      <c r="Y487" s="363"/>
      <c r="Z487" s="363"/>
    </row>
    <row r="488" spans="1:26" ht="13.5" customHeight="1" x14ac:dyDescent="0.2">
      <c r="A488" s="363"/>
      <c r="B488" s="363"/>
      <c r="C488" s="363"/>
      <c r="D488" s="363"/>
      <c r="E488" s="363"/>
      <c r="F488" s="363"/>
      <c r="G488" s="363"/>
      <c r="H488" s="363"/>
      <c r="I488" s="363"/>
      <c r="J488" s="363"/>
      <c r="K488" s="363"/>
      <c r="L488" s="363"/>
      <c r="M488" s="363"/>
      <c r="N488" s="363"/>
      <c r="O488" s="363"/>
      <c r="P488" s="363"/>
      <c r="Q488" s="363"/>
      <c r="R488" s="363"/>
      <c r="S488" s="363"/>
      <c r="T488" s="363"/>
      <c r="U488" s="363"/>
      <c r="V488" s="363"/>
      <c r="W488" s="363"/>
      <c r="X488" s="363"/>
      <c r="Y488" s="363"/>
      <c r="Z488" s="363"/>
    </row>
    <row r="489" spans="1:26" ht="13.5" customHeight="1" x14ac:dyDescent="0.2">
      <c r="A489" s="363"/>
      <c r="B489" s="363"/>
      <c r="C489" s="363"/>
      <c r="D489" s="363"/>
      <c r="E489" s="363"/>
      <c r="F489" s="363"/>
      <c r="G489" s="363"/>
      <c r="H489" s="363"/>
      <c r="I489" s="363"/>
      <c r="J489" s="363"/>
      <c r="K489" s="363"/>
      <c r="L489" s="363"/>
      <c r="M489" s="363"/>
      <c r="N489" s="363"/>
      <c r="O489" s="363"/>
      <c r="P489" s="363"/>
      <c r="Q489" s="363"/>
      <c r="R489" s="363"/>
      <c r="S489" s="363"/>
      <c r="T489" s="363"/>
      <c r="U489" s="363"/>
      <c r="V489" s="363"/>
      <c r="W489" s="363"/>
      <c r="X489" s="363"/>
      <c r="Y489" s="363"/>
      <c r="Z489" s="363"/>
    </row>
    <row r="490" spans="1:26" ht="13.5" customHeight="1" x14ac:dyDescent="0.2">
      <c r="A490" s="363"/>
      <c r="B490" s="363"/>
      <c r="C490" s="363"/>
      <c r="D490" s="363"/>
      <c r="E490" s="363"/>
      <c r="F490" s="363"/>
      <c r="G490" s="363"/>
      <c r="H490" s="363"/>
      <c r="I490" s="363"/>
      <c r="J490" s="363"/>
      <c r="K490" s="363"/>
      <c r="L490" s="363"/>
      <c r="M490" s="363"/>
      <c r="N490" s="363"/>
      <c r="O490" s="363"/>
      <c r="P490" s="363"/>
      <c r="Q490" s="363"/>
      <c r="R490" s="363"/>
      <c r="S490" s="363"/>
      <c r="T490" s="363"/>
      <c r="U490" s="363"/>
      <c r="V490" s="363"/>
      <c r="W490" s="363"/>
      <c r="X490" s="363"/>
      <c r="Y490" s="363"/>
      <c r="Z490" s="363"/>
    </row>
    <row r="491" spans="1:26" ht="13.5" customHeight="1" x14ac:dyDescent="0.2">
      <c r="A491" s="363"/>
      <c r="B491" s="363"/>
      <c r="C491" s="363"/>
      <c r="D491" s="363"/>
      <c r="E491" s="363"/>
      <c r="F491" s="363"/>
      <c r="G491" s="363"/>
      <c r="H491" s="363"/>
      <c r="I491" s="363"/>
      <c r="J491" s="363"/>
      <c r="K491" s="363"/>
      <c r="L491" s="363"/>
      <c r="M491" s="363"/>
      <c r="N491" s="363"/>
      <c r="O491" s="363"/>
      <c r="P491" s="363"/>
      <c r="Q491" s="363"/>
      <c r="R491" s="363"/>
      <c r="S491" s="363"/>
      <c r="T491" s="363"/>
      <c r="U491" s="363"/>
      <c r="V491" s="363"/>
      <c r="W491" s="363"/>
      <c r="X491" s="363"/>
      <c r="Y491" s="363"/>
      <c r="Z491" s="363"/>
    </row>
    <row r="492" spans="1:26" ht="13.5" customHeight="1" x14ac:dyDescent="0.2">
      <c r="A492" s="363"/>
      <c r="B492" s="363"/>
      <c r="C492" s="363"/>
      <c r="D492" s="363"/>
      <c r="E492" s="363"/>
      <c r="F492" s="363"/>
      <c r="G492" s="363"/>
      <c r="H492" s="363"/>
      <c r="I492" s="363"/>
      <c r="J492" s="363"/>
      <c r="K492" s="363"/>
      <c r="L492" s="363"/>
      <c r="M492" s="363"/>
      <c r="N492" s="363"/>
      <c r="O492" s="363"/>
      <c r="P492" s="363"/>
      <c r="Q492" s="363"/>
      <c r="R492" s="363"/>
      <c r="S492" s="363"/>
      <c r="T492" s="363"/>
      <c r="U492" s="363"/>
      <c r="V492" s="363"/>
      <c r="W492" s="363"/>
      <c r="X492" s="363"/>
      <c r="Y492" s="363"/>
      <c r="Z492" s="363"/>
    </row>
    <row r="493" spans="1:26" ht="13.5" customHeight="1" x14ac:dyDescent="0.2">
      <c r="A493" s="363"/>
      <c r="B493" s="363"/>
      <c r="C493" s="363"/>
      <c r="D493" s="363"/>
      <c r="E493" s="363"/>
      <c r="F493" s="363"/>
      <c r="G493" s="363"/>
      <c r="H493" s="363"/>
      <c r="I493" s="363"/>
      <c r="J493" s="363"/>
      <c r="K493" s="363"/>
      <c r="L493" s="363"/>
      <c r="M493" s="363"/>
      <c r="N493" s="363"/>
      <c r="O493" s="363"/>
      <c r="P493" s="363"/>
      <c r="Q493" s="363"/>
      <c r="R493" s="363"/>
      <c r="S493" s="363"/>
      <c r="T493" s="363"/>
      <c r="U493" s="363"/>
      <c r="V493" s="363"/>
      <c r="W493" s="363"/>
      <c r="X493" s="363"/>
      <c r="Y493" s="363"/>
      <c r="Z493" s="363"/>
    </row>
    <row r="494" spans="1:26" ht="13.5" customHeight="1" x14ac:dyDescent="0.2">
      <c r="A494" s="363"/>
      <c r="B494" s="363"/>
      <c r="C494" s="363"/>
      <c r="D494" s="363"/>
      <c r="E494" s="363"/>
      <c r="F494" s="363"/>
      <c r="G494" s="363"/>
      <c r="H494" s="363"/>
      <c r="I494" s="363"/>
      <c r="J494" s="363"/>
      <c r="K494" s="363"/>
      <c r="L494" s="363"/>
      <c r="M494" s="363"/>
      <c r="N494" s="363"/>
      <c r="O494" s="363"/>
      <c r="P494" s="363"/>
      <c r="Q494" s="363"/>
      <c r="R494" s="363"/>
      <c r="S494" s="363"/>
      <c r="T494" s="363"/>
      <c r="U494" s="363"/>
      <c r="V494" s="363"/>
      <c r="W494" s="363"/>
      <c r="X494" s="363"/>
      <c r="Y494" s="363"/>
      <c r="Z494" s="363"/>
    </row>
    <row r="495" spans="1:26" ht="13.5" customHeight="1" x14ac:dyDescent="0.2">
      <c r="A495" s="363"/>
      <c r="B495" s="363"/>
      <c r="C495" s="363"/>
      <c r="D495" s="363"/>
      <c r="E495" s="363"/>
      <c r="F495" s="363"/>
      <c r="G495" s="363"/>
      <c r="H495" s="363"/>
      <c r="I495" s="363"/>
      <c r="J495" s="363"/>
      <c r="K495" s="363"/>
      <c r="L495" s="363"/>
      <c r="M495" s="363"/>
      <c r="N495" s="363"/>
      <c r="O495" s="363"/>
      <c r="P495" s="363"/>
      <c r="Q495" s="363"/>
      <c r="R495" s="363"/>
      <c r="S495" s="363"/>
      <c r="T495" s="363"/>
      <c r="U495" s="363"/>
      <c r="V495" s="363"/>
      <c r="W495" s="363"/>
      <c r="X495" s="363"/>
      <c r="Y495" s="363"/>
      <c r="Z495" s="363"/>
    </row>
    <row r="496" spans="1:26" ht="13.5" customHeight="1" x14ac:dyDescent="0.2">
      <c r="A496" s="363"/>
      <c r="B496" s="363"/>
      <c r="C496" s="363"/>
      <c r="D496" s="363"/>
      <c r="E496" s="363"/>
      <c r="F496" s="363"/>
      <c r="G496" s="363"/>
      <c r="H496" s="363"/>
      <c r="I496" s="363"/>
      <c r="J496" s="363"/>
      <c r="K496" s="363"/>
      <c r="L496" s="363"/>
      <c r="M496" s="363"/>
      <c r="N496" s="363"/>
      <c r="O496" s="363"/>
      <c r="P496" s="363"/>
      <c r="Q496" s="363"/>
      <c r="R496" s="363"/>
      <c r="S496" s="363"/>
      <c r="T496" s="363"/>
      <c r="U496" s="363"/>
      <c r="V496" s="363"/>
      <c r="W496" s="363"/>
      <c r="X496" s="363"/>
      <c r="Y496" s="363"/>
      <c r="Z496" s="363"/>
    </row>
    <row r="497" spans="1:26" ht="13.5" customHeight="1" x14ac:dyDescent="0.2">
      <c r="A497" s="363"/>
      <c r="B497" s="363"/>
      <c r="C497" s="363"/>
      <c r="D497" s="363"/>
      <c r="E497" s="363"/>
      <c r="F497" s="363"/>
      <c r="G497" s="363"/>
      <c r="H497" s="363"/>
      <c r="I497" s="363"/>
      <c r="J497" s="363"/>
      <c r="K497" s="363"/>
      <c r="L497" s="363"/>
      <c r="M497" s="363"/>
      <c r="N497" s="363"/>
      <c r="O497" s="363"/>
      <c r="P497" s="363"/>
      <c r="Q497" s="363"/>
      <c r="R497" s="363"/>
      <c r="S497" s="363"/>
      <c r="T497" s="363"/>
      <c r="U497" s="363"/>
      <c r="V497" s="363"/>
      <c r="W497" s="363"/>
      <c r="X497" s="363"/>
      <c r="Y497" s="363"/>
      <c r="Z497" s="363"/>
    </row>
    <row r="498" spans="1:26" ht="13.5" customHeight="1" x14ac:dyDescent="0.2">
      <c r="A498" s="363"/>
      <c r="B498" s="363"/>
      <c r="C498" s="363"/>
      <c r="D498" s="363"/>
      <c r="E498" s="363"/>
      <c r="F498" s="363"/>
      <c r="G498" s="363"/>
      <c r="H498" s="363"/>
      <c r="I498" s="363"/>
      <c r="J498" s="363"/>
      <c r="K498" s="363"/>
      <c r="L498" s="363"/>
      <c r="M498" s="363"/>
      <c r="N498" s="363"/>
      <c r="O498" s="363"/>
      <c r="P498" s="363"/>
      <c r="Q498" s="363"/>
      <c r="R498" s="363"/>
      <c r="S498" s="363"/>
      <c r="T498" s="363"/>
      <c r="U498" s="363"/>
      <c r="V498" s="363"/>
      <c r="W498" s="363"/>
      <c r="X498" s="363"/>
      <c r="Y498" s="363"/>
      <c r="Z498" s="363"/>
    </row>
    <row r="499" spans="1:26" ht="13.5" customHeight="1" x14ac:dyDescent="0.2">
      <c r="A499" s="363"/>
      <c r="B499" s="363"/>
      <c r="C499" s="363"/>
      <c r="D499" s="363"/>
      <c r="E499" s="363"/>
      <c r="F499" s="363"/>
      <c r="G499" s="363"/>
      <c r="H499" s="363"/>
      <c r="I499" s="363"/>
      <c r="J499" s="363"/>
      <c r="K499" s="363"/>
      <c r="L499" s="363"/>
      <c r="M499" s="363"/>
      <c r="N499" s="363"/>
      <c r="O499" s="363"/>
      <c r="P499" s="363"/>
      <c r="Q499" s="363"/>
      <c r="R499" s="363"/>
      <c r="S499" s="363"/>
      <c r="T499" s="363"/>
      <c r="U499" s="363"/>
      <c r="V499" s="363"/>
      <c r="W499" s="363"/>
      <c r="X499" s="363"/>
      <c r="Y499" s="363"/>
      <c r="Z499" s="363"/>
    </row>
    <row r="500" spans="1:26" ht="13.5" customHeight="1" x14ac:dyDescent="0.2">
      <c r="A500" s="363"/>
      <c r="B500" s="363"/>
      <c r="C500" s="363"/>
      <c r="D500" s="363"/>
      <c r="E500" s="363"/>
      <c r="F500" s="363"/>
      <c r="G500" s="363"/>
      <c r="H500" s="363"/>
      <c r="I500" s="363"/>
      <c r="J500" s="363"/>
      <c r="K500" s="363"/>
      <c r="L500" s="363"/>
      <c r="M500" s="363"/>
      <c r="N500" s="363"/>
      <c r="O500" s="363"/>
      <c r="P500" s="363"/>
      <c r="Q500" s="363"/>
      <c r="R500" s="363"/>
      <c r="S500" s="363"/>
      <c r="T500" s="363"/>
      <c r="U500" s="363"/>
      <c r="V500" s="363"/>
      <c r="W500" s="363"/>
      <c r="X500" s="363"/>
      <c r="Y500" s="363"/>
      <c r="Z500" s="363"/>
    </row>
    <row r="501" spans="1:26" ht="13.5" customHeight="1" x14ac:dyDescent="0.2">
      <c r="A501" s="363"/>
      <c r="B501" s="363"/>
      <c r="C501" s="363"/>
      <c r="D501" s="363"/>
      <c r="E501" s="363"/>
      <c r="F501" s="363"/>
      <c r="G501" s="363"/>
      <c r="H501" s="363"/>
      <c r="I501" s="363"/>
      <c r="J501" s="363"/>
      <c r="K501" s="363"/>
      <c r="L501" s="363"/>
      <c r="M501" s="363"/>
      <c r="N501" s="363"/>
      <c r="O501" s="363"/>
      <c r="P501" s="363"/>
      <c r="Q501" s="363"/>
      <c r="R501" s="363"/>
      <c r="S501" s="363"/>
      <c r="T501" s="363"/>
      <c r="U501" s="363"/>
      <c r="V501" s="363"/>
      <c r="W501" s="363"/>
      <c r="X501" s="363"/>
      <c r="Y501" s="363"/>
      <c r="Z501" s="363"/>
    </row>
    <row r="502" spans="1:26" ht="13.5" customHeight="1" x14ac:dyDescent="0.2">
      <c r="A502" s="363"/>
      <c r="B502" s="363"/>
      <c r="C502" s="363"/>
      <c r="D502" s="363"/>
      <c r="E502" s="363"/>
      <c r="F502" s="363"/>
      <c r="G502" s="363"/>
      <c r="H502" s="363"/>
      <c r="I502" s="363"/>
      <c r="J502" s="363"/>
      <c r="K502" s="363"/>
      <c r="L502" s="363"/>
      <c r="M502" s="363"/>
      <c r="N502" s="363"/>
      <c r="O502" s="363"/>
      <c r="P502" s="363"/>
      <c r="Q502" s="363"/>
      <c r="R502" s="363"/>
      <c r="S502" s="363"/>
      <c r="T502" s="363"/>
      <c r="U502" s="363"/>
      <c r="V502" s="363"/>
      <c r="W502" s="363"/>
      <c r="X502" s="363"/>
      <c r="Y502" s="363"/>
      <c r="Z502" s="363"/>
    </row>
    <row r="503" spans="1:26" ht="13.5" customHeight="1" x14ac:dyDescent="0.2">
      <c r="A503" s="363"/>
      <c r="B503" s="363"/>
      <c r="C503" s="363"/>
      <c r="D503" s="363"/>
      <c r="E503" s="363"/>
      <c r="F503" s="363"/>
      <c r="G503" s="363"/>
      <c r="H503" s="363"/>
      <c r="I503" s="363"/>
      <c r="J503" s="363"/>
      <c r="K503" s="363"/>
      <c r="L503" s="363"/>
      <c r="M503" s="363"/>
      <c r="N503" s="363"/>
      <c r="O503" s="363"/>
      <c r="P503" s="363"/>
      <c r="Q503" s="363"/>
      <c r="R503" s="363"/>
      <c r="S503" s="363"/>
      <c r="T503" s="363"/>
      <c r="U503" s="363"/>
      <c r="V503" s="363"/>
      <c r="W503" s="363"/>
      <c r="X503" s="363"/>
      <c r="Y503" s="363"/>
      <c r="Z503" s="363"/>
    </row>
    <row r="504" spans="1:26" ht="13.5" customHeight="1" x14ac:dyDescent="0.2">
      <c r="A504" s="363"/>
      <c r="B504" s="363"/>
      <c r="C504" s="363"/>
      <c r="D504" s="363"/>
      <c r="E504" s="363"/>
      <c r="F504" s="363"/>
      <c r="G504" s="363"/>
      <c r="H504" s="363"/>
      <c r="I504" s="363"/>
      <c r="J504" s="363"/>
      <c r="K504" s="363"/>
      <c r="L504" s="363"/>
      <c r="M504" s="363"/>
      <c r="N504" s="363"/>
      <c r="O504" s="363"/>
      <c r="P504" s="363"/>
      <c r="Q504" s="363"/>
      <c r="R504" s="363"/>
      <c r="S504" s="363"/>
      <c r="T504" s="363"/>
      <c r="U504" s="363"/>
      <c r="V504" s="363"/>
      <c r="W504" s="363"/>
      <c r="X504" s="363"/>
      <c r="Y504" s="363"/>
      <c r="Z504" s="363"/>
    </row>
    <row r="505" spans="1:26" ht="13.5" customHeight="1" x14ac:dyDescent="0.2">
      <c r="A505" s="363"/>
      <c r="B505" s="363"/>
      <c r="C505" s="363"/>
      <c r="D505" s="363"/>
      <c r="E505" s="363"/>
      <c r="F505" s="363"/>
      <c r="G505" s="363"/>
      <c r="H505" s="363"/>
      <c r="I505" s="363"/>
      <c r="J505" s="363"/>
      <c r="K505" s="363"/>
      <c r="L505" s="363"/>
      <c r="M505" s="363"/>
      <c r="N505" s="363"/>
      <c r="O505" s="363"/>
      <c r="P505" s="363"/>
      <c r="Q505" s="363"/>
      <c r="R505" s="363"/>
      <c r="S505" s="363"/>
      <c r="T505" s="363"/>
      <c r="U505" s="363"/>
      <c r="V505" s="363"/>
      <c r="W505" s="363"/>
      <c r="X505" s="363"/>
      <c r="Y505" s="363"/>
      <c r="Z505" s="363"/>
    </row>
    <row r="506" spans="1:26" ht="13.5" customHeight="1" x14ac:dyDescent="0.2">
      <c r="A506" s="363"/>
      <c r="B506" s="363"/>
      <c r="C506" s="363"/>
      <c r="D506" s="363"/>
      <c r="E506" s="363"/>
      <c r="F506" s="363"/>
      <c r="G506" s="363"/>
      <c r="H506" s="363"/>
      <c r="I506" s="363"/>
      <c r="J506" s="363"/>
      <c r="K506" s="363"/>
      <c r="L506" s="363"/>
      <c r="M506" s="363"/>
      <c r="N506" s="363"/>
      <c r="O506" s="363"/>
      <c r="P506" s="363"/>
      <c r="Q506" s="363"/>
      <c r="R506" s="363"/>
      <c r="S506" s="363"/>
      <c r="T506" s="363"/>
      <c r="U506" s="363"/>
      <c r="V506" s="363"/>
      <c r="W506" s="363"/>
      <c r="X506" s="363"/>
      <c r="Y506" s="363"/>
      <c r="Z506" s="363"/>
    </row>
    <row r="507" spans="1:26" ht="13.5" customHeight="1" x14ac:dyDescent="0.2">
      <c r="A507" s="363"/>
      <c r="B507" s="363"/>
      <c r="C507" s="363"/>
      <c r="D507" s="363"/>
      <c r="E507" s="363"/>
      <c r="F507" s="363"/>
      <c r="G507" s="363"/>
      <c r="H507" s="363"/>
      <c r="I507" s="363"/>
      <c r="J507" s="363"/>
      <c r="K507" s="363"/>
      <c r="L507" s="363"/>
      <c r="M507" s="363"/>
      <c r="N507" s="363"/>
      <c r="O507" s="363"/>
      <c r="P507" s="363"/>
      <c r="Q507" s="363"/>
      <c r="R507" s="363"/>
      <c r="S507" s="363"/>
      <c r="T507" s="363"/>
      <c r="U507" s="363"/>
      <c r="V507" s="363"/>
      <c r="W507" s="363"/>
      <c r="X507" s="363"/>
      <c r="Y507" s="363"/>
      <c r="Z507" s="363"/>
    </row>
    <row r="508" spans="1:26" ht="13.5" customHeight="1" x14ac:dyDescent="0.2">
      <c r="A508" s="363"/>
      <c r="B508" s="363"/>
      <c r="C508" s="363"/>
      <c r="D508" s="363"/>
      <c r="E508" s="363"/>
      <c r="F508" s="363"/>
      <c r="G508" s="363"/>
      <c r="H508" s="363"/>
      <c r="I508" s="363"/>
      <c r="J508" s="363"/>
      <c r="K508" s="363"/>
      <c r="L508" s="363"/>
      <c r="M508" s="363"/>
      <c r="N508" s="363"/>
      <c r="O508" s="363"/>
      <c r="P508" s="363"/>
      <c r="Q508" s="363"/>
      <c r="R508" s="363"/>
      <c r="S508" s="363"/>
      <c r="T508" s="363"/>
      <c r="U508" s="363"/>
      <c r="V508" s="363"/>
      <c r="W508" s="363"/>
      <c r="X508" s="363"/>
      <c r="Y508" s="363"/>
      <c r="Z508" s="363"/>
    </row>
    <row r="509" spans="1:26" ht="13.5" customHeight="1" x14ac:dyDescent="0.2">
      <c r="A509" s="363"/>
      <c r="B509" s="363"/>
      <c r="C509" s="363"/>
      <c r="D509" s="363"/>
      <c r="E509" s="363"/>
      <c r="F509" s="363"/>
      <c r="G509" s="363"/>
      <c r="H509" s="363"/>
      <c r="I509" s="363"/>
      <c r="J509" s="363"/>
      <c r="K509" s="363"/>
      <c r="L509" s="363"/>
      <c r="M509" s="363"/>
      <c r="N509" s="363"/>
      <c r="O509" s="363"/>
      <c r="P509" s="363"/>
      <c r="Q509" s="363"/>
      <c r="R509" s="363"/>
      <c r="S509" s="363"/>
      <c r="T509" s="363"/>
      <c r="U509" s="363"/>
      <c r="V509" s="363"/>
      <c r="W509" s="363"/>
      <c r="X509" s="363"/>
      <c r="Y509" s="363"/>
      <c r="Z509" s="363"/>
    </row>
    <row r="510" spans="1:26" ht="13.5" customHeight="1" x14ac:dyDescent="0.2">
      <c r="A510" s="363"/>
      <c r="B510" s="363"/>
      <c r="C510" s="363"/>
      <c r="D510" s="363"/>
      <c r="E510" s="363"/>
      <c r="F510" s="363"/>
      <c r="G510" s="363"/>
      <c r="H510" s="363"/>
      <c r="I510" s="363"/>
      <c r="J510" s="363"/>
      <c r="K510" s="363"/>
      <c r="L510" s="363"/>
      <c r="M510" s="363"/>
      <c r="N510" s="363"/>
      <c r="O510" s="363"/>
      <c r="P510" s="363"/>
      <c r="Q510" s="363"/>
      <c r="R510" s="363"/>
      <c r="S510" s="363"/>
      <c r="T510" s="363"/>
      <c r="U510" s="363"/>
      <c r="V510" s="363"/>
      <c r="W510" s="363"/>
      <c r="X510" s="363"/>
      <c r="Y510" s="363"/>
      <c r="Z510" s="363"/>
    </row>
    <row r="511" spans="1:26" ht="13.5" customHeight="1" x14ac:dyDescent="0.2">
      <c r="A511" s="363"/>
      <c r="B511" s="363"/>
      <c r="C511" s="363"/>
      <c r="D511" s="363"/>
      <c r="E511" s="363"/>
      <c r="F511" s="363"/>
      <c r="G511" s="363"/>
      <c r="H511" s="363"/>
      <c r="I511" s="363"/>
      <c r="J511" s="363"/>
      <c r="K511" s="363"/>
      <c r="L511" s="363"/>
      <c r="M511" s="363"/>
      <c r="N511" s="363"/>
      <c r="O511" s="363"/>
      <c r="P511" s="363"/>
      <c r="Q511" s="363"/>
      <c r="R511" s="363"/>
      <c r="S511" s="363"/>
      <c r="T511" s="363"/>
      <c r="U511" s="363"/>
      <c r="V511" s="363"/>
      <c r="W511" s="363"/>
      <c r="X511" s="363"/>
      <c r="Y511" s="363"/>
      <c r="Z511" s="363"/>
    </row>
    <row r="512" spans="1:26" ht="13.5" customHeight="1" x14ac:dyDescent="0.2">
      <c r="A512" s="363"/>
      <c r="B512" s="363"/>
      <c r="C512" s="363"/>
      <c r="D512" s="363"/>
      <c r="E512" s="363"/>
      <c r="F512" s="363"/>
      <c r="G512" s="363"/>
      <c r="H512" s="363"/>
      <c r="I512" s="363"/>
      <c r="J512" s="363"/>
      <c r="K512" s="363"/>
      <c r="L512" s="363"/>
      <c r="M512" s="363"/>
      <c r="N512" s="363"/>
      <c r="O512" s="363"/>
      <c r="P512" s="363"/>
      <c r="Q512" s="363"/>
      <c r="R512" s="363"/>
      <c r="S512" s="363"/>
      <c r="T512" s="363"/>
      <c r="U512" s="363"/>
      <c r="V512" s="363"/>
      <c r="W512" s="363"/>
      <c r="X512" s="363"/>
      <c r="Y512" s="363"/>
      <c r="Z512" s="363"/>
    </row>
    <row r="513" spans="1:26" ht="13.5" customHeight="1" x14ac:dyDescent="0.2">
      <c r="A513" s="363"/>
      <c r="B513" s="363"/>
      <c r="C513" s="363"/>
      <c r="D513" s="363"/>
      <c r="E513" s="363"/>
      <c r="F513" s="363"/>
      <c r="G513" s="363"/>
      <c r="H513" s="363"/>
      <c r="I513" s="363"/>
      <c r="J513" s="363"/>
      <c r="K513" s="363"/>
      <c r="L513" s="363"/>
      <c r="M513" s="363"/>
      <c r="N513" s="363"/>
      <c r="O513" s="363"/>
      <c r="P513" s="363"/>
      <c r="Q513" s="363"/>
      <c r="R513" s="363"/>
      <c r="S513" s="363"/>
      <c r="T513" s="363"/>
      <c r="U513" s="363"/>
      <c r="V513" s="363"/>
      <c r="W513" s="363"/>
      <c r="X513" s="363"/>
      <c r="Y513" s="363"/>
      <c r="Z513" s="363"/>
    </row>
    <row r="514" spans="1:26" ht="13.5" customHeight="1" x14ac:dyDescent="0.2">
      <c r="A514" s="363"/>
      <c r="B514" s="363"/>
      <c r="C514" s="363"/>
      <c r="D514" s="363"/>
      <c r="E514" s="363"/>
      <c r="F514" s="363"/>
      <c r="G514" s="363"/>
      <c r="H514" s="363"/>
      <c r="I514" s="363"/>
      <c r="J514" s="363"/>
      <c r="K514" s="363"/>
      <c r="L514" s="363"/>
      <c r="M514" s="363"/>
      <c r="N514" s="363"/>
      <c r="O514" s="363"/>
      <c r="P514" s="363"/>
      <c r="Q514" s="363"/>
      <c r="R514" s="363"/>
      <c r="S514" s="363"/>
      <c r="T514" s="363"/>
      <c r="U514" s="363"/>
      <c r="V514" s="363"/>
      <c r="W514" s="363"/>
      <c r="X514" s="363"/>
      <c r="Y514" s="363"/>
      <c r="Z514" s="363"/>
    </row>
    <row r="515" spans="1:26" ht="13.5" customHeight="1" x14ac:dyDescent="0.2">
      <c r="A515" s="363"/>
      <c r="B515" s="363"/>
      <c r="C515" s="363"/>
      <c r="D515" s="363"/>
      <c r="E515" s="363"/>
      <c r="F515" s="363"/>
      <c r="G515" s="363"/>
      <c r="H515" s="363"/>
      <c r="I515" s="363"/>
      <c r="J515" s="363"/>
      <c r="K515" s="363"/>
      <c r="L515" s="363"/>
      <c r="M515" s="363"/>
      <c r="N515" s="363"/>
      <c r="O515" s="363"/>
      <c r="P515" s="363"/>
      <c r="Q515" s="363"/>
      <c r="R515" s="363"/>
      <c r="S515" s="363"/>
      <c r="T515" s="363"/>
      <c r="U515" s="363"/>
      <c r="V515" s="363"/>
      <c r="W515" s="363"/>
      <c r="X515" s="363"/>
      <c r="Y515" s="363"/>
      <c r="Z515" s="363"/>
    </row>
    <row r="516" spans="1:26" ht="13.5" customHeight="1" x14ac:dyDescent="0.2">
      <c r="A516" s="363"/>
      <c r="B516" s="363"/>
      <c r="C516" s="363"/>
      <c r="D516" s="363"/>
      <c r="E516" s="363"/>
      <c r="F516" s="363"/>
      <c r="G516" s="363"/>
      <c r="H516" s="363"/>
      <c r="I516" s="363"/>
      <c r="J516" s="363"/>
      <c r="K516" s="363"/>
      <c r="L516" s="363"/>
      <c r="M516" s="363"/>
      <c r="N516" s="363"/>
      <c r="O516" s="363"/>
      <c r="P516" s="363"/>
      <c r="Q516" s="363"/>
      <c r="R516" s="363"/>
      <c r="S516" s="363"/>
      <c r="T516" s="363"/>
      <c r="U516" s="363"/>
      <c r="V516" s="363"/>
      <c r="W516" s="363"/>
      <c r="X516" s="363"/>
      <c r="Y516" s="363"/>
      <c r="Z516" s="363"/>
    </row>
    <row r="517" spans="1:26" ht="13.5" customHeight="1" x14ac:dyDescent="0.2">
      <c r="A517" s="363"/>
      <c r="B517" s="363"/>
      <c r="C517" s="363"/>
      <c r="D517" s="363"/>
      <c r="E517" s="363"/>
      <c r="F517" s="363"/>
      <c r="G517" s="363"/>
      <c r="H517" s="363"/>
      <c r="I517" s="363"/>
      <c r="J517" s="363"/>
      <c r="K517" s="363"/>
      <c r="L517" s="363"/>
      <c r="M517" s="363"/>
      <c r="N517" s="363"/>
      <c r="O517" s="363"/>
      <c r="P517" s="363"/>
      <c r="Q517" s="363"/>
      <c r="R517" s="363"/>
      <c r="S517" s="363"/>
      <c r="T517" s="363"/>
      <c r="U517" s="363"/>
      <c r="V517" s="363"/>
      <c r="W517" s="363"/>
      <c r="X517" s="363"/>
      <c r="Y517" s="363"/>
      <c r="Z517" s="363"/>
    </row>
    <row r="518" spans="1:26" ht="13.5" customHeight="1" x14ac:dyDescent="0.2">
      <c r="A518" s="363"/>
      <c r="B518" s="363"/>
      <c r="C518" s="363"/>
      <c r="D518" s="363"/>
      <c r="E518" s="363"/>
      <c r="F518" s="363"/>
      <c r="G518" s="363"/>
      <c r="H518" s="363"/>
      <c r="I518" s="363"/>
      <c r="J518" s="363"/>
      <c r="K518" s="363"/>
      <c r="L518" s="363"/>
      <c r="M518" s="363"/>
      <c r="N518" s="363"/>
      <c r="O518" s="363"/>
      <c r="P518" s="363"/>
      <c r="Q518" s="363"/>
      <c r="R518" s="363"/>
      <c r="S518" s="363"/>
      <c r="T518" s="363"/>
      <c r="U518" s="363"/>
      <c r="V518" s="363"/>
      <c r="W518" s="363"/>
      <c r="X518" s="363"/>
      <c r="Y518" s="363"/>
      <c r="Z518" s="363"/>
    </row>
    <row r="519" spans="1:26" ht="13.5" customHeight="1" x14ac:dyDescent="0.2">
      <c r="A519" s="363"/>
      <c r="B519" s="363"/>
      <c r="C519" s="363"/>
      <c r="D519" s="363"/>
      <c r="E519" s="363"/>
      <c r="F519" s="363"/>
      <c r="G519" s="363"/>
      <c r="H519" s="363"/>
      <c r="I519" s="363"/>
      <c r="J519" s="363"/>
      <c r="K519" s="363"/>
      <c r="L519" s="363"/>
      <c r="M519" s="363"/>
      <c r="N519" s="363"/>
      <c r="O519" s="363"/>
      <c r="P519" s="363"/>
      <c r="Q519" s="363"/>
      <c r="R519" s="363"/>
      <c r="S519" s="363"/>
      <c r="T519" s="363"/>
      <c r="U519" s="363"/>
      <c r="V519" s="363"/>
      <c r="W519" s="363"/>
      <c r="X519" s="363"/>
      <c r="Y519" s="363"/>
      <c r="Z519" s="363"/>
    </row>
    <row r="520" spans="1:26" ht="13.5" customHeight="1" x14ac:dyDescent="0.2">
      <c r="A520" s="363"/>
      <c r="B520" s="363"/>
      <c r="C520" s="363"/>
      <c r="D520" s="363"/>
      <c r="E520" s="363"/>
      <c r="F520" s="363"/>
      <c r="G520" s="363"/>
      <c r="H520" s="363"/>
      <c r="I520" s="363"/>
      <c r="J520" s="363"/>
      <c r="K520" s="363"/>
      <c r="L520" s="363"/>
      <c r="M520" s="363"/>
      <c r="N520" s="363"/>
      <c r="O520" s="363"/>
      <c r="P520" s="363"/>
      <c r="Q520" s="363"/>
      <c r="R520" s="363"/>
      <c r="S520" s="363"/>
      <c r="T520" s="363"/>
      <c r="U520" s="363"/>
      <c r="V520" s="363"/>
      <c r="W520" s="363"/>
      <c r="X520" s="363"/>
      <c r="Y520" s="363"/>
      <c r="Z520" s="363"/>
    </row>
    <row r="521" spans="1:26" ht="13.5" customHeight="1" x14ac:dyDescent="0.2">
      <c r="A521" s="363"/>
      <c r="B521" s="363"/>
      <c r="C521" s="363"/>
      <c r="D521" s="363"/>
      <c r="E521" s="363"/>
      <c r="F521" s="363"/>
      <c r="G521" s="363"/>
      <c r="H521" s="363"/>
      <c r="I521" s="363"/>
      <c r="J521" s="363"/>
      <c r="K521" s="363"/>
      <c r="L521" s="363"/>
      <c r="M521" s="363"/>
      <c r="N521" s="363"/>
      <c r="O521" s="363"/>
      <c r="P521" s="363"/>
      <c r="Q521" s="363"/>
      <c r="R521" s="363"/>
      <c r="S521" s="363"/>
      <c r="T521" s="363"/>
      <c r="U521" s="363"/>
      <c r="V521" s="363"/>
      <c r="W521" s="363"/>
      <c r="X521" s="363"/>
      <c r="Y521" s="363"/>
      <c r="Z521" s="363"/>
    </row>
    <row r="522" spans="1:26" ht="13.5" customHeight="1" x14ac:dyDescent="0.2">
      <c r="A522" s="363"/>
      <c r="B522" s="363"/>
      <c r="C522" s="363"/>
      <c r="D522" s="363"/>
      <c r="E522" s="363"/>
      <c r="F522" s="363"/>
      <c r="G522" s="363"/>
      <c r="H522" s="363"/>
      <c r="I522" s="363"/>
      <c r="J522" s="363"/>
      <c r="K522" s="363"/>
      <c r="L522" s="363"/>
      <c r="M522" s="363"/>
      <c r="N522" s="363"/>
      <c r="O522" s="363"/>
      <c r="P522" s="363"/>
      <c r="Q522" s="363"/>
      <c r="R522" s="363"/>
      <c r="S522" s="363"/>
      <c r="T522" s="363"/>
      <c r="U522" s="363"/>
      <c r="V522" s="363"/>
      <c r="W522" s="363"/>
      <c r="X522" s="363"/>
      <c r="Y522" s="363"/>
      <c r="Z522" s="363"/>
    </row>
    <row r="523" spans="1:26" ht="13.5" customHeight="1" x14ac:dyDescent="0.2">
      <c r="A523" s="363"/>
      <c r="B523" s="363"/>
      <c r="C523" s="363"/>
      <c r="D523" s="363"/>
      <c r="E523" s="363"/>
      <c r="F523" s="363"/>
      <c r="G523" s="363"/>
      <c r="H523" s="363"/>
      <c r="I523" s="363"/>
      <c r="J523" s="363"/>
      <c r="K523" s="363"/>
      <c r="L523" s="363"/>
      <c r="M523" s="363"/>
      <c r="N523" s="363"/>
      <c r="O523" s="363"/>
      <c r="P523" s="363"/>
      <c r="Q523" s="363"/>
      <c r="R523" s="363"/>
      <c r="S523" s="363"/>
      <c r="T523" s="363"/>
      <c r="U523" s="363"/>
      <c r="V523" s="363"/>
      <c r="W523" s="363"/>
      <c r="X523" s="363"/>
      <c r="Y523" s="363"/>
      <c r="Z523" s="363"/>
    </row>
    <row r="524" spans="1:26" ht="13.5" customHeight="1" x14ac:dyDescent="0.2">
      <c r="A524" s="363"/>
      <c r="B524" s="363"/>
      <c r="C524" s="363"/>
      <c r="D524" s="363"/>
      <c r="E524" s="363"/>
      <c r="F524" s="363"/>
      <c r="G524" s="363"/>
      <c r="H524" s="363"/>
      <c r="I524" s="363"/>
      <c r="J524" s="363"/>
      <c r="K524" s="363"/>
      <c r="L524" s="363"/>
      <c r="M524" s="363"/>
      <c r="N524" s="363"/>
      <c r="O524" s="363"/>
      <c r="P524" s="363"/>
      <c r="Q524" s="363"/>
      <c r="R524" s="363"/>
      <c r="S524" s="363"/>
      <c r="T524" s="363"/>
      <c r="U524" s="363"/>
      <c r="V524" s="363"/>
      <c r="W524" s="363"/>
      <c r="X524" s="363"/>
      <c r="Y524" s="363"/>
      <c r="Z524" s="363"/>
    </row>
    <row r="525" spans="1:26" ht="13.5" customHeight="1" x14ac:dyDescent="0.2">
      <c r="A525" s="363"/>
      <c r="B525" s="363"/>
      <c r="C525" s="363"/>
      <c r="D525" s="363"/>
      <c r="E525" s="363"/>
      <c r="F525" s="363"/>
      <c r="G525" s="363"/>
      <c r="H525" s="363"/>
      <c r="I525" s="363"/>
      <c r="J525" s="363"/>
      <c r="K525" s="363"/>
      <c r="L525" s="363"/>
      <c r="M525" s="363"/>
      <c r="N525" s="363"/>
      <c r="O525" s="363"/>
      <c r="P525" s="363"/>
      <c r="Q525" s="363"/>
      <c r="R525" s="363"/>
      <c r="S525" s="363"/>
      <c r="T525" s="363"/>
      <c r="U525" s="363"/>
      <c r="V525" s="363"/>
      <c r="W525" s="363"/>
      <c r="X525" s="363"/>
      <c r="Y525" s="363"/>
      <c r="Z525" s="363"/>
    </row>
    <row r="526" spans="1:26" ht="13.5" customHeight="1" x14ac:dyDescent="0.2">
      <c r="A526" s="363"/>
      <c r="B526" s="363"/>
      <c r="C526" s="363"/>
      <c r="D526" s="363"/>
      <c r="E526" s="363"/>
      <c r="F526" s="363"/>
      <c r="G526" s="363"/>
      <c r="H526" s="363"/>
      <c r="I526" s="363"/>
      <c r="J526" s="363"/>
      <c r="K526" s="363"/>
      <c r="L526" s="363"/>
      <c r="M526" s="363"/>
      <c r="N526" s="363"/>
      <c r="O526" s="363"/>
      <c r="P526" s="363"/>
      <c r="Q526" s="363"/>
      <c r="R526" s="363"/>
      <c r="S526" s="363"/>
      <c r="T526" s="363"/>
      <c r="U526" s="363"/>
      <c r="V526" s="363"/>
      <c r="W526" s="363"/>
      <c r="X526" s="363"/>
      <c r="Y526" s="363"/>
      <c r="Z526" s="363"/>
    </row>
    <row r="527" spans="1:26" ht="13.5" customHeight="1" x14ac:dyDescent="0.2">
      <c r="A527" s="363"/>
      <c r="B527" s="363"/>
      <c r="C527" s="363"/>
      <c r="D527" s="363"/>
      <c r="E527" s="363"/>
      <c r="F527" s="363"/>
      <c r="G527" s="363"/>
      <c r="H527" s="363"/>
      <c r="I527" s="363"/>
      <c r="J527" s="363"/>
      <c r="K527" s="363"/>
      <c r="L527" s="363"/>
      <c r="M527" s="363"/>
      <c r="N527" s="363"/>
      <c r="O527" s="363"/>
      <c r="P527" s="363"/>
      <c r="Q527" s="363"/>
      <c r="R527" s="363"/>
      <c r="S527" s="363"/>
      <c r="T527" s="363"/>
      <c r="U527" s="363"/>
      <c r="V527" s="363"/>
      <c r="W527" s="363"/>
      <c r="X527" s="363"/>
      <c r="Y527" s="363"/>
      <c r="Z527" s="363"/>
    </row>
    <row r="528" spans="1:26" ht="13.5" customHeight="1" x14ac:dyDescent="0.2">
      <c r="A528" s="363"/>
      <c r="B528" s="363"/>
      <c r="C528" s="363"/>
      <c r="D528" s="363"/>
      <c r="E528" s="363"/>
      <c r="F528" s="363"/>
      <c r="G528" s="363"/>
      <c r="H528" s="363"/>
      <c r="I528" s="363"/>
      <c r="J528" s="363"/>
      <c r="K528" s="363"/>
      <c r="L528" s="363"/>
      <c r="M528" s="363"/>
      <c r="N528" s="363"/>
      <c r="O528" s="363"/>
      <c r="P528" s="363"/>
      <c r="Q528" s="363"/>
      <c r="R528" s="363"/>
      <c r="S528" s="363"/>
      <c r="T528" s="363"/>
      <c r="U528" s="363"/>
      <c r="V528" s="363"/>
      <c r="W528" s="363"/>
      <c r="X528" s="363"/>
      <c r="Y528" s="363"/>
      <c r="Z528" s="363"/>
    </row>
    <row r="529" spans="1:26" ht="13.5" customHeight="1" x14ac:dyDescent="0.2">
      <c r="A529" s="363"/>
      <c r="B529" s="363"/>
      <c r="C529" s="363"/>
      <c r="D529" s="363"/>
      <c r="E529" s="363"/>
      <c r="F529" s="363"/>
      <c r="G529" s="363"/>
      <c r="H529" s="363"/>
      <c r="I529" s="363"/>
      <c r="J529" s="363"/>
      <c r="K529" s="363"/>
      <c r="L529" s="363"/>
      <c r="M529" s="363"/>
      <c r="N529" s="363"/>
      <c r="O529" s="363"/>
      <c r="P529" s="363"/>
      <c r="Q529" s="363"/>
      <c r="R529" s="363"/>
      <c r="S529" s="363"/>
      <c r="T529" s="363"/>
      <c r="U529" s="363"/>
      <c r="V529" s="363"/>
      <c r="W529" s="363"/>
      <c r="X529" s="363"/>
      <c r="Y529" s="363"/>
      <c r="Z529" s="363"/>
    </row>
    <row r="530" spans="1:26" ht="13.5" customHeight="1" x14ac:dyDescent="0.2">
      <c r="A530" s="363"/>
      <c r="B530" s="363"/>
      <c r="C530" s="363"/>
      <c r="D530" s="363"/>
      <c r="E530" s="363"/>
      <c r="F530" s="363"/>
      <c r="G530" s="363"/>
      <c r="H530" s="363"/>
      <c r="I530" s="363"/>
      <c r="J530" s="363"/>
      <c r="K530" s="363"/>
      <c r="L530" s="363"/>
      <c r="M530" s="363"/>
      <c r="N530" s="363"/>
      <c r="O530" s="363"/>
      <c r="P530" s="363"/>
      <c r="Q530" s="363"/>
      <c r="R530" s="363"/>
      <c r="S530" s="363"/>
      <c r="T530" s="363"/>
      <c r="U530" s="363"/>
      <c r="V530" s="363"/>
      <c r="W530" s="363"/>
      <c r="X530" s="363"/>
      <c r="Y530" s="363"/>
      <c r="Z530" s="363"/>
    </row>
    <row r="531" spans="1:26" ht="13.5" customHeight="1" x14ac:dyDescent="0.2">
      <c r="A531" s="363"/>
      <c r="B531" s="363"/>
      <c r="C531" s="363"/>
      <c r="D531" s="363"/>
      <c r="E531" s="363"/>
      <c r="F531" s="363"/>
      <c r="G531" s="363"/>
      <c r="H531" s="363"/>
      <c r="I531" s="363"/>
      <c r="J531" s="363"/>
      <c r="K531" s="363"/>
      <c r="L531" s="363"/>
      <c r="M531" s="363"/>
      <c r="N531" s="363"/>
      <c r="O531" s="363"/>
      <c r="P531" s="363"/>
      <c r="Q531" s="363"/>
      <c r="R531" s="363"/>
      <c r="S531" s="363"/>
      <c r="T531" s="363"/>
      <c r="U531" s="363"/>
      <c r="V531" s="363"/>
      <c r="W531" s="363"/>
      <c r="X531" s="363"/>
      <c r="Y531" s="363"/>
      <c r="Z531" s="363"/>
    </row>
    <row r="532" spans="1:26" ht="13.5" customHeight="1" x14ac:dyDescent="0.2">
      <c r="A532" s="363"/>
      <c r="B532" s="363"/>
      <c r="C532" s="363"/>
      <c r="D532" s="363"/>
      <c r="E532" s="363"/>
      <c r="F532" s="363"/>
      <c r="G532" s="363"/>
      <c r="H532" s="363"/>
      <c r="I532" s="363"/>
      <c r="J532" s="363"/>
      <c r="K532" s="363"/>
      <c r="L532" s="363"/>
      <c r="M532" s="363"/>
      <c r="N532" s="363"/>
      <c r="O532" s="363"/>
      <c r="P532" s="363"/>
      <c r="Q532" s="363"/>
      <c r="R532" s="363"/>
      <c r="S532" s="363"/>
      <c r="T532" s="363"/>
      <c r="U532" s="363"/>
      <c r="V532" s="363"/>
      <c r="W532" s="363"/>
      <c r="X532" s="363"/>
      <c r="Y532" s="363"/>
      <c r="Z532" s="363"/>
    </row>
    <row r="533" spans="1:26" ht="13.5" customHeight="1" x14ac:dyDescent="0.2">
      <c r="A533" s="363"/>
      <c r="B533" s="363"/>
      <c r="C533" s="363"/>
      <c r="D533" s="363"/>
      <c r="E533" s="363"/>
      <c r="F533" s="363"/>
      <c r="G533" s="363"/>
      <c r="H533" s="363"/>
      <c r="I533" s="363"/>
      <c r="J533" s="363"/>
      <c r="K533" s="363"/>
      <c r="L533" s="363"/>
      <c r="M533" s="363"/>
      <c r="N533" s="363"/>
      <c r="O533" s="363"/>
      <c r="P533" s="363"/>
      <c r="Q533" s="363"/>
      <c r="R533" s="363"/>
      <c r="S533" s="363"/>
      <c r="T533" s="363"/>
      <c r="U533" s="363"/>
      <c r="V533" s="363"/>
      <c r="W533" s="363"/>
      <c r="X533" s="363"/>
      <c r="Y533" s="363"/>
      <c r="Z533" s="363"/>
    </row>
    <row r="534" spans="1:26" ht="13.5" customHeight="1" x14ac:dyDescent="0.2">
      <c r="A534" s="363"/>
      <c r="B534" s="363"/>
      <c r="C534" s="363"/>
      <c r="D534" s="363"/>
      <c r="E534" s="363"/>
      <c r="F534" s="363"/>
      <c r="G534" s="363"/>
      <c r="H534" s="363"/>
      <c r="I534" s="363"/>
      <c r="J534" s="363"/>
      <c r="K534" s="363"/>
      <c r="L534" s="363"/>
      <c r="M534" s="363"/>
      <c r="N534" s="363"/>
      <c r="O534" s="363"/>
      <c r="P534" s="363"/>
      <c r="Q534" s="363"/>
      <c r="R534" s="363"/>
      <c r="S534" s="363"/>
      <c r="T534" s="363"/>
      <c r="U534" s="363"/>
      <c r="V534" s="363"/>
      <c r="W534" s="363"/>
      <c r="X534" s="363"/>
      <c r="Y534" s="363"/>
      <c r="Z534" s="363"/>
    </row>
    <row r="535" spans="1:26" ht="13.5" customHeight="1" x14ac:dyDescent="0.2">
      <c r="A535" s="363"/>
      <c r="B535" s="363"/>
      <c r="C535" s="363"/>
      <c r="D535" s="363"/>
      <c r="E535" s="363"/>
      <c r="F535" s="363"/>
      <c r="G535" s="363"/>
      <c r="H535" s="363"/>
      <c r="I535" s="363"/>
      <c r="J535" s="363"/>
      <c r="K535" s="363"/>
      <c r="L535" s="363"/>
      <c r="M535" s="363"/>
      <c r="N535" s="363"/>
      <c r="O535" s="363"/>
      <c r="P535" s="363"/>
      <c r="Q535" s="363"/>
      <c r="R535" s="363"/>
      <c r="S535" s="363"/>
      <c r="T535" s="363"/>
      <c r="U535" s="363"/>
      <c r="V535" s="363"/>
      <c r="W535" s="363"/>
      <c r="X535" s="363"/>
      <c r="Y535" s="363"/>
      <c r="Z535" s="363"/>
    </row>
    <row r="536" spans="1:26" ht="13.5" customHeight="1" x14ac:dyDescent="0.2">
      <c r="A536" s="363"/>
      <c r="B536" s="363"/>
      <c r="C536" s="363"/>
      <c r="D536" s="363"/>
      <c r="E536" s="363"/>
      <c r="F536" s="363"/>
      <c r="G536" s="363"/>
      <c r="H536" s="363"/>
      <c r="I536" s="363"/>
      <c r="J536" s="363"/>
      <c r="K536" s="363"/>
      <c r="L536" s="363"/>
      <c r="M536" s="363"/>
      <c r="N536" s="363"/>
      <c r="O536" s="363"/>
      <c r="P536" s="363"/>
      <c r="Q536" s="363"/>
      <c r="R536" s="363"/>
      <c r="S536" s="363"/>
      <c r="T536" s="363"/>
      <c r="U536" s="363"/>
      <c r="V536" s="363"/>
      <c r="W536" s="363"/>
      <c r="X536" s="363"/>
      <c r="Y536" s="363"/>
      <c r="Z536" s="363"/>
    </row>
    <row r="537" spans="1:26" ht="13.5" customHeight="1" x14ac:dyDescent="0.2">
      <c r="A537" s="363"/>
      <c r="B537" s="363"/>
      <c r="C537" s="363"/>
      <c r="D537" s="363"/>
      <c r="E537" s="363"/>
      <c r="F537" s="363"/>
      <c r="G537" s="363"/>
      <c r="H537" s="363"/>
      <c r="I537" s="363"/>
      <c r="J537" s="363"/>
      <c r="K537" s="363"/>
      <c r="L537" s="363"/>
      <c r="M537" s="363"/>
      <c r="N537" s="363"/>
      <c r="O537" s="363"/>
      <c r="P537" s="363"/>
      <c r="Q537" s="363"/>
      <c r="R537" s="363"/>
      <c r="S537" s="363"/>
      <c r="T537" s="363"/>
      <c r="U537" s="363"/>
      <c r="V537" s="363"/>
      <c r="W537" s="363"/>
      <c r="X537" s="363"/>
      <c r="Y537" s="363"/>
      <c r="Z537" s="363"/>
    </row>
    <row r="538" spans="1:26" ht="13.5" customHeight="1" x14ac:dyDescent="0.2">
      <c r="A538" s="363"/>
      <c r="B538" s="363"/>
      <c r="C538" s="363"/>
      <c r="D538" s="363"/>
      <c r="E538" s="363"/>
      <c r="F538" s="363"/>
      <c r="G538" s="363"/>
      <c r="H538" s="363"/>
      <c r="I538" s="363"/>
      <c r="J538" s="363"/>
      <c r="K538" s="363"/>
      <c r="L538" s="363"/>
      <c r="M538" s="363"/>
      <c r="N538" s="363"/>
      <c r="O538" s="363"/>
      <c r="P538" s="363"/>
      <c r="Q538" s="363"/>
      <c r="R538" s="363"/>
      <c r="S538" s="363"/>
      <c r="T538" s="363"/>
      <c r="U538" s="363"/>
      <c r="V538" s="363"/>
      <c r="W538" s="363"/>
      <c r="X538" s="363"/>
      <c r="Y538" s="363"/>
      <c r="Z538" s="363"/>
    </row>
    <row r="539" spans="1:26" ht="13.5" customHeight="1" x14ac:dyDescent="0.2">
      <c r="A539" s="363"/>
      <c r="B539" s="363"/>
      <c r="C539" s="363"/>
      <c r="D539" s="363"/>
      <c r="E539" s="363"/>
      <c r="F539" s="363"/>
      <c r="G539" s="363"/>
      <c r="H539" s="363"/>
      <c r="I539" s="363"/>
      <c r="J539" s="363"/>
      <c r="K539" s="363"/>
      <c r="L539" s="363"/>
      <c r="M539" s="363"/>
      <c r="N539" s="363"/>
      <c r="O539" s="363"/>
      <c r="P539" s="363"/>
      <c r="Q539" s="363"/>
      <c r="R539" s="363"/>
      <c r="S539" s="363"/>
      <c r="T539" s="363"/>
      <c r="U539" s="363"/>
      <c r="V539" s="363"/>
      <c r="W539" s="363"/>
      <c r="X539" s="363"/>
      <c r="Y539" s="363"/>
      <c r="Z539" s="363"/>
    </row>
    <row r="540" spans="1:26" ht="13.5" customHeight="1" x14ac:dyDescent="0.2">
      <c r="A540" s="363"/>
      <c r="B540" s="363"/>
      <c r="C540" s="363"/>
      <c r="D540" s="363"/>
      <c r="E540" s="363"/>
      <c r="F540" s="363"/>
      <c r="G540" s="363"/>
      <c r="H540" s="363"/>
      <c r="I540" s="363"/>
      <c r="J540" s="363"/>
      <c r="K540" s="363"/>
      <c r="L540" s="363"/>
      <c r="M540" s="363"/>
      <c r="N540" s="363"/>
      <c r="O540" s="363"/>
      <c r="P540" s="363"/>
      <c r="Q540" s="363"/>
      <c r="R540" s="363"/>
      <c r="S540" s="363"/>
      <c r="T540" s="363"/>
      <c r="U540" s="363"/>
      <c r="V540" s="363"/>
      <c r="W540" s="363"/>
      <c r="X540" s="363"/>
      <c r="Y540" s="363"/>
      <c r="Z540" s="363"/>
    </row>
    <row r="541" spans="1:26" ht="13.5" customHeight="1" x14ac:dyDescent="0.2">
      <c r="A541" s="363"/>
      <c r="B541" s="363"/>
      <c r="C541" s="363"/>
      <c r="D541" s="363"/>
      <c r="E541" s="363"/>
      <c r="F541" s="363"/>
      <c r="G541" s="363"/>
      <c r="H541" s="363"/>
      <c r="I541" s="363"/>
      <c r="J541" s="363"/>
      <c r="K541" s="363"/>
      <c r="L541" s="363"/>
      <c r="M541" s="363"/>
      <c r="N541" s="363"/>
      <c r="O541" s="363"/>
      <c r="P541" s="363"/>
      <c r="Q541" s="363"/>
      <c r="R541" s="363"/>
      <c r="S541" s="363"/>
      <c r="T541" s="363"/>
      <c r="U541" s="363"/>
      <c r="V541" s="363"/>
      <c r="W541" s="363"/>
      <c r="X541" s="363"/>
      <c r="Y541" s="363"/>
      <c r="Z541" s="363"/>
    </row>
    <row r="542" spans="1:26" ht="13.5" customHeight="1" x14ac:dyDescent="0.2">
      <c r="A542" s="363"/>
      <c r="B542" s="363"/>
      <c r="C542" s="363"/>
      <c r="D542" s="363"/>
      <c r="E542" s="363"/>
      <c r="F542" s="363"/>
      <c r="G542" s="363"/>
      <c r="H542" s="363"/>
      <c r="I542" s="363"/>
      <c r="J542" s="363"/>
      <c r="K542" s="363"/>
      <c r="L542" s="363"/>
      <c r="M542" s="363"/>
      <c r="N542" s="363"/>
      <c r="O542" s="363"/>
      <c r="P542" s="363"/>
      <c r="Q542" s="363"/>
      <c r="R542" s="363"/>
      <c r="S542" s="363"/>
      <c r="T542" s="363"/>
      <c r="U542" s="363"/>
      <c r="V542" s="363"/>
      <c r="W542" s="363"/>
      <c r="X542" s="363"/>
      <c r="Y542" s="363"/>
      <c r="Z542" s="363"/>
    </row>
    <row r="543" spans="1:26" ht="13.5" customHeight="1" x14ac:dyDescent="0.2">
      <c r="A543" s="363"/>
      <c r="B543" s="363"/>
      <c r="C543" s="363"/>
      <c r="D543" s="363"/>
      <c r="E543" s="363"/>
      <c r="F543" s="363"/>
      <c r="G543" s="363"/>
      <c r="H543" s="363"/>
      <c r="I543" s="363"/>
      <c r="J543" s="363"/>
      <c r="K543" s="363"/>
      <c r="L543" s="363"/>
      <c r="M543" s="363"/>
      <c r="N543" s="363"/>
      <c r="O543" s="363"/>
      <c r="P543" s="363"/>
      <c r="Q543" s="363"/>
      <c r="R543" s="363"/>
      <c r="S543" s="363"/>
      <c r="T543" s="363"/>
      <c r="U543" s="363"/>
      <c r="V543" s="363"/>
      <c r="W543" s="363"/>
      <c r="X543" s="363"/>
      <c r="Y543" s="363"/>
      <c r="Z543" s="363"/>
    </row>
    <row r="544" spans="1:26" ht="13.5" customHeight="1" x14ac:dyDescent="0.2">
      <c r="A544" s="363"/>
      <c r="B544" s="363"/>
      <c r="C544" s="363"/>
      <c r="D544" s="363"/>
      <c r="E544" s="363"/>
      <c r="F544" s="363"/>
      <c r="G544" s="363"/>
      <c r="H544" s="363"/>
      <c r="I544" s="363"/>
      <c r="J544" s="363"/>
      <c r="K544" s="363"/>
      <c r="L544" s="363"/>
      <c r="M544" s="363"/>
      <c r="N544" s="363"/>
      <c r="O544" s="363"/>
      <c r="P544" s="363"/>
      <c r="Q544" s="363"/>
      <c r="R544" s="363"/>
      <c r="S544" s="363"/>
      <c r="T544" s="363"/>
      <c r="U544" s="363"/>
      <c r="V544" s="363"/>
      <c r="W544" s="363"/>
      <c r="X544" s="363"/>
      <c r="Y544" s="363"/>
      <c r="Z544" s="363"/>
    </row>
    <row r="545" spans="1:26" ht="13.5" customHeight="1" x14ac:dyDescent="0.2">
      <c r="A545" s="363"/>
      <c r="B545" s="363"/>
      <c r="C545" s="363"/>
      <c r="D545" s="363"/>
      <c r="E545" s="363"/>
      <c r="F545" s="363"/>
      <c r="G545" s="363"/>
      <c r="H545" s="363"/>
      <c r="I545" s="363"/>
      <c r="J545" s="363"/>
      <c r="K545" s="363"/>
      <c r="L545" s="363"/>
      <c r="M545" s="363"/>
      <c r="N545" s="363"/>
      <c r="O545" s="363"/>
      <c r="P545" s="363"/>
      <c r="Q545" s="363"/>
      <c r="R545" s="363"/>
      <c r="S545" s="363"/>
      <c r="T545" s="363"/>
      <c r="U545" s="363"/>
      <c r="V545" s="363"/>
      <c r="W545" s="363"/>
      <c r="X545" s="363"/>
      <c r="Y545" s="363"/>
      <c r="Z545" s="363"/>
    </row>
    <row r="546" spans="1:26" ht="13.5" customHeight="1" x14ac:dyDescent="0.2">
      <c r="A546" s="363"/>
      <c r="B546" s="363"/>
      <c r="C546" s="363"/>
      <c r="D546" s="363"/>
      <c r="E546" s="363"/>
      <c r="F546" s="363"/>
      <c r="G546" s="363"/>
      <c r="H546" s="363"/>
      <c r="I546" s="363"/>
      <c r="J546" s="363"/>
      <c r="K546" s="363"/>
      <c r="L546" s="363"/>
      <c r="M546" s="363"/>
      <c r="N546" s="363"/>
      <c r="O546" s="363"/>
      <c r="P546" s="363"/>
      <c r="Q546" s="363"/>
      <c r="R546" s="363"/>
      <c r="S546" s="363"/>
      <c r="T546" s="363"/>
      <c r="U546" s="363"/>
      <c r="V546" s="363"/>
      <c r="W546" s="363"/>
      <c r="X546" s="363"/>
      <c r="Y546" s="363"/>
      <c r="Z546" s="363"/>
    </row>
    <row r="547" spans="1:26" ht="13.5" customHeight="1" x14ac:dyDescent="0.2">
      <c r="A547" s="363"/>
      <c r="B547" s="363"/>
      <c r="C547" s="363"/>
      <c r="D547" s="363"/>
      <c r="E547" s="363"/>
      <c r="F547" s="363"/>
      <c r="G547" s="363"/>
      <c r="H547" s="363"/>
      <c r="I547" s="363"/>
      <c r="J547" s="363"/>
      <c r="K547" s="363"/>
      <c r="L547" s="363"/>
      <c r="M547" s="363"/>
      <c r="N547" s="363"/>
      <c r="O547" s="363"/>
      <c r="P547" s="363"/>
      <c r="Q547" s="363"/>
      <c r="R547" s="363"/>
      <c r="S547" s="363"/>
      <c r="T547" s="363"/>
      <c r="U547" s="363"/>
      <c r="V547" s="363"/>
      <c r="W547" s="363"/>
      <c r="X547" s="363"/>
      <c r="Y547" s="363"/>
      <c r="Z547" s="363"/>
    </row>
    <row r="548" spans="1:26" ht="13.5" customHeight="1" x14ac:dyDescent="0.2">
      <c r="A548" s="363"/>
      <c r="B548" s="363"/>
      <c r="C548" s="363"/>
      <c r="D548" s="363"/>
      <c r="E548" s="363"/>
      <c r="F548" s="363"/>
      <c r="G548" s="363"/>
      <c r="H548" s="363"/>
      <c r="I548" s="363"/>
      <c r="J548" s="363"/>
      <c r="K548" s="363"/>
      <c r="L548" s="363"/>
      <c r="M548" s="363"/>
      <c r="N548" s="363"/>
      <c r="O548" s="363"/>
      <c r="P548" s="363"/>
      <c r="Q548" s="363"/>
      <c r="R548" s="363"/>
      <c r="S548" s="363"/>
      <c r="T548" s="363"/>
      <c r="U548" s="363"/>
      <c r="V548" s="363"/>
      <c r="W548" s="363"/>
      <c r="X548" s="363"/>
      <c r="Y548" s="363"/>
      <c r="Z548" s="363"/>
    </row>
    <row r="549" spans="1:26" ht="13.5" customHeight="1" x14ac:dyDescent="0.2">
      <c r="A549" s="363"/>
      <c r="B549" s="363"/>
      <c r="C549" s="363"/>
      <c r="D549" s="363"/>
      <c r="E549" s="363"/>
      <c r="F549" s="363"/>
      <c r="G549" s="363"/>
      <c r="H549" s="363"/>
      <c r="I549" s="363"/>
      <c r="J549" s="363"/>
      <c r="K549" s="363"/>
      <c r="L549" s="363"/>
      <c r="M549" s="363"/>
      <c r="N549" s="363"/>
      <c r="O549" s="363"/>
      <c r="P549" s="363"/>
      <c r="Q549" s="363"/>
      <c r="R549" s="363"/>
      <c r="S549" s="363"/>
      <c r="T549" s="363"/>
      <c r="U549" s="363"/>
      <c r="V549" s="363"/>
      <c r="W549" s="363"/>
      <c r="X549" s="363"/>
      <c r="Y549" s="363"/>
      <c r="Z549" s="363"/>
    </row>
    <row r="550" spans="1:26" ht="13.5" customHeight="1" x14ac:dyDescent="0.2">
      <c r="A550" s="363"/>
      <c r="B550" s="363"/>
      <c r="C550" s="363"/>
      <c r="D550" s="363"/>
      <c r="E550" s="363"/>
      <c r="F550" s="363"/>
      <c r="G550" s="363"/>
      <c r="H550" s="363"/>
      <c r="I550" s="363"/>
      <c r="J550" s="363"/>
      <c r="K550" s="363"/>
      <c r="L550" s="363"/>
      <c r="M550" s="363"/>
      <c r="N550" s="363"/>
      <c r="O550" s="363"/>
      <c r="P550" s="363"/>
      <c r="Q550" s="363"/>
      <c r="R550" s="363"/>
      <c r="S550" s="363"/>
      <c r="T550" s="363"/>
      <c r="U550" s="363"/>
      <c r="V550" s="363"/>
      <c r="W550" s="363"/>
      <c r="X550" s="363"/>
      <c r="Y550" s="363"/>
      <c r="Z550" s="363"/>
    </row>
    <row r="551" spans="1:26" ht="13.5" customHeight="1" x14ac:dyDescent="0.2">
      <c r="A551" s="363"/>
      <c r="B551" s="363"/>
      <c r="C551" s="363"/>
      <c r="D551" s="363"/>
      <c r="E551" s="363"/>
      <c r="F551" s="363"/>
      <c r="G551" s="363"/>
      <c r="H551" s="363"/>
      <c r="I551" s="363"/>
      <c r="J551" s="363"/>
      <c r="K551" s="363"/>
      <c r="L551" s="363"/>
      <c r="M551" s="363"/>
      <c r="N551" s="363"/>
      <c r="O551" s="363"/>
      <c r="P551" s="363"/>
      <c r="Q551" s="363"/>
      <c r="R551" s="363"/>
      <c r="S551" s="363"/>
      <c r="T551" s="363"/>
      <c r="U551" s="363"/>
      <c r="V551" s="363"/>
      <c r="W551" s="363"/>
      <c r="X551" s="363"/>
      <c r="Y551" s="363"/>
      <c r="Z551" s="363"/>
    </row>
    <row r="552" spans="1:26" ht="13.5" customHeight="1" x14ac:dyDescent="0.2">
      <c r="A552" s="363"/>
      <c r="B552" s="363"/>
      <c r="C552" s="363"/>
      <c r="D552" s="363"/>
      <c r="E552" s="363"/>
      <c r="F552" s="363"/>
      <c r="G552" s="363"/>
      <c r="H552" s="363"/>
      <c r="I552" s="363"/>
      <c r="J552" s="363"/>
      <c r="K552" s="363"/>
      <c r="L552" s="363"/>
      <c r="M552" s="363"/>
      <c r="N552" s="363"/>
      <c r="O552" s="363"/>
      <c r="P552" s="363"/>
      <c r="Q552" s="363"/>
      <c r="R552" s="363"/>
      <c r="S552" s="363"/>
      <c r="T552" s="363"/>
      <c r="U552" s="363"/>
      <c r="V552" s="363"/>
      <c r="W552" s="363"/>
      <c r="X552" s="363"/>
      <c r="Y552" s="363"/>
      <c r="Z552" s="363"/>
    </row>
    <row r="553" spans="1:26" ht="13.5" customHeight="1" x14ac:dyDescent="0.2">
      <c r="A553" s="363"/>
      <c r="B553" s="363"/>
      <c r="C553" s="363"/>
      <c r="D553" s="363"/>
      <c r="E553" s="363"/>
      <c r="F553" s="363"/>
      <c r="G553" s="363"/>
      <c r="H553" s="363"/>
      <c r="I553" s="363"/>
      <c r="J553" s="363"/>
      <c r="K553" s="363"/>
      <c r="L553" s="363"/>
      <c r="M553" s="363"/>
      <c r="N553" s="363"/>
      <c r="O553" s="363"/>
      <c r="P553" s="363"/>
      <c r="Q553" s="363"/>
      <c r="R553" s="363"/>
      <c r="S553" s="363"/>
      <c r="T553" s="363"/>
      <c r="U553" s="363"/>
      <c r="V553" s="363"/>
      <c r="W553" s="363"/>
      <c r="X553" s="363"/>
      <c r="Y553" s="363"/>
      <c r="Z553" s="363"/>
    </row>
    <row r="554" spans="1:26" ht="13.5" customHeight="1" x14ac:dyDescent="0.2">
      <c r="A554" s="363"/>
      <c r="B554" s="363"/>
      <c r="C554" s="363"/>
      <c r="D554" s="363"/>
      <c r="E554" s="363"/>
      <c r="F554" s="363"/>
      <c r="G554" s="363"/>
      <c r="H554" s="363"/>
      <c r="I554" s="363"/>
      <c r="J554" s="363"/>
      <c r="K554" s="363"/>
      <c r="L554" s="363"/>
      <c r="M554" s="363"/>
      <c r="N554" s="363"/>
      <c r="O554" s="363"/>
      <c r="P554" s="363"/>
      <c r="Q554" s="363"/>
      <c r="R554" s="363"/>
      <c r="S554" s="363"/>
      <c r="T554" s="363"/>
      <c r="U554" s="363"/>
      <c r="V554" s="363"/>
      <c r="W554" s="363"/>
      <c r="X554" s="363"/>
      <c r="Y554" s="363"/>
      <c r="Z554" s="363"/>
    </row>
    <row r="555" spans="1:26" ht="13.5" customHeight="1" x14ac:dyDescent="0.2">
      <c r="A555" s="363"/>
      <c r="B555" s="363"/>
      <c r="C555" s="363"/>
      <c r="D555" s="363"/>
      <c r="E555" s="363"/>
      <c r="F555" s="363"/>
      <c r="G555" s="363"/>
      <c r="H555" s="363"/>
      <c r="I555" s="363"/>
      <c r="J555" s="363"/>
      <c r="K555" s="363"/>
      <c r="L555" s="363"/>
      <c r="M555" s="363"/>
      <c r="N555" s="363"/>
      <c r="O555" s="363"/>
      <c r="P555" s="363"/>
      <c r="Q555" s="363"/>
      <c r="R555" s="363"/>
      <c r="S555" s="363"/>
      <c r="T555" s="363"/>
      <c r="U555" s="363"/>
      <c r="V555" s="363"/>
      <c r="W555" s="363"/>
      <c r="X555" s="363"/>
      <c r="Y555" s="363"/>
      <c r="Z555" s="363"/>
    </row>
    <row r="556" spans="1:26" ht="13.5" customHeight="1" x14ac:dyDescent="0.2">
      <c r="A556" s="363"/>
      <c r="B556" s="363"/>
      <c r="C556" s="363"/>
      <c r="D556" s="363"/>
      <c r="E556" s="363"/>
      <c r="F556" s="363"/>
      <c r="G556" s="363"/>
      <c r="H556" s="363"/>
      <c r="I556" s="363"/>
      <c r="J556" s="363"/>
      <c r="K556" s="363"/>
      <c r="L556" s="363"/>
      <c r="M556" s="363"/>
      <c r="N556" s="363"/>
      <c r="O556" s="363"/>
      <c r="P556" s="363"/>
      <c r="Q556" s="363"/>
      <c r="R556" s="363"/>
      <c r="S556" s="363"/>
      <c r="T556" s="363"/>
      <c r="U556" s="363"/>
      <c r="V556" s="363"/>
      <c r="W556" s="363"/>
      <c r="X556" s="363"/>
      <c r="Y556" s="363"/>
      <c r="Z556" s="363"/>
    </row>
    <row r="557" spans="1:26" ht="13.5" customHeight="1" x14ac:dyDescent="0.2">
      <c r="A557" s="363"/>
      <c r="B557" s="363"/>
      <c r="C557" s="363"/>
      <c r="D557" s="363"/>
      <c r="E557" s="363"/>
      <c r="F557" s="363"/>
      <c r="G557" s="363"/>
      <c r="H557" s="363"/>
      <c r="I557" s="363"/>
      <c r="J557" s="363"/>
      <c r="K557" s="363"/>
      <c r="L557" s="363"/>
      <c r="M557" s="363"/>
      <c r="N557" s="363"/>
      <c r="O557" s="363"/>
      <c r="P557" s="363"/>
      <c r="Q557" s="363"/>
      <c r="R557" s="363"/>
      <c r="S557" s="363"/>
      <c r="T557" s="363"/>
      <c r="U557" s="363"/>
      <c r="V557" s="363"/>
      <c r="W557" s="363"/>
      <c r="X557" s="363"/>
      <c r="Y557" s="363"/>
      <c r="Z557" s="363"/>
    </row>
    <row r="558" spans="1:26" ht="13.5" customHeight="1" x14ac:dyDescent="0.2">
      <c r="A558" s="363"/>
      <c r="B558" s="363"/>
      <c r="C558" s="363"/>
      <c r="D558" s="363"/>
      <c r="E558" s="363"/>
      <c r="F558" s="363"/>
      <c r="G558" s="363"/>
      <c r="H558" s="363"/>
      <c r="I558" s="363"/>
      <c r="J558" s="363"/>
      <c r="K558" s="363"/>
      <c r="L558" s="363"/>
      <c r="M558" s="363"/>
      <c r="N558" s="363"/>
      <c r="O558" s="363"/>
      <c r="P558" s="363"/>
      <c r="Q558" s="363"/>
      <c r="R558" s="363"/>
      <c r="S558" s="363"/>
      <c r="T558" s="363"/>
      <c r="U558" s="363"/>
      <c r="V558" s="363"/>
      <c r="W558" s="363"/>
      <c r="X558" s="363"/>
      <c r="Y558" s="363"/>
      <c r="Z558" s="363"/>
    </row>
    <row r="559" spans="1:26" ht="13.5" customHeight="1" x14ac:dyDescent="0.2">
      <c r="A559" s="363"/>
      <c r="B559" s="363"/>
      <c r="C559" s="363"/>
      <c r="D559" s="363"/>
      <c r="E559" s="363"/>
      <c r="F559" s="363"/>
      <c r="G559" s="363"/>
      <c r="H559" s="363"/>
      <c r="I559" s="363"/>
      <c r="J559" s="363"/>
      <c r="K559" s="363"/>
      <c r="L559" s="363"/>
      <c r="M559" s="363"/>
      <c r="N559" s="363"/>
      <c r="O559" s="363"/>
      <c r="P559" s="363"/>
      <c r="Q559" s="363"/>
      <c r="R559" s="363"/>
      <c r="S559" s="363"/>
      <c r="T559" s="363"/>
      <c r="U559" s="363"/>
      <c r="V559" s="363"/>
      <c r="W559" s="363"/>
      <c r="X559" s="363"/>
      <c r="Y559" s="363"/>
      <c r="Z559" s="363"/>
    </row>
    <row r="560" spans="1:26" ht="13.5" customHeight="1" x14ac:dyDescent="0.2">
      <c r="A560" s="363"/>
      <c r="B560" s="363"/>
      <c r="C560" s="363"/>
      <c r="D560" s="363"/>
      <c r="E560" s="363"/>
      <c r="F560" s="363"/>
      <c r="G560" s="363"/>
      <c r="H560" s="363"/>
      <c r="I560" s="363"/>
      <c r="J560" s="363"/>
      <c r="K560" s="363"/>
      <c r="L560" s="363"/>
      <c r="M560" s="363"/>
      <c r="N560" s="363"/>
      <c r="O560" s="363"/>
      <c r="P560" s="363"/>
      <c r="Q560" s="363"/>
      <c r="R560" s="363"/>
      <c r="S560" s="363"/>
      <c r="T560" s="363"/>
      <c r="U560" s="363"/>
      <c r="V560" s="363"/>
      <c r="W560" s="363"/>
      <c r="X560" s="363"/>
      <c r="Y560" s="363"/>
      <c r="Z560" s="363"/>
    </row>
    <row r="561" spans="1:26" ht="13.5" customHeight="1" x14ac:dyDescent="0.2">
      <c r="A561" s="363"/>
      <c r="B561" s="363"/>
      <c r="C561" s="363"/>
      <c r="D561" s="363"/>
      <c r="E561" s="363"/>
      <c r="F561" s="363"/>
      <c r="G561" s="363"/>
      <c r="H561" s="363"/>
      <c r="I561" s="363"/>
      <c r="J561" s="363"/>
      <c r="K561" s="363"/>
      <c r="L561" s="363"/>
      <c r="M561" s="363"/>
      <c r="N561" s="363"/>
      <c r="O561" s="363"/>
      <c r="P561" s="363"/>
      <c r="Q561" s="363"/>
      <c r="R561" s="363"/>
      <c r="S561" s="363"/>
      <c r="T561" s="363"/>
      <c r="U561" s="363"/>
      <c r="V561" s="363"/>
      <c r="W561" s="363"/>
      <c r="X561" s="363"/>
      <c r="Y561" s="363"/>
      <c r="Z561" s="363"/>
    </row>
    <row r="562" spans="1:26" ht="13.5" customHeight="1" x14ac:dyDescent="0.2">
      <c r="A562" s="363"/>
      <c r="B562" s="363"/>
      <c r="C562" s="363"/>
      <c r="D562" s="363"/>
      <c r="E562" s="363"/>
      <c r="F562" s="363"/>
      <c r="G562" s="363"/>
      <c r="H562" s="363"/>
      <c r="I562" s="363"/>
      <c r="J562" s="363"/>
      <c r="K562" s="363"/>
      <c r="L562" s="363"/>
      <c r="M562" s="363"/>
      <c r="N562" s="363"/>
      <c r="O562" s="363"/>
      <c r="P562" s="363"/>
      <c r="Q562" s="363"/>
      <c r="R562" s="363"/>
      <c r="S562" s="363"/>
      <c r="T562" s="363"/>
      <c r="U562" s="363"/>
      <c r="V562" s="363"/>
      <c r="W562" s="363"/>
      <c r="X562" s="363"/>
      <c r="Y562" s="363"/>
      <c r="Z562" s="363"/>
    </row>
    <row r="563" spans="1:26" ht="13.5" customHeight="1" x14ac:dyDescent="0.2">
      <c r="A563" s="363"/>
      <c r="B563" s="363"/>
      <c r="C563" s="363"/>
      <c r="D563" s="363"/>
      <c r="E563" s="363"/>
      <c r="F563" s="363"/>
      <c r="G563" s="363"/>
      <c r="H563" s="363"/>
      <c r="I563" s="363"/>
      <c r="J563" s="363"/>
      <c r="K563" s="363"/>
      <c r="L563" s="363"/>
      <c r="M563" s="363"/>
      <c r="N563" s="363"/>
      <c r="O563" s="363"/>
      <c r="P563" s="363"/>
      <c r="Q563" s="363"/>
      <c r="R563" s="363"/>
      <c r="S563" s="363"/>
      <c r="T563" s="363"/>
      <c r="U563" s="363"/>
      <c r="V563" s="363"/>
      <c r="W563" s="363"/>
      <c r="X563" s="363"/>
      <c r="Y563" s="363"/>
      <c r="Z563" s="363"/>
    </row>
    <row r="564" spans="1:26" ht="13.5" customHeight="1" x14ac:dyDescent="0.2">
      <c r="A564" s="363"/>
      <c r="B564" s="363"/>
      <c r="C564" s="363"/>
      <c r="D564" s="363"/>
      <c r="E564" s="363"/>
      <c r="F564" s="363"/>
      <c r="G564" s="363"/>
      <c r="H564" s="363"/>
      <c r="I564" s="363"/>
      <c r="J564" s="363"/>
      <c r="K564" s="363"/>
      <c r="L564" s="363"/>
      <c r="M564" s="363"/>
      <c r="N564" s="363"/>
      <c r="O564" s="363"/>
      <c r="P564" s="363"/>
      <c r="Q564" s="363"/>
      <c r="R564" s="363"/>
      <c r="S564" s="363"/>
      <c r="T564" s="363"/>
      <c r="U564" s="363"/>
      <c r="V564" s="363"/>
      <c r="W564" s="363"/>
      <c r="X564" s="363"/>
      <c r="Y564" s="363"/>
      <c r="Z564" s="363"/>
    </row>
    <row r="565" spans="1:26" ht="13.5" customHeight="1" x14ac:dyDescent="0.2">
      <c r="A565" s="363"/>
      <c r="B565" s="363"/>
      <c r="C565" s="363"/>
      <c r="D565" s="363"/>
      <c r="E565" s="363"/>
      <c r="F565" s="363"/>
      <c r="G565" s="363"/>
      <c r="H565" s="363"/>
      <c r="I565" s="363"/>
      <c r="J565" s="363"/>
      <c r="K565" s="363"/>
      <c r="L565" s="363"/>
      <c r="M565" s="363"/>
      <c r="N565" s="363"/>
      <c r="O565" s="363"/>
      <c r="P565" s="363"/>
      <c r="Q565" s="363"/>
      <c r="R565" s="363"/>
      <c r="S565" s="363"/>
      <c r="T565" s="363"/>
      <c r="U565" s="363"/>
      <c r="V565" s="363"/>
      <c r="W565" s="363"/>
      <c r="X565" s="363"/>
      <c r="Y565" s="363"/>
      <c r="Z565" s="363"/>
    </row>
    <row r="566" spans="1:26" ht="13.5" customHeight="1" x14ac:dyDescent="0.2">
      <c r="A566" s="363"/>
      <c r="B566" s="363"/>
      <c r="C566" s="363"/>
      <c r="D566" s="363"/>
      <c r="E566" s="363"/>
      <c r="F566" s="363"/>
      <c r="G566" s="363"/>
      <c r="H566" s="363"/>
      <c r="I566" s="363"/>
      <c r="J566" s="363"/>
      <c r="K566" s="363"/>
      <c r="L566" s="363"/>
      <c r="M566" s="363"/>
      <c r="N566" s="363"/>
      <c r="O566" s="363"/>
      <c r="P566" s="363"/>
      <c r="Q566" s="363"/>
      <c r="R566" s="363"/>
      <c r="S566" s="363"/>
      <c r="T566" s="363"/>
      <c r="U566" s="363"/>
      <c r="V566" s="363"/>
      <c r="W566" s="363"/>
      <c r="X566" s="363"/>
      <c r="Y566" s="363"/>
      <c r="Z566" s="363"/>
    </row>
    <row r="567" spans="1:26" ht="13.5" customHeight="1" x14ac:dyDescent="0.2">
      <c r="A567" s="363"/>
      <c r="B567" s="363"/>
      <c r="C567" s="363"/>
      <c r="D567" s="363"/>
      <c r="E567" s="363"/>
      <c r="F567" s="363"/>
      <c r="G567" s="363"/>
      <c r="H567" s="363"/>
      <c r="I567" s="363"/>
      <c r="J567" s="363"/>
      <c r="K567" s="363"/>
      <c r="L567" s="363"/>
      <c r="M567" s="363"/>
      <c r="N567" s="363"/>
      <c r="O567" s="363"/>
      <c r="P567" s="363"/>
      <c r="Q567" s="363"/>
      <c r="R567" s="363"/>
      <c r="S567" s="363"/>
      <c r="T567" s="363"/>
      <c r="U567" s="363"/>
      <c r="V567" s="363"/>
      <c r="W567" s="363"/>
      <c r="X567" s="363"/>
      <c r="Y567" s="363"/>
      <c r="Z567" s="363"/>
    </row>
    <row r="568" spans="1:26" ht="13.5" customHeight="1" x14ac:dyDescent="0.2">
      <c r="A568" s="363"/>
      <c r="B568" s="363"/>
      <c r="C568" s="363"/>
      <c r="D568" s="363"/>
      <c r="E568" s="363"/>
      <c r="F568" s="363"/>
      <c r="G568" s="363"/>
      <c r="H568" s="363"/>
      <c r="I568" s="363"/>
      <c r="J568" s="363"/>
      <c r="K568" s="363"/>
      <c r="L568" s="363"/>
      <c r="M568" s="363"/>
      <c r="N568" s="363"/>
      <c r="O568" s="363"/>
      <c r="P568" s="363"/>
      <c r="Q568" s="363"/>
      <c r="R568" s="363"/>
      <c r="S568" s="363"/>
      <c r="T568" s="363"/>
      <c r="U568" s="363"/>
      <c r="V568" s="363"/>
      <c r="W568" s="363"/>
      <c r="X568" s="363"/>
      <c r="Y568" s="363"/>
      <c r="Z568" s="363"/>
    </row>
    <row r="569" spans="1:26" ht="13.5" customHeight="1" x14ac:dyDescent="0.2">
      <c r="A569" s="363"/>
      <c r="B569" s="363"/>
      <c r="C569" s="363"/>
      <c r="D569" s="363"/>
      <c r="E569" s="363"/>
      <c r="F569" s="363"/>
      <c r="G569" s="363"/>
      <c r="H569" s="363"/>
      <c r="I569" s="363"/>
      <c r="J569" s="363"/>
      <c r="K569" s="363"/>
      <c r="L569" s="363"/>
      <c r="M569" s="363"/>
      <c r="N569" s="363"/>
      <c r="O569" s="363"/>
      <c r="P569" s="363"/>
      <c r="Q569" s="363"/>
      <c r="R569" s="363"/>
      <c r="S569" s="363"/>
      <c r="T569" s="363"/>
      <c r="U569" s="363"/>
      <c r="V569" s="363"/>
      <c r="W569" s="363"/>
      <c r="X569" s="363"/>
      <c r="Y569" s="363"/>
      <c r="Z569" s="363"/>
    </row>
    <row r="570" spans="1:26" ht="13.5" customHeight="1" x14ac:dyDescent="0.2">
      <c r="A570" s="363"/>
      <c r="B570" s="363"/>
      <c r="C570" s="363"/>
      <c r="D570" s="363"/>
      <c r="E570" s="363"/>
      <c r="F570" s="363"/>
      <c r="G570" s="363"/>
      <c r="H570" s="363"/>
      <c r="I570" s="363"/>
      <c r="J570" s="363"/>
      <c r="K570" s="363"/>
      <c r="L570" s="363"/>
      <c r="M570" s="363"/>
      <c r="N570" s="363"/>
      <c r="O570" s="363"/>
      <c r="P570" s="363"/>
      <c r="Q570" s="363"/>
      <c r="R570" s="363"/>
      <c r="S570" s="363"/>
      <c r="T570" s="363"/>
      <c r="U570" s="363"/>
      <c r="V570" s="363"/>
      <c r="W570" s="363"/>
      <c r="X570" s="363"/>
      <c r="Y570" s="363"/>
      <c r="Z570" s="363"/>
    </row>
    <row r="571" spans="1:26" ht="13.5" customHeight="1" x14ac:dyDescent="0.2">
      <c r="A571" s="363"/>
      <c r="B571" s="363"/>
      <c r="C571" s="363"/>
      <c r="D571" s="363"/>
      <c r="E571" s="363"/>
      <c r="F571" s="363"/>
      <c r="G571" s="363"/>
      <c r="H571" s="363"/>
      <c r="I571" s="363"/>
      <c r="J571" s="363"/>
      <c r="K571" s="363"/>
      <c r="L571" s="363"/>
      <c r="M571" s="363"/>
      <c r="N571" s="363"/>
      <c r="O571" s="363"/>
      <c r="P571" s="363"/>
      <c r="Q571" s="363"/>
      <c r="R571" s="363"/>
      <c r="S571" s="363"/>
      <c r="T571" s="363"/>
      <c r="U571" s="363"/>
      <c r="V571" s="363"/>
      <c r="W571" s="363"/>
      <c r="X571" s="363"/>
      <c r="Y571" s="363"/>
      <c r="Z571" s="363"/>
    </row>
    <row r="572" spans="1:26" ht="13.5" customHeight="1" x14ac:dyDescent="0.2">
      <c r="A572" s="363"/>
      <c r="B572" s="363"/>
      <c r="C572" s="363"/>
      <c r="D572" s="363"/>
      <c r="E572" s="363"/>
      <c r="F572" s="363"/>
      <c r="G572" s="363"/>
      <c r="H572" s="363"/>
      <c r="I572" s="363"/>
      <c r="J572" s="363"/>
      <c r="K572" s="363"/>
      <c r="L572" s="363"/>
      <c r="M572" s="363"/>
      <c r="N572" s="363"/>
      <c r="O572" s="363"/>
      <c r="P572" s="363"/>
      <c r="Q572" s="363"/>
      <c r="R572" s="363"/>
      <c r="S572" s="363"/>
      <c r="T572" s="363"/>
      <c r="U572" s="363"/>
      <c r="V572" s="363"/>
      <c r="W572" s="363"/>
      <c r="X572" s="363"/>
      <c r="Y572" s="363"/>
      <c r="Z572" s="363"/>
    </row>
    <row r="573" spans="1:26" ht="13.5" customHeight="1" x14ac:dyDescent="0.2">
      <c r="A573" s="363"/>
      <c r="B573" s="363"/>
      <c r="C573" s="363"/>
      <c r="D573" s="363"/>
      <c r="E573" s="363"/>
      <c r="F573" s="363"/>
      <c r="G573" s="363"/>
      <c r="H573" s="363"/>
      <c r="I573" s="363"/>
      <c r="J573" s="363"/>
      <c r="K573" s="363"/>
      <c r="L573" s="363"/>
      <c r="M573" s="363"/>
      <c r="N573" s="363"/>
      <c r="O573" s="363"/>
      <c r="P573" s="363"/>
      <c r="Q573" s="363"/>
      <c r="R573" s="363"/>
      <c r="S573" s="363"/>
      <c r="T573" s="363"/>
      <c r="U573" s="363"/>
      <c r="V573" s="363"/>
      <c r="W573" s="363"/>
      <c r="X573" s="363"/>
      <c r="Y573" s="363"/>
      <c r="Z573" s="363"/>
    </row>
    <row r="574" spans="1:26" ht="13.5" customHeight="1" x14ac:dyDescent="0.2">
      <c r="A574" s="363"/>
      <c r="B574" s="363"/>
      <c r="C574" s="363"/>
      <c r="D574" s="363"/>
      <c r="E574" s="363"/>
      <c r="F574" s="363"/>
      <c r="G574" s="363"/>
      <c r="H574" s="363"/>
      <c r="I574" s="363"/>
      <c r="J574" s="363"/>
      <c r="K574" s="363"/>
      <c r="L574" s="363"/>
      <c r="M574" s="363"/>
      <c r="N574" s="363"/>
      <c r="O574" s="363"/>
      <c r="P574" s="363"/>
      <c r="Q574" s="363"/>
      <c r="R574" s="363"/>
      <c r="S574" s="363"/>
      <c r="T574" s="363"/>
      <c r="U574" s="363"/>
      <c r="V574" s="363"/>
      <c r="W574" s="363"/>
      <c r="X574" s="363"/>
      <c r="Y574" s="363"/>
      <c r="Z574" s="363"/>
    </row>
    <row r="575" spans="1:26" ht="13.5" customHeight="1" x14ac:dyDescent="0.2">
      <c r="A575" s="363"/>
      <c r="B575" s="363"/>
      <c r="C575" s="363"/>
      <c r="D575" s="363"/>
      <c r="E575" s="363"/>
      <c r="F575" s="363"/>
      <c r="G575" s="363"/>
      <c r="H575" s="363"/>
      <c r="I575" s="363"/>
      <c r="J575" s="363"/>
      <c r="K575" s="363"/>
      <c r="L575" s="363"/>
      <c r="M575" s="363"/>
      <c r="N575" s="363"/>
      <c r="O575" s="363"/>
      <c r="P575" s="363"/>
      <c r="Q575" s="363"/>
      <c r="R575" s="363"/>
      <c r="S575" s="363"/>
      <c r="T575" s="363"/>
      <c r="U575" s="363"/>
      <c r="V575" s="363"/>
      <c r="W575" s="363"/>
      <c r="X575" s="363"/>
      <c r="Y575" s="363"/>
      <c r="Z575" s="363"/>
    </row>
    <row r="576" spans="1:26" ht="13.5" customHeight="1" x14ac:dyDescent="0.2">
      <c r="A576" s="363"/>
      <c r="B576" s="363"/>
      <c r="C576" s="363"/>
      <c r="D576" s="363"/>
      <c r="E576" s="363"/>
      <c r="F576" s="363"/>
      <c r="G576" s="363"/>
      <c r="H576" s="363"/>
      <c r="I576" s="363"/>
      <c r="J576" s="363"/>
      <c r="K576" s="363"/>
      <c r="L576" s="363"/>
      <c r="M576" s="363"/>
      <c r="N576" s="363"/>
      <c r="O576" s="363"/>
      <c r="P576" s="363"/>
      <c r="Q576" s="363"/>
      <c r="R576" s="363"/>
      <c r="S576" s="363"/>
      <c r="T576" s="363"/>
      <c r="U576" s="363"/>
      <c r="V576" s="363"/>
      <c r="W576" s="363"/>
      <c r="X576" s="363"/>
      <c r="Y576" s="363"/>
      <c r="Z576" s="363"/>
    </row>
    <row r="577" spans="1:26" ht="13.5" customHeight="1" x14ac:dyDescent="0.2">
      <c r="A577" s="363"/>
      <c r="B577" s="363"/>
      <c r="C577" s="363"/>
      <c r="D577" s="363"/>
      <c r="E577" s="363"/>
      <c r="F577" s="363"/>
      <c r="G577" s="363"/>
      <c r="H577" s="363"/>
      <c r="I577" s="363"/>
      <c r="J577" s="363"/>
      <c r="K577" s="363"/>
      <c r="L577" s="363"/>
      <c r="M577" s="363"/>
      <c r="N577" s="363"/>
      <c r="O577" s="363"/>
      <c r="P577" s="363"/>
      <c r="Q577" s="363"/>
      <c r="R577" s="363"/>
      <c r="S577" s="363"/>
      <c r="T577" s="363"/>
      <c r="U577" s="363"/>
      <c r="V577" s="363"/>
      <c r="W577" s="363"/>
      <c r="X577" s="363"/>
      <c r="Y577" s="363"/>
      <c r="Z577" s="363"/>
    </row>
    <row r="578" spans="1:26" ht="13.5" customHeight="1" x14ac:dyDescent="0.2">
      <c r="A578" s="363"/>
      <c r="B578" s="363"/>
      <c r="C578" s="363"/>
      <c r="D578" s="363"/>
      <c r="E578" s="363"/>
      <c r="F578" s="363"/>
      <c r="G578" s="363"/>
      <c r="H578" s="363"/>
      <c r="I578" s="363"/>
      <c r="J578" s="363"/>
      <c r="K578" s="363"/>
      <c r="L578" s="363"/>
      <c r="M578" s="363"/>
      <c r="N578" s="363"/>
      <c r="O578" s="363"/>
      <c r="P578" s="363"/>
      <c r="Q578" s="363"/>
      <c r="R578" s="363"/>
      <c r="S578" s="363"/>
      <c r="T578" s="363"/>
      <c r="U578" s="363"/>
      <c r="V578" s="363"/>
      <c r="W578" s="363"/>
      <c r="X578" s="363"/>
      <c r="Y578" s="363"/>
      <c r="Z578" s="363"/>
    </row>
    <row r="579" spans="1:26" ht="13.5" customHeight="1" x14ac:dyDescent="0.2">
      <c r="A579" s="363"/>
      <c r="B579" s="363"/>
      <c r="C579" s="363"/>
      <c r="D579" s="363"/>
      <c r="E579" s="363"/>
      <c r="F579" s="363"/>
      <c r="G579" s="363"/>
      <c r="H579" s="363"/>
      <c r="I579" s="363"/>
      <c r="J579" s="363"/>
      <c r="K579" s="363"/>
      <c r="L579" s="363"/>
      <c r="M579" s="363"/>
      <c r="N579" s="363"/>
      <c r="O579" s="363"/>
      <c r="P579" s="363"/>
      <c r="Q579" s="363"/>
      <c r="R579" s="363"/>
      <c r="S579" s="363"/>
      <c r="T579" s="363"/>
      <c r="U579" s="363"/>
      <c r="V579" s="363"/>
      <c r="W579" s="363"/>
      <c r="X579" s="363"/>
      <c r="Y579" s="363"/>
      <c r="Z579" s="363"/>
    </row>
    <row r="580" spans="1:26" ht="13.5" customHeight="1" x14ac:dyDescent="0.2">
      <c r="A580" s="363"/>
      <c r="B580" s="363"/>
      <c r="C580" s="363"/>
      <c r="D580" s="363"/>
      <c r="E580" s="363"/>
      <c r="F580" s="363"/>
      <c r="G580" s="363"/>
      <c r="H580" s="363"/>
      <c r="I580" s="363"/>
      <c r="J580" s="363"/>
      <c r="K580" s="363"/>
      <c r="L580" s="363"/>
      <c r="M580" s="363"/>
      <c r="N580" s="363"/>
      <c r="O580" s="363"/>
      <c r="P580" s="363"/>
      <c r="Q580" s="363"/>
      <c r="R580" s="363"/>
      <c r="S580" s="363"/>
      <c r="T580" s="363"/>
      <c r="U580" s="363"/>
      <c r="V580" s="363"/>
      <c r="W580" s="363"/>
      <c r="X580" s="363"/>
      <c r="Y580" s="363"/>
      <c r="Z580" s="363"/>
    </row>
    <row r="581" spans="1:26" ht="13.5" customHeight="1" x14ac:dyDescent="0.2">
      <c r="A581" s="363"/>
      <c r="B581" s="363"/>
      <c r="C581" s="363"/>
      <c r="D581" s="363"/>
      <c r="E581" s="363"/>
      <c r="F581" s="363"/>
      <c r="G581" s="363"/>
      <c r="H581" s="363"/>
      <c r="I581" s="363"/>
      <c r="J581" s="363"/>
      <c r="K581" s="363"/>
      <c r="L581" s="363"/>
      <c r="M581" s="363"/>
      <c r="N581" s="363"/>
      <c r="O581" s="363"/>
      <c r="P581" s="363"/>
      <c r="Q581" s="363"/>
      <c r="R581" s="363"/>
      <c r="S581" s="363"/>
      <c r="T581" s="363"/>
      <c r="U581" s="363"/>
      <c r="V581" s="363"/>
      <c r="W581" s="363"/>
      <c r="X581" s="363"/>
      <c r="Y581" s="363"/>
      <c r="Z581" s="363"/>
    </row>
    <row r="582" spans="1:26" ht="13.5" customHeight="1" x14ac:dyDescent="0.2">
      <c r="A582" s="363"/>
      <c r="B582" s="363"/>
      <c r="C582" s="363"/>
      <c r="D582" s="363"/>
      <c r="E582" s="363"/>
      <c r="F582" s="363"/>
      <c r="G582" s="363"/>
      <c r="H582" s="363"/>
      <c r="I582" s="363"/>
      <c r="J582" s="363"/>
      <c r="K582" s="363"/>
      <c r="L582" s="363"/>
      <c r="M582" s="363"/>
      <c r="N582" s="363"/>
      <c r="O582" s="363"/>
      <c r="P582" s="363"/>
      <c r="Q582" s="363"/>
      <c r="R582" s="363"/>
      <c r="S582" s="363"/>
      <c r="T582" s="363"/>
      <c r="U582" s="363"/>
      <c r="V582" s="363"/>
      <c r="W582" s="363"/>
      <c r="X582" s="363"/>
      <c r="Y582" s="363"/>
      <c r="Z582" s="363"/>
    </row>
    <row r="583" spans="1:26" ht="15.75" customHeight="1" x14ac:dyDescent="0.2"/>
    <row r="584" spans="1:26" ht="15.75" customHeight="1" x14ac:dyDescent="0.2"/>
    <row r="585" spans="1:26" ht="15.75" customHeight="1" x14ac:dyDescent="0.2"/>
    <row r="586" spans="1:26" ht="15.75" customHeight="1" x14ac:dyDescent="0.2"/>
    <row r="587" spans="1:26" ht="15.75" customHeight="1" x14ac:dyDescent="0.2"/>
    <row r="588" spans="1:26" ht="15.75" customHeight="1" x14ac:dyDescent="0.2"/>
    <row r="589" spans="1:26" ht="15.75" customHeight="1" x14ac:dyDescent="0.2"/>
    <row r="590" spans="1:26" ht="15.75" customHeight="1" x14ac:dyDescent="0.2"/>
    <row r="591" spans="1:26" ht="15.75" customHeight="1" x14ac:dyDescent="0.2"/>
    <row r="592" spans="1:26"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1000000000000001" bottom="0.44" header="0" footer="0"/>
  <pageSetup orientation="portrait"/>
  <headerFooter>
    <oddHeader>&amp;CRANCHO DEL REL APARTMENTS_x000D_MORTGAGE AMORTIZATION SCHEDULE_x000D__x000D_WASHINGTON MORTGAGE FINANCIAL</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1.1640625" defaultRowHeight="15" customHeight="1" x14ac:dyDescent="0.2"/>
  <cols>
    <col min="1" max="6" width="8.83203125" customWidth="1"/>
  </cols>
  <sheetData>
    <row r="1" spans="1:26" ht="15.75" customHeight="1" x14ac:dyDescent="0.2">
      <c r="A1" s="12" t="s">
        <v>34</v>
      </c>
      <c r="B1" s="2"/>
      <c r="C1" s="2"/>
      <c r="D1" s="2"/>
      <c r="E1" s="2"/>
      <c r="F1" s="2"/>
      <c r="G1" s="2"/>
      <c r="H1" s="2"/>
      <c r="I1" s="2"/>
      <c r="J1" s="2"/>
      <c r="K1" s="2"/>
      <c r="L1" s="2"/>
      <c r="M1" s="2"/>
      <c r="N1" s="2"/>
      <c r="O1" s="2"/>
      <c r="P1" s="2"/>
      <c r="Q1" s="2"/>
      <c r="R1" s="2"/>
      <c r="S1" s="2"/>
      <c r="T1" s="2"/>
      <c r="U1" s="2"/>
      <c r="V1" s="2"/>
      <c r="W1" s="2"/>
      <c r="X1" s="2"/>
      <c r="Y1" s="2"/>
      <c r="Z1" s="2"/>
    </row>
    <row r="2" spans="1:26" ht="15.75" customHeight="1" x14ac:dyDescent="0.2">
      <c r="A2" s="12" t="s">
        <v>286</v>
      </c>
      <c r="B2" s="2"/>
      <c r="C2" s="2"/>
      <c r="D2" s="2"/>
      <c r="E2" s="2"/>
      <c r="F2" s="2"/>
      <c r="G2" s="2"/>
      <c r="H2" s="2"/>
      <c r="I2" s="2"/>
      <c r="J2" s="2"/>
      <c r="K2" s="2"/>
      <c r="L2" s="2"/>
      <c r="M2" s="2"/>
      <c r="N2" s="2"/>
      <c r="O2" s="2"/>
      <c r="P2" s="2"/>
      <c r="Q2" s="2"/>
      <c r="R2" s="2"/>
      <c r="S2" s="2"/>
      <c r="T2" s="2"/>
      <c r="U2" s="2"/>
      <c r="V2" s="2"/>
      <c r="W2" s="2"/>
      <c r="X2" s="2"/>
      <c r="Y2" s="2"/>
      <c r="Z2" s="2"/>
    </row>
    <row r="3" spans="1:26" ht="15.75" customHeight="1" x14ac:dyDescent="0.2">
      <c r="A3" s="2"/>
      <c r="B3" s="2"/>
      <c r="C3" s="2"/>
      <c r="D3" s="2"/>
      <c r="E3" s="2"/>
      <c r="F3" s="2"/>
      <c r="G3" s="2"/>
      <c r="H3" s="2"/>
      <c r="I3" s="2"/>
      <c r="J3" s="2"/>
      <c r="K3" s="2"/>
      <c r="L3" s="2"/>
      <c r="M3" s="2"/>
      <c r="N3" s="2"/>
      <c r="O3" s="2"/>
      <c r="P3" s="2"/>
      <c r="Q3" s="2"/>
      <c r="R3" s="2"/>
      <c r="S3" s="2"/>
      <c r="T3" s="2"/>
      <c r="U3" s="2"/>
      <c r="V3" s="2"/>
      <c r="W3" s="2"/>
      <c r="X3" s="2"/>
      <c r="Y3" s="2"/>
      <c r="Z3" s="2"/>
    </row>
    <row r="4" spans="1:26" ht="15.75" customHeight="1" x14ac:dyDescent="0.2">
      <c r="A4" s="2"/>
      <c r="B4" s="2"/>
      <c r="C4" s="2"/>
      <c r="D4" s="2"/>
      <c r="E4" s="2"/>
      <c r="F4" s="2"/>
      <c r="G4" s="2"/>
      <c r="H4" s="2"/>
      <c r="I4" s="2"/>
      <c r="J4" s="2"/>
      <c r="K4" s="2"/>
      <c r="L4" s="2"/>
      <c r="M4" s="2"/>
      <c r="N4" s="2"/>
      <c r="O4" s="2"/>
      <c r="P4" s="2"/>
      <c r="Q4" s="2"/>
      <c r="R4" s="2"/>
      <c r="S4" s="2"/>
      <c r="T4" s="2"/>
      <c r="U4" s="2"/>
      <c r="V4" s="2"/>
      <c r="W4" s="2"/>
      <c r="X4" s="2"/>
      <c r="Y4" s="2"/>
      <c r="Z4" s="2"/>
    </row>
    <row r="5" spans="1:26" ht="15.75" customHeight="1" x14ac:dyDescent="0.2">
      <c r="A5" s="2"/>
      <c r="B5" s="2"/>
      <c r="C5" s="2"/>
      <c r="D5" s="2"/>
      <c r="E5" s="2"/>
      <c r="F5" s="2"/>
      <c r="G5" s="2"/>
      <c r="H5" s="2"/>
      <c r="I5" s="2"/>
      <c r="J5" s="2"/>
      <c r="K5" s="2"/>
      <c r="L5" s="2"/>
      <c r="M5" s="2"/>
      <c r="N5" s="2"/>
      <c r="O5" s="2"/>
      <c r="P5" s="2"/>
      <c r="Q5" s="2"/>
      <c r="R5" s="2"/>
      <c r="S5" s="2"/>
      <c r="T5" s="2"/>
      <c r="U5" s="2"/>
      <c r="V5" s="2"/>
      <c r="W5" s="2"/>
      <c r="X5" s="2"/>
      <c r="Y5" s="2"/>
      <c r="Z5" s="2"/>
    </row>
    <row r="6" spans="1:26" ht="15.75" customHeight="1" x14ac:dyDescent="0.2">
      <c r="A6" s="2"/>
      <c r="B6" s="2"/>
      <c r="C6" s="2"/>
      <c r="D6" s="2"/>
      <c r="E6" s="2"/>
      <c r="F6" s="2"/>
      <c r="G6" s="2"/>
      <c r="H6" s="2"/>
      <c r="I6" s="2"/>
      <c r="J6" s="2"/>
      <c r="K6" s="2"/>
      <c r="L6" s="2"/>
      <c r="M6" s="2"/>
      <c r="N6" s="2"/>
      <c r="O6" s="2"/>
      <c r="P6" s="2"/>
      <c r="Q6" s="2"/>
      <c r="R6" s="2"/>
      <c r="S6" s="2"/>
      <c r="T6" s="2"/>
      <c r="U6" s="2"/>
      <c r="V6" s="2"/>
      <c r="W6" s="2"/>
      <c r="X6" s="2"/>
      <c r="Y6" s="2"/>
      <c r="Z6" s="2"/>
    </row>
    <row r="7" spans="1:26" ht="15.75" customHeight="1" x14ac:dyDescent="0.2">
      <c r="A7" s="2"/>
      <c r="B7" s="2"/>
      <c r="C7" s="2"/>
      <c r="D7" s="2"/>
      <c r="E7" s="2"/>
      <c r="F7" s="2"/>
      <c r="G7" s="2"/>
      <c r="H7" s="2"/>
      <c r="I7" s="2"/>
      <c r="J7" s="2"/>
      <c r="K7" s="2"/>
      <c r="L7" s="2"/>
      <c r="M7" s="2"/>
      <c r="N7" s="2"/>
      <c r="O7" s="2"/>
      <c r="P7" s="2"/>
      <c r="Q7" s="2"/>
      <c r="R7" s="2"/>
      <c r="S7" s="2"/>
      <c r="T7" s="2"/>
      <c r="U7" s="2"/>
      <c r="V7" s="2"/>
      <c r="W7" s="2"/>
      <c r="X7" s="2"/>
      <c r="Y7" s="2"/>
      <c r="Z7" s="2"/>
    </row>
    <row r="8" spans="1:26" ht="15.75" customHeight="1" x14ac:dyDescent="0.2">
      <c r="A8" s="2"/>
      <c r="B8" s="2"/>
      <c r="C8" s="2"/>
      <c r="D8" s="2"/>
      <c r="E8" s="2"/>
      <c r="F8" s="2"/>
      <c r="G8" s="2"/>
      <c r="H8" s="2"/>
      <c r="I8" s="2"/>
      <c r="J8" s="2"/>
      <c r="K8" s="2"/>
      <c r="L8" s="2"/>
      <c r="M8" s="2"/>
      <c r="N8" s="2"/>
      <c r="O8" s="2"/>
      <c r="P8" s="2"/>
      <c r="Q8" s="2"/>
      <c r="R8" s="2"/>
      <c r="S8" s="2"/>
      <c r="T8" s="2"/>
      <c r="U8" s="2"/>
      <c r="V8" s="2"/>
      <c r="W8" s="2"/>
      <c r="X8" s="2"/>
      <c r="Y8" s="2"/>
      <c r="Z8" s="2"/>
    </row>
    <row r="9" spans="1:26" ht="15.75" customHeight="1" x14ac:dyDescent="0.2">
      <c r="A9" s="2"/>
      <c r="B9" s="2"/>
      <c r="C9" s="2"/>
      <c r="D9" s="2"/>
      <c r="E9" s="2"/>
      <c r="F9" s="2"/>
      <c r="G9" s="2"/>
      <c r="H9" s="2"/>
      <c r="I9" s="2"/>
      <c r="J9" s="2"/>
      <c r="K9" s="2"/>
      <c r="L9" s="2"/>
      <c r="M9" s="2"/>
      <c r="N9" s="2"/>
      <c r="O9" s="2"/>
      <c r="P9" s="2"/>
      <c r="Q9" s="2"/>
      <c r="R9" s="2"/>
      <c r="S9" s="2"/>
      <c r="T9" s="2"/>
      <c r="U9" s="2"/>
      <c r="V9" s="2"/>
      <c r="W9" s="2"/>
      <c r="X9" s="2"/>
      <c r="Y9" s="2"/>
      <c r="Z9" s="2"/>
    </row>
    <row r="10" spans="1:26" ht="15.75" customHeight="1" x14ac:dyDescent="0.2">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5.75" customHeight="1" x14ac:dyDescent="0.2">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5.75" customHeight="1" x14ac:dyDescent="0.2">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5.75" customHeight="1" x14ac:dyDescent="0.2">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5.75" customHeight="1" x14ac:dyDescent="0.2">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x14ac:dyDescent="0.2">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5.75" customHeight="1" x14ac:dyDescent="0.2">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5.75" customHeight="1" x14ac:dyDescent="0.2">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5.75" customHeight="1" x14ac:dyDescent="0.2">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5.75" customHeight="1" x14ac:dyDescent="0.2">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x14ac:dyDescent="0.2">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row r="222" spans="1:26" ht="15.75" customHeight="1" x14ac:dyDescent="0.2"/>
    <row r="223" spans="1:26" ht="15.75" customHeight="1" x14ac:dyDescent="0.2"/>
    <row r="224" spans="1:26"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INPUTS</vt:lpstr>
      <vt:lpstr>PROFORMA</vt:lpstr>
      <vt:lpstr>WATERFALL</vt:lpstr>
      <vt:lpstr>SENIOR LOAN</vt:lpstr>
      <vt:lpstr>REFI LOAN</vt:lpstr>
      <vt:lpstr>Lists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2026-06-30T04:22:51Z</dcterms:created>
  <dcterms:modified xsi:type="dcterms:W3CDTF">2026-06-30T04:22:52Z</dcterms:modified>
</cp:coreProperties>
</file>